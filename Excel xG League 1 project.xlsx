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f8d03efc58f0dd/Documents/Excel Projects/"/>
    </mc:Choice>
  </mc:AlternateContent>
  <xr:revisionPtr revIDLastSave="78" documentId="8_{72D72CA1-FB65-41DD-BEF3-F37C1B149D0B}" xr6:coauthVersionLast="47" xr6:coauthVersionMax="47" xr10:uidLastSave="{7ABEEDFF-1532-4E8D-B7AC-FC53C21DB509}"/>
  <bookViews>
    <workbookView xWindow="-120" yWindow="-120" windowWidth="29040" windowHeight="15720" xr2:uid="{893576EF-EC87-4E22-BD47-1A3E19807FC2}"/>
  </bookViews>
  <sheets>
    <sheet name="tbl_L1_Raw" sheetId="2" r:id="rId1"/>
    <sheet name="Home Sheet" sheetId="6" r:id="rId2"/>
    <sheet name="Away Sheet" sheetId="7" r:id="rId3"/>
    <sheet name="Team Level" sheetId="8" r:id="rId4"/>
    <sheet name="Team_Hub" sheetId="10" r:id="rId5"/>
    <sheet name="Team_Dashboard" sheetId="17" r:id="rId6"/>
    <sheet name="Dashboard_Help" sheetId="27" r:id="rId7"/>
    <sheet name="Data_Quality" sheetId="28" r:id="rId8"/>
  </sheets>
  <definedNames>
    <definedName name="ExternalData_1" localSheetId="2" hidden="1">'Away Sheet'!$A$1:$L$553</definedName>
    <definedName name="ExternalData_1" localSheetId="1" hidden="1">'Home Sheet'!$A$1:$L$553</definedName>
    <definedName name="ExternalData_1" localSheetId="3" hidden="1">'Team Level'!$A$1:$P$1105</definedName>
    <definedName name="ExternalData_1" localSheetId="5" hidden="1">Team_Dashboard!$N$2:$AC$48</definedName>
    <definedName name="SelectedTeam">Team_Dashboard!$C$2</definedName>
  </definedNames>
  <calcPr calcId="181029"/>
  <pivotCaches>
    <pivotCache cacheId="20" r:id="rId9"/>
    <pivotCache cacheId="2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8" l="1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R1001" i="8"/>
  <c r="R1002" i="8"/>
  <c r="R1003" i="8"/>
  <c r="R1004" i="8"/>
  <c r="R1005" i="8"/>
  <c r="R1006" i="8"/>
  <c r="R1007" i="8"/>
  <c r="R1008" i="8"/>
  <c r="R1009" i="8"/>
  <c r="R1010" i="8"/>
  <c r="R1011" i="8"/>
  <c r="R1012" i="8"/>
  <c r="R1013" i="8"/>
  <c r="R1014" i="8"/>
  <c r="R1015" i="8"/>
  <c r="R1016" i="8"/>
  <c r="R1017" i="8"/>
  <c r="R1018" i="8"/>
  <c r="R1019" i="8"/>
  <c r="R1020" i="8"/>
  <c r="R1021" i="8"/>
  <c r="R1022" i="8"/>
  <c r="R1023" i="8"/>
  <c r="R1024" i="8"/>
  <c r="R1025" i="8"/>
  <c r="R1026" i="8"/>
  <c r="R1027" i="8"/>
  <c r="R1028" i="8"/>
  <c r="R1029" i="8"/>
  <c r="R1030" i="8"/>
  <c r="R1031" i="8"/>
  <c r="R1032" i="8"/>
  <c r="R1033" i="8"/>
  <c r="R1034" i="8"/>
  <c r="R1035" i="8"/>
  <c r="R1036" i="8"/>
  <c r="R1037" i="8"/>
  <c r="R1038" i="8"/>
  <c r="R1039" i="8"/>
  <c r="R1040" i="8"/>
  <c r="R1041" i="8"/>
  <c r="R1042" i="8"/>
  <c r="R1043" i="8"/>
  <c r="R1044" i="8"/>
  <c r="R1045" i="8"/>
  <c r="R1046" i="8"/>
  <c r="R1047" i="8"/>
  <c r="R1048" i="8"/>
  <c r="R1049" i="8"/>
  <c r="R1050" i="8"/>
  <c r="R1051" i="8"/>
  <c r="R1052" i="8"/>
  <c r="R1053" i="8"/>
  <c r="R1054" i="8"/>
  <c r="R1055" i="8"/>
  <c r="R1056" i="8"/>
  <c r="R1057" i="8"/>
  <c r="R1058" i="8"/>
  <c r="R1059" i="8"/>
  <c r="R1060" i="8"/>
  <c r="R1061" i="8"/>
  <c r="R1062" i="8"/>
  <c r="R1063" i="8"/>
  <c r="R1064" i="8"/>
  <c r="R1065" i="8"/>
  <c r="R1066" i="8"/>
  <c r="R1067" i="8"/>
  <c r="R1068" i="8"/>
  <c r="R1069" i="8"/>
  <c r="R1070" i="8"/>
  <c r="R1071" i="8"/>
  <c r="R1072" i="8"/>
  <c r="R1073" i="8"/>
  <c r="R1074" i="8"/>
  <c r="R1075" i="8"/>
  <c r="R1076" i="8"/>
  <c r="R1077" i="8"/>
  <c r="R1078" i="8"/>
  <c r="R1079" i="8"/>
  <c r="R1080" i="8"/>
  <c r="R1081" i="8"/>
  <c r="R1082" i="8"/>
  <c r="R1083" i="8"/>
  <c r="R1084" i="8"/>
  <c r="R1085" i="8"/>
  <c r="R1086" i="8"/>
  <c r="R1087" i="8"/>
  <c r="R1088" i="8"/>
  <c r="R1089" i="8"/>
  <c r="R1090" i="8"/>
  <c r="R1091" i="8"/>
  <c r="R1092" i="8"/>
  <c r="R1093" i="8"/>
  <c r="R1094" i="8"/>
  <c r="R1095" i="8"/>
  <c r="R1096" i="8"/>
  <c r="R1097" i="8"/>
  <c r="R1098" i="8"/>
  <c r="R1099" i="8"/>
  <c r="R1100" i="8"/>
  <c r="R1101" i="8"/>
  <c r="R1102" i="8"/>
  <c r="R1103" i="8"/>
  <c r="R1104" i="8"/>
  <c r="R1105" i="8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S582" i="8"/>
  <c r="S583" i="8"/>
  <c r="T583" i="8" s="1"/>
  <c r="S584" i="8"/>
  <c r="S585" i="8"/>
  <c r="S586" i="8"/>
  <c r="S587" i="8"/>
  <c r="S588" i="8"/>
  <c r="T588" i="8" s="1"/>
  <c r="S589" i="8"/>
  <c r="S590" i="8"/>
  <c r="S591" i="8"/>
  <c r="T591" i="8" s="1"/>
  <c r="S592" i="8"/>
  <c r="S593" i="8"/>
  <c r="T593" i="8" s="1"/>
  <c r="S594" i="8"/>
  <c r="S595" i="8"/>
  <c r="T595" i="8" s="1"/>
  <c r="S596" i="8"/>
  <c r="S597" i="8"/>
  <c r="S598" i="8"/>
  <c r="S599" i="8"/>
  <c r="S600" i="8"/>
  <c r="S601" i="8"/>
  <c r="S602" i="8"/>
  <c r="S603" i="8"/>
  <c r="T603" i="8" s="1"/>
  <c r="S604" i="8"/>
  <c r="S605" i="8"/>
  <c r="S606" i="8"/>
  <c r="S607" i="8"/>
  <c r="T607" i="8" s="1"/>
  <c r="S608" i="8"/>
  <c r="S609" i="8"/>
  <c r="T609" i="8" s="1"/>
  <c r="S610" i="8"/>
  <c r="S611" i="8"/>
  <c r="S612" i="8"/>
  <c r="T612" i="8" s="1"/>
  <c r="S613" i="8"/>
  <c r="S614" i="8"/>
  <c r="S615" i="8"/>
  <c r="T615" i="8" s="1"/>
  <c r="S616" i="8"/>
  <c r="S617" i="8"/>
  <c r="T617" i="8" s="1"/>
  <c r="S618" i="8"/>
  <c r="S619" i="8"/>
  <c r="T619" i="8" s="1"/>
  <c r="S620" i="8"/>
  <c r="S621" i="8"/>
  <c r="T621" i="8" s="1"/>
  <c r="S622" i="8"/>
  <c r="S623" i="8"/>
  <c r="S624" i="8"/>
  <c r="T624" i="8" s="1"/>
  <c r="S625" i="8"/>
  <c r="S626" i="8"/>
  <c r="S627" i="8"/>
  <c r="S628" i="8"/>
  <c r="S629" i="8"/>
  <c r="T629" i="8" s="1"/>
  <c r="S630" i="8"/>
  <c r="S631" i="8"/>
  <c r="S632" i="8"/>
  <c r="S633" i="8"/>
  <c r="S634" i="8"/>
  <c r="S635" i="8"/>
  <c r="S636" i="8"/>
  <c r="T636" i="8" s="1"/>
  <c r="S637" i="8"/>
  <c r="S638" i="8"/>
  <c r="S639" i="8"/>
  <c r="S640" i="8"/>
  <c r="S641" i="8"/>
  <c r="T641" i="8" s="1"/>
  <c r="S642" i="8"/>
  <c r="S643" i="8"/>
  <c r="S644" i="8"/>
  <c r="S645" i="8"/>
  <c r="S646" i="8"/>
  <c r="S647" i="8"/>
  <c r="S648" i="8"/>
  <c r="T648" i="8" s="1"/>
  <c r="S649" i="8"/>
  <c r="S650" i="8"/>
  <c r="S651" i="8"/>
  <c r="S652" i="8"/>
  <c r="S653" i="8"/>
  <c r="T653" i="8" s="1"/>
  <c r="S654" i="8"/>
  <c r="S655" i="8"/>
  <c r="S656" i="8"/>
  <c r="S657" i="8"/>
  <c r="S658" i="8"/>
  <c r="S659" i="8"/>
  <c r="S660" i="8"/>
  <c r="T660" i="8" s="1"/>
  <c r="S661" i="8"/>
  <c r="S662" i="8"/>
  <c r="S663" i="8"/>
  <c r="S664" i="8"/>
  <c r="S665" i="8"/>
  <c r="T665" i="8" s="1"/>
  <c r="S666" i="8"/>
  <c r="S667" i="8"/>
  <c r="S668" i="8"/>
  <c r="S669" i="8"/>
  <c r="S670" i="8"/>
  <c r="S671" i="8"/>
  <c r="S672" i="8"/>
  <c r="T672" i="8" s="1"/>
  <c r="S673" i="8"/>
  <c r="S674" i="8"/>
  <c r="S675" i="8"/>
  <c r="S676" i="8"/>
  <c r="S677" i="8"/>
  <c r="T677" i="8" s="1"/>
  <c r="S678" i="8"/>
  <c r="S679" i="8"/>
  <c r="S680" i="8"/>
  <c r="S681" i="8"/>
  <c r="S682" i="8"/>
  <c r="S683" i="8"/>
  <c r="S684" i="8"/>
  <c r="T684" i="8" s="1"/>
  <c r="S685" i="8"/>
  <c r="S686" i="8"/>
  <c r="S687" i="8"/>
  <c r="S688" i="8"/>
  <c r="S689" i="8"/>
  <c r="T689" i="8" s="1"/>
  <c r="S690" i="8"/>
  <c r="S691" i="8"/>
  <c r="S692" i="8"/>
  <c r="S693" i="8"/>
  <c r="S694" i="8"/>
  <c r="S695" i="8"/>
  <c r="S696" i="8"/>
  <c r="T696" i="8" s="1"/>
  <c r="S697" i="8"/>
  <c r="S698" i="8"/>
  <c r="S699" i="8"/>
  <c r="S700" i="8"/>
  <c r="S701" i="8"/>
  <c r="T701" i="8" s="1"/>
  <c r="S702" i="8"/>
  <c r="S703" i="8"/>
  <c r="S704" i="8"/>
  <c r="S705" i="8"/>
  <c r="S706" i="8"/>
  <c r="S707" i="8"/>
  <c r="S708" i="8"/>
  <c r="T708" i="8" s="1"/>
  <c r="S709" i="8"/>
  <c r="S710" i="8"/>
  <c r="S711" i="8"/>
  <c r="S712" i="8"/>
  <c r="S713" i="8"/>
  <c r="T713" i="8" s="1"/>
  <c r="S714" i="8"/>
  <c r="S715" i="8"/>
  <c r="S716" i="8"/>
  <c r="S717" i="8"/>
  <c r="S718" i="8"/>
  <c r="S719" i="8"/>
  <c r="S720" i="8"/>
  <c r="T720" i="8" s="1"/>
  <c r="S721" i="8"/>
  <c r="S722" i="8"/>
  <c r="S723" i="8"/>
  <c r="S724" i="8"/>
  <c r="S725" i="8"/>
  <c r="T725" i="8" s="1"/>
  <c r="S726" i="8"/>
  <c r="S727" i="8"/>
  <c r="S728" i="8"/>
  <c r="S729" i="8"/>
  <c r="S730" i="8"/>
  <c r="S731" i="8"/>
  <c r="S732" i="8"/>
  <c r="T732" i="8" s="1"/>
  <c r="S733" i="8"/>
  <c r="S734" i="8"/>
  <c r="S735" i="8"/>
  <c r="S736" i="8"/>
  <c r="S737" i="8"/>
  <c r="T737" i="8" s="1"/>
  <c r="S738" i="8"/>
  <c r="S739" i="8"/>
  <c r="S740" i="8"/>
  <c r="S741" i="8"/>
  <c r="S742" i="8"/>
  <c r="S743" i="8"/>
  <c r="S744" i="8"/>
  <c r="T744" i="8" s="1"/>
  <c r="S745" i="8"/>
  <c r="S746" i="8"/>
  <c r="S747" i="8"/>
  <c r="S748" i="8"/>
  <c r="S749" i="8"/>
  <c r="T749" i="8" s="1"/>
  <c r="S750" i="8"/>
  <c r="S751" i="8"/>
  <c r="S752" i="8"/>
  <c r="S753" i="8"/>
  <c r="S754" i="8"/>
  <c r="S755" i="8"/>
  <c r="S756" i="8"/>
  <c r="T756" i="8" s="1"/>
  <c r="S757" i="8"/>
  <c r="S758" i="8"/>
  <c r="S759" i="8"/>
  <c r="S760" i="8"/>
  <c r="S761" i="8"/>
  <c r="T761" i="8" s="1"/>
  <c r="S762" i="8"/>
  <c r="S763" i="8"/>
  <c r="S764" i="8"/>
  <c r="S765" i="8"/>
  <c r="S766" i="8"/>
  <c r="S767" i="8"/>
  <c r="S768" i="8"/>
  <c r="T768" i="8" s="1"/>
  <c r="S769" i="8"/>
  <c r="S770" i="8"/>
  <c r="S771" i="8"/>
  <c r="S772" i="8"/>
  <c r="S773" i="8"/>
  <c r="T773" i="8" s="1"/>
  <c r="S774" i="8"/>
  <c r="S775" i="8"/>
  <c r="S776" i="8"/>
  <c r="S777" i="8"/>
  <c r="S778" i="8"/>
  <c r="S779" i="8"/>
  <c r="S780" i="8"/>
  <c r="T780" i="8" s="1"/>
  <c r="S781" i="8"/>
  <c r="S782" i="8"/>
  <c r="S783" i="8"/>
  <c r="S784" i="8"/>
  <c r="S785" i="8"/>
  <c r="T785" i="8" s="1"/>
  <c r="S786" i="8"/>
  <c r="S787" i="8"/>
  <c r="S788" i="8"/>
  <c r="S789" i="8"/>
  <c r="S790" i="8"/>
  <c r="S791" i="8"/>
  <c r="S792" i="8"/>
  <c r="T792" i="8" s="1"/>
  <c r="S793" i="8"/>
  <c r="S794" i="8"/>
  <c r="S795" i="8"/>
  <c r="S796" i="8"/>
  <c r="S797" i="8"/>
  <c r="T797" i="8" s="1"/>
  <c r="S798" i="8"/>
  <c r="S799" i="8"/>
  <c r="S800" i="8"/>
  <c r="S801" i="8"/>
  <c r="S802" i="8"/>
  <c r="S803" i="8"/>
  <c r="S804" i="8"/>
  <c r="T804" i="8" s="1"/>
  <c r="S805" i="8"/>
  <c r="S806" i="8"/>
  <c r="S807" i="8"/>
  <c r="S808" i="8"/>
  <c r="S809" i="8"/>
  <c r="T809" i="8" s="1"/>
  <c r="S810" i="8"/>
  <c r="S811" i="8"/>
  <c r="S812" i="8"/>
  <c r="S813" i="8"/>
  <c r="S814" i="8"/>
  <c r="S815" i="8"/>
  <c r="S816" i="8"/>
  <c r="T816" i="8" s="1"/>
  <c r="S817" i="8"/>
  <c r="S818" i="8"/>
  <c r="S819" i="8"/>
  <c r="S820" i="8"/>
  <c r="S821" i="8"/>
  <c r="T821" i="8" s="1"/>
  <c r="S822" i="8"/>
  <c r="S823" i="8"/>
  <c r="S824" i="8"/>
  <c r="S825" i="8"/>
  <c r="S826" i="8"/>
  <c r="S827" i="8"/>
  <c r="S828" i="8"/>
  <c r="T828" i="8" s="1"/>
  <c r="S829" i="8"/>
  <c r="S830" i="8"/>
  <c r="S831" i="8"/>
  <c r="S832" i="8"/>
  <c r="S833" i="8"/>
  <c r="T833" i="8" s="1"/>
  <c r="S834" i="8"/>
  <c r="S835" i="8"/>
  <c r="S836" i="8"/>
  <c r="S837" i="8"/>
  <c r="S838" i="8"/>
  <c r="S839" i="8"/>
  <c r="S840" i="8"/>
  <c r="T840" i="8" s="1"/>
  <c r="S841" i="8"/>
  <c r="S842" i="8"/>
  <c r="S843" i="8"/>
  <c r="S844" i="8"/>
  <c r="S845" i="8"/>
  <c r="T845" i="8" s="1"/>
  <c r="S846" i="8"/>
  <c r="S847" i="8"/>
  <c r="S848" i="8"/>
  <c r="S849" i="8"/>
  <c r="S850" i="8"/>
  <c r="S851" i="8"/>
  <c r="S852" i="8"/>
  <c r="T852" i="8" s="1"/>
  <c r="S853" i="8"/>
  <c r="S854" i="8"/>
  <c r="S855" i="8"/>
  <c r="S856" i="8"/>
  <c r="S857" i="8"/>
  <c r="T857" i="8" s="1"/>
  <c r="S858" i="8"/>
  <c r="S859" i="8"/>
  <c r="S860" i="8"/>
  <c r="S861" i="8"/>
  <c r="S862" i="8"/>
  <c r="S863" i="8"/>
  <c r="S864" i="8"/>
  <c r="T864" i="8" s="1"/>
  <c r="S865" i="8"/>
  <c r="S866" i="8"/>
  <c r="S867" i="8"/>
  <c r="S868" i="8"/>
  <c r="S869" i="8"/>
  <c r="T869" i="8" s="1"/>
  <c r="S870" i="8"/>
  <c r="S871" i="8"/>
  <c r="S872" i="8"/>
  <c r="S873" i="8"/>
  <c r="S874" i="8"/>
  <c r="S875" i="8"/>
  <c r="S876" i="8"/>
  <c r="T876" i="8" s="1"/>
  <c r="S877" i="8"/>
  <c r="S878" i="8"/>
  <c r="S879" i="8"/>
  <c r="S880" i="8"/>
  <c r="S881" i="8"/>
  <c r="T881" i="8" s="1"/>
  <c r="S882" i="8"/>
  <c r="S883" i="8"/>
  <c r="S884" i="8"/>
  <c r="S885" i="8"/>
  <c r="S886" i="8"/>
  <c r="S887" i="8"/>
  <c r="S888" i="8"/>
  <c r="T888" i="8" s="1"/>
  <c r="S889" i="8"/>
  <c r="S890" i="8"/>
  <c r="S891" i="8"/>
  <c r="S892" i="8"/>
  <c r="S893" i="8"/>
  <c r="T893" i="8" s="1"/>
  <c r="S894" i="8"/>
  <c r="S895" i="8"/>
  <c r="S896" i="8"/>
  <c r="S897" i="8"/>
  <c r="S898" i="8"/>
  <c r="S899" i="8"/>
  <c r="S900" i="8"/>
  <c r="T900" i="8" s="1"/>
  <c r="S901" i="8"/>
  <c r="S902" i="8"/>
  <c r="S903" i="8"/>
  <c r="S904" i="8"/>
  <c r="S905" i="8"/>
  <c r="T905" i="8" s="1"/>
  <c r="S906" i="8"/>
  <c r="S907" i="8"/>
  <c r="S908" i="8"/>
  <c r="S909" i="8"/>
  <c r="S910" i="8"/>
  <c r="S911" i="8"/>
  <c r="S912" i="8"/>
  <c r="T912" i="8" s="1"/>
  <c r="S913" i="8"/>
  <c r="S914" i="8"/>
  <c r="S915" i="8"/>
  <c r="S916" i="8"/>
  <c r="S917" i="8"/>
  <c r="T917" i="8" s="1"/>
  <c r="S918" i="8"/>
  <c r="S919" i="8"/>
  <c r="S920" i="8"/>
  <c r="S921" i="8"/>
  <c r="S922" i="8"/>
  <c r="S923" i="8"/>
  <c r="S924" i="8"/>
  <c r="T924" i="8" s="1"/>
  <c r="S925" i="8"/>
  <c r="S926" i="8"/>
  <c r="S927" i="8"/>
  <c r="S928" i="8"/>
  <c r="S929" i="8"/>
  <c r="T929" i="8" s="1"/>
  <c r="S930" i="8"/>
  <c r="S931" i="8"/>
  <c r="S932" i="8"/>
  <c r="S933" i="8"/>
  <c r="S934" i="8"/>
  <c r="S935" i="8"/>
  <c r="S936" i="8"/>
  <c r="T936" i="8" s="1"/>
  <c r="S937" i="8"/>
  <c r="S938" i="8"/>
  <c r="S939" i="8"/>
  <c r="S940" i="8"/>
  <c r="S941" i="8"/>
  <c r="T941" i="8" s="1"/>
  <c r="S942" i="8"/>
  <c r="S943" i="8"/>
  <c r="S944" i="8"/>
  <c r="S945" i="8"/>
  <c r="S946" i="8"/>
  <c r="S947" i="8"/>
  <c r="S948" i="8"/>
  <c r="T948" i="8" s="1"/>
  <c r="S949" i="8"/>
  <c r="S950" i="8"/>
  <c r="S951" i="8"/>
  <c r="S952" i="8"/>
  <c r="S953" i="8"/>
  <c r="T953" i="8" s="1"/>
  <c r="S954" i="8"/>
  <c r="S955" i="8"/>
  <c r="S956" i="8"/>
  <c r="S957" i="8"/>
  <c r="S958" i="8"/>
  <c r="S959" i="8"/>
  <c r="S960" i="8"/>
  <c r="T960" i="8" s="1"/>
  <c r="S961" i="8"/>
  <c r="S962" i="8"/>
  <c r="S963" i="8"/>
  <c r="S964" i="8"/>
  <c r="S965" i="8"/>
  <c r="T965" i="8" s="1"/>
  <c r="S966" i="8"/>
  <c r="S967" i="8"/>
  <c r="S968" i="8"/>
  <c r="S969" i="8"/>
  <c r="S970" i="8"/>
  <c r="S971" i="8"/>
  <c r="S972" i="8"/>
  <c r="T972" i="8" s="1"/>
  <c r="S973" i="8"/>
  <c r="S974" i="8"/>
  <c r="S975" i="8"/>
  <c r="S976" i="8"/>
  <c r="S977" i="8"/>
  <c r="T977" i="8" s="1"/>
  <c r="S978" i="8"/>
  <c r="S979" i="8"/>
  <c r="S980" i="8"/>
  <c r="S981" i="8"/>
  <c r="S982" i="8"/>
  <c r="S983" i="8"/>
  <c r="S984" i="8"/>
  <c r="T984" i="8" s="1"/>
  <c r="S985" i="8"/>
  <c r="S986" i="8"/>
  <c r="S987" i="8"/>
  <c r="S988" i="8"/>
  <c r="S989" i="8"/>
  <c r="T989" i="8" s="1"/>
  <c r="S990" i="8"/>
  <c r="S991" i="8"/>
  <c r="S992" i="8"/>
  <c r="S993" i="8"/>
  <c r="S994" i="8"/>
  <c r="S995" i="8"/>
  <c r="S996" i="8"/>
  <c r="T996" i="8" s="1"/>
  <c r="S997" i="8"/>
  <c r="S998" i="8"/>
  <c r="S999" i="8"/>
  <c r="S1000" i="8"/>
  <c r="S1001" i="8"/>
  <c r="T1001" i="8" s="1"/>
  <c r="S1002" i="8"/>
  <c r="S1003" i="8"/>
  <c r="S1004" i="8"/>
  <c r="S1005" i="8"/>
  <c r="S1006" i="8"/>
  <c r="S1007" i="8"/>
  <c r="S1008" i="8"/>
  <c r="T1008" i="8" s="1"/>
  <c r="S1009" i="8"/>
  <c r="S1010" i="8"/>
  <c r="S1011" i="8"/>
  <c r="S1012" i="8"/>
  <c r="S1013" i="8"/>
  <c r="T1013" i="8" s="1"/>
  <c r="S1014" i="8"/>
  <c r="S1015" i="8"/>
  <c r="S1016" i="8"/>
  <c r="S1017" i="8"/>
  <c r="S1018" i="8"/>
  <c r="S1019" i="8"/>
  <c r="S1020" i="8"/>
  <c r="T1020" i="8" s="1"/>
  <c r="S1021" i="8"/>
  <c r="S1022" i="8"/>
  <c r="S1023" i="8"/>
  <c r="S1024" i="8"/>
  <c r="S1025" i="8"/>
  <c r="T1025" i="8" s="1"/>
  <c r="S1026" i="8"/>
  <c r="S1027" i="8"/>
  <c r="S1028" i="8"/>
  <c r="S1029" i="8"/>
  <c r="S1030" i="8"/>
  <c r="S1031" i="8"/>
  <c r="S1032" i="8"/>
  <c r="T1032" i="8" s="1"/>
  <c r="S1033" i="8"/>
  <c r="S1034" i="8"/>
  <c r="S1035" i="8"/>
  <c r="S1036" i="8"/>
  <c r="S1037" i="8"/>
  <c r="T1037" i="8" s="1"/>
  <c r="S1038" i="8"/>
  <c r="S1039" i="8"/>
  <c r="S1040" i="8"/>
  <c r="S1041" i="8"/>
  <c r="S1042" i="8"/>
  <c r="S1043" i="8"/>
  <c r="S1044" i="8"/>
  <c r="T1044" i="8" s="1"/>
  <c r="S1045" i="8"/>
  <c r="S1046" i="8"/>
  <c r="S1047" i="8"/>
  <c r="S1048" i="8"/>
  <c r="S1049" i="8"/>
  <c r="T1049" i="8" s="1"/>
  <c r="S1050" i="8"/>
  <c r="S1051" i="8"/>
  <c r="S1052" i="8"/>
  <c r="S1053" i="8"/>
  <c r="S1054" i="8"/>
  <c r="S1055" i="8"/>
  <c r="S1056" i="8"/>
  <c r="T1056" i="8" s="1"/>
  <c r="S1057" i="8"/>
  <c r="S1058" i="8"/>
  <c r="S1059" i="8"/>
  <c r="S1060" i="8"/>
  <c r="S1061" i="8"/>
  <c r="T1061" i="8" s="1"/>
  <c r="S1062" i="8"/>
  <c r="S1063" i="8"/>
  <c r="S1064" i="8"/>
  <c r="S1065" i="8"/>
  <c r="S1066" i="8"/>
  <c r="S1067" i="8"/>
  <c r="S1068" i="8"/>
  <c r="T1068" i="8" s="1"/>
  <c r="S1069" i="8"/>
  <c r="S1070" i="8"/>
  <c r="S1071" i="8"/>
  <c r="S1072" i="8"/>
  <c r="S1073" i="8"/>
  <c r="T1073" i="8" s="1"/>
  <c r="S1074" i="8"/>
  <c r="S1075" i="8"/>
  <c r="S1076" i="8"/>
  <c r="S1077" i="8"/>
  <c r="S1078" i="8"/>
  <c r="S1079" i="8"/>
  <c r="S1080" i="8"/>
  <c r="T1080" i="8" s="1"/>
  <c r="S1081" i="8"/>
  <c r="S1082" i="8"/>
  <c r="S1083" i="8"/>
  <c r="S1084" i="8"/>
  <c r="S1085" i="8"/>
  <c r="T1085" i="8" s="1"/>
  <c r="S1086" i="8"/>
  <c r="S1087" i="8"/>
  <c r="S1088" i="8"/>
  <c r="S1089" i="8"/>
  <c r="S1090" i="8"/>
  <c r="S1091" i="8"/>
  <c r="S1092" i="8"/>
  <c r="T1092" i="8" s="1"/>
  <c r="S1093" i="8"/>
  <c r="S1094" i="8"/>
  <c r="S1095" i="8"/>
  <c r="S1096" i="8"/>
  <c r="S1097" i="8"/>
  <c r="T1097" i="8" s="1"/>
  <c r="S1098" i="8"/>
  <c r="S1099" i="8"/>
  <c r="S1100" i="8"/>
  <c r="S1101" i="8"/>
  <c r="S1102" i="8"/>
  <c r="S1103" i="8"/>
  <c r="S1104" i="8"/>
  <c r="T1104" i="8" s="1"/>
  <c r="S1105" i="8"/>
  <c r="T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4" i="8"/>
  <c r="T585" i="8"/>
  <c r="T586" i="8"/>
  <c r="T587" i="8"/>
  <c r="T589" i="8"/>
  <c r="T590" i="8"/>
  <c r="T592" i="8"/>
  <c r="T594" i="8"/>
  <c r="T596" i="8"/>
  <c r="T597" i="8"/>
  <c r="T598" i="8"/>
  <c r="T599" i="8"/>
  <c r="T600" i="8"/>
  <c r="T601" i="8"/>
  <c r="T602" i="8"/>
  <c r="T604" i="8"/>
  <c r="T605" i="8"/>
  <c r="T606" i="8"/>
  <c r="T608" i="8"/>
  <c r="T610" i="8"/>
  <c r="T611" i="8"/>
  <c r="T613" i="8"/>
  <c r="T614" i="8"/>
  <c r="T616" i="8"/>
  <c r="T618" i="8"/>
  <c r="T620" i="8"/>
  <c r="T622" i="8"/>
  <c r="T623" i="8"/>
  <c r="T625" i="8"/>
  <c r="T626" i="8"/>
  <c r="T627" i="8"/>
  <c r="T628" i="8"/>
  <c r="T630" i="8"/>
  <c r="T631" i="8"/>
  <c r="T632" i="8"/>
  <c r="T633" i="8"/>
  <c r="T634" i="8"/>
  <c r="T635" i="8"/>
  <c r="T637" i="8"/>
  <c r="T638" i="8"/>
  <c r="T639" i="8"/>
  <c r="T640" i="8"/>
  <c r="T642" i="8"/>
  <c r="T643" i="8"/>
  <c r="T644" i="8"/>
  <c r="T645" i="8"/>
  <c r="T646" i="8"/>
  <c r="T647" i="8"/>
  <c r="T649" i="8"/>
  <c r="T650" i="8"/>
  <c r="T651" i="8"/>
  <c r="T652" i="8"/>
  <c r="T654" i="8"/>
  <c r="T655" i="8"/>
  <c r="T656" i="8"/>
  <c r="T657" i="8"/>
  <c r="T658" i="8"/>
  <c r="T659" i="8"/>
  <c r="T661" i="8"/>
  <c r="T662" i="8"/>
  <c r="T663" i="8"/>
  <c r="T664" i="8"/>
  <c r="T666" i="8"/>
  <c r="T667" i="8"/>
  <c r="T668" i="8"/>
  <c r="T669" i="8"/>
  <c r="T670" i="8"/>
  <c r="T671" i="8"/>
  <c r="T673" i="8"/>
  <c r="T674" i="8"/>
  <c r="T675" i="8"/>
  <c r="T676" i="8"/>
  <c r="T678" i="8"/>
  <c r="T679" i="8"/>
  <c r="T680" i="8"/>
  <c r="T681" i="8"/>
  <c r="T682" i="8"/>
  <c r="T683" i="8"/>
  <c r="T685" i="8"/>
  <c r="T686" i="8"/>
  <c r="T687" i="8"/>
  <c r="T688" i="8"/>
  <c r="T690" i="8"/>
  <c r="T691" i="8"/>
  <c r="T692" i="8"/>
  <c r="T693" i="8"/>
  <c r="T694" i="8"/>
  <c r="T695" i="8"/>
  <c r="T697" i="8"/>
  <c r="T698" i="8"/>
  <c r="T699" i="8"/>
  <c r="T700" i="8"/>
  <c r="T702" i="8"/>
  <c r="T703" i="8"/>
  <c r="T704" i="8"/>
  <c r="T705" i="8"/>
  <c r="T706" i="8"/>
  <c r="T707" i="8"/>
  <c r="T709" i="8"/>
  <c r="T710" i="8"/>
  <c r="T711" i="8"/>
  <c r="T712" i="8"/>
  <c r="T714" i="8"/>
  <c r="T715" i="8"/>
  <c r="T716" i="8"/>
  <c r="T717" i="8"/>
  <c r="T718" i="8"/>
  <c r="T719" i="8"/>
  <c r="T721" i="8"/>
  <c r="T722" i="8"/>
  <c r="T723" i="8"/>
  <c r="T724" i="8"/>
  <c r="T726" i="8"/>
  <c r="T727" i="8"/>
  <c r="T728" i="8"/>
  <c r="T729" i="8"/>
  <c r="T730" i="8"/>
  <c r="T731" i="8"/>
  <c r="T733" i="8"/>
  <c r="T734" i="8"/>
  <c r="T735" i="8"/>
  <c r="T736" i="8"/>
  <c r="T738" i="8"/>
  <c r="T739" i="8"/>
  <c r="T740" i="8"/>
  <c r="T741" i="8"/>
  <c r="T742" i="8"/>
  <c r="T743" i="8"/>
  <c r="T745" i="8"/>
  <c r="T746" i="8"/>
  <c r="T747" i="8"/>
  <c r="T748" i="8"/>
  <c r="T750" i="8"/>
  <c r="T751" i="8"/>
  <c r="T752" i="8"/>
  <c r="T753" i="8"/>
  <c r="T754" i="8"/>
  <c r="T755" i="8"/>
  <c r="T757" i="8"/>
  <c r="T758" i="8"/>
  <c r="T759" i="8"/>
  <c r="T760" i="8"/>
  <c r="T762" i="8"/>
  <c r="T763" i="8"/>
  <c r="T764" i="8"/>
  <c r="T765" i="8"/>
  <c r="T766" i="8"/>
  <c r="T767" i="8"/>
  <c r="T769" i="8"/>
  <c r="T770" i="8"/>
  <c r="T771" i="8"/>
  <c r="T772" i="8"/>
  <c r="T774" i="8"/>
  <c r="T775" i="8"/>
  <c r="T776" i="8"/>
  <c r="T777" i="8"/>
  <c r="T778" i="8"/>
  <c r="T779" i="8"/>
  <c r="T781" i="8"/>
  <c r="T782" i="8"/>
  <c r="T783" i="8"/>
  <c r="T784" i="8"/>
  <c r="T786" i="8"/>
  <c r="T787" i="8"/>
  <c r="T788" i="8"/>
  <c r="T789" i="8"/>
  <c r="T790" i="8"/>
  <c r="T791" i="8"/>
  <c r="T793" i="8"/>
  <c r="T794" i="8"/>
  <c r="T795" i="8"/>
  <c r="T796" i="8"/>
  <c r="T798" i="8"/>
  <c r="T799" i="8"/>
  <c r="T800" i="8"/>
  <c r="T801" i="8"/>
  <c r="T802" i="8"/>
  <c r="T803" i="8"/>
  <c r="T805" i="8"/>
  <c r="T806" i="8"/>
  <c r="T807" i="8"/>
  <c r="T808" i="8"/>
  <c r="T810" i="8"/>
  <c r="T811" i="8"/>
  <c r="T812" i="8"/>
  <c r="T813" i="8"/>
  <c r="T814" i="8"/>
  <c r="T815" i="8"/>
  <c r="T817" i="8"/>
  <c r="T818" i="8"/>
  <c r="T819" i="8"/>
  <c r="T820" i="8"/>
  <c r="T822" i="8"/>
  <c r="T823" i="8"/>
  <c r="T824" i="8"/>
  <c r="T825" i="8"/>
  <c r="T826" i="8"/>
  <c r="T827" i="8"/>
  <c r="T829" i="8"/>
  <c r="T830" i="8"/>
  <c r="T831" i="8"/>
  <c r="T832" i="8"/>
  <c r="T834" i="8"/>
  <c r="T835" i="8"/>
  <c r="T836" i="8"/>
  <c r="T837" i="8"/>
  <c r="T838" i="8"/>
  <c r="T839" i="8"/>
  <c r="T841" i="8"/>
  <c r="T842" i="8"/>
  <c r="T843" i="8"/>
  <c r="T844" i="8"/>
  <c r="T846" i="8"/>
  <c r="T847" i="8"/>
  <c r="T848" i="8"/>
  <c r="T849" i="8"/>
  <c r="T850" i="8"/>
  <c r="T851" i="8"/>
  <c r="T853" i="8"/>
  <c r="T854" i="8"/>
  <c r="T855" i="8"/>
  <c r="T856" i="8"/>
  <c r="T858" i="8"/>
  <c r="T859" i="8"/>
  <c r="T860" i="8"/>
  <c r="T861" i="8"/>
  <c r="T862" i="8"/>
  <c r="T863" i="8"/>
  <c r="T865" i="8"/>
  <c r="T866" i="8"/>
  <c r="T867" i="8"/>
  <c r="T868" i="8"/>
  <c r="T870" i="8"/>
  <c r="T871" i="8"/>
  <c r="T872" i="8"/>
  <c r="T873" i="8"/>
  <c r="T874" i="8"/>
  <c r="T875" i="8"/>
  <c r="T877" i="8"/>
  <c r="T878" i="8"/>
  <c r="T879" i="8"/>
  <c r="T880" i="8"/>
  <c r="T882" i="8"/>
  <c r="T883" i="8"/>
  <c r="T884" i="8"/>
  <c r="T885" i="8"/>
  <c r="T886" i="8"/>
  <c r="T887" i="8"/>
  <c r="T889" i="8"/>
  <c r="T890" i="8"/>
  <c r="T891" i="8"/>
  <c r="T892" i="8"/>
  <c r="T894" i="8"/>
  <c r="T895" i="8"/>
  <c r="T896" i="8"/>
  <c r="T897" i="8"/>
  <c r="T898" i="8"/>
  <c r="T899" i="8"/>
  <c r="T901" i="8"/>
  <c r="T902" i="8"/>
  <c r="T903" i="8"/>
  <c r="T904" i="8"/>
  <c r="T906" i="8"/>
  <c r="T907" i="8"/>
  <c r="T908" i="8"/>
  <c r="T909" i="8"/>
  <c r="T910" i="8"/>
  <c r="T911" i="8"/>
  <c r="T913" i="8"/>
  <c r="T914" i="8"/>
  <c r="T915" i="8"/>
  <c r="T916" i="8"/>
  <c r="T918" i="8"/>
  <c r="T919" i="8"/>
  <c r="T920" i="8"/>
  <c r="T921" i="8"/>
  <c r="T922" i="8"/>
  <c r="T923" i="8"/>
  <c r="T925" i="8"/>
  <c r="T926" i="8"/>
  <c r="T927" i="8"/>
  <c r="T928" i="8"/>
  <c r="T930" i="8"/>
  <c r="T931" i="8"/>
  <c r="T932" i="8"/>
  <c r="T933" i="8"/>
  <c r="T934" i="8"/>
  <c r="T935" i="8"/>
  <c r="T937" i="8"/>
  <c r="T938" i="8"/>
  <c r="T939" i="8"/>
  <c r="T940" i="8"/>
  <c r="T942" i="8"/>
  <c r="T943" i="8"/>
  <c r="T944" i="8"/>
  <c r="T945" i="8"/>
  <c r="T946" i="8"/>
  <c r="T947" i="8"/>
  <c r="T949" i="8"/>
  <c r="T950" i="8"/>
  <c r="T951" i="8"/>
  <c r="T952" i="8"/>
  <c r="T954" i="8"/>
  <c r="T955" i="8"/>
  <c r="T956" i="8"/>
  <c r="T957" i="8"/>
  <c r="T958" i="8"/>
  <c r="T959" i="8"/>
  <c r="T961" i="8"/>
  <c r="T962" i="8"/>
  <c r="T963" i="8"/>
  <c r="T964" i="8"/>
  <c r="T966" i="8"/>
  <c r="T967" i="8"/>
  <c r="T968" i="8"/>
  <c r="T969" i="8"/>
  <c r="T970" i="8"/>
  <c r="T971" i="8"/>
  <c r="T973" i="8"/>
  <c r="T974" i="8"/>
  <c r="T975" i="8"/>
  <c r="T976" i="8"/>
  <c r="T978" i="8"/>
  <c r="T979" i="8"/>
  <c r="T980" i="8"/>
  <c r="T981" i="8"/>
  <c r="T982" i="8"/>
  <c r="T983" i="8"/>
  <c r="T985" i="8"/>
  <c r="T986" i="8"/>
  <c r="T987" i="8"/>
  <c r="T988" i="8"/>
  <c r="T990" i="8"/>
  <c r="T991" i="8"/>
  <c r="T992" i="8"/>
  <c r="T993" i="8"/>
  <c r="T994" i="8"/>
  <c r="T995" i="8"/>
  <c r="T997" i="8"/>
  <c r="T998" i="8"/>
  <c r="T999" i="8"/>
  <c r="T1000" i="8"/>
  <c r="T1002" i="8"/>
  <c r="T1003" i="8"/>
  <c r="T1004" i="8"/>
  <c r="T1005" i="8"/>
  <c r="T1006" i="8"/>
  <c r="T1007" i="8"/>
  <c r="T1009" i="8"/>
  <c r="T1010" i="8"/>
  <c r="T1011" i="8"/>
  <c r="T1012" i="8"/>
  <c r="T1014" i="8"/>
  <c r="T1015" i="8"/>
  <c r="T1016" i="8"/>
  <c r="T1017" i="8"/>
  <c r="T1018" i="8"/>
  <c r="T1019" i="8"/>
  <c r="T1021" i="8"/>
  <c r="T1022" i="8"/>
  <c r="T1023" i="8"/>
  <c r="T1024" i="8"/>
  <c r="T1026" i="8"/>
  <c r="T1027" i="8"/>
  <c r="T1028" i="8"/>
  <c r="T1029" i="8"/>
  <c r="T1030" i="8"/>
  <c r="T1031" i="8"/>
  <c r="T1033" i="8"/>
  <c r="T1034" i="8"/>
  <c r="T1035" i="8"/>
  <c r="T1036" i="8"/>
  <c r="T1038" i="8"/>
  <c r="T1039" i="8"/>
  <c r="T1040" i="8"/>
  <c r="T1041" i="8"/>
  <c r="T1042" i="8"/>
  <c r="T1043" i="8"/>
  <c r="T1045" i="8"/>
  <c r="T1046" i="8"/>
  <c r="T1047" i="8"/>
  <c r="T1048" i="8"/>
  <c r="T1050" i="8"/>
  <c r="T1051" i="8"/>
  <c r="T1052" i="8"/>
  <c r="T1053" i="8"/>
  <c r="T1054" i="8"/>
  <c r="T1055" i="8"/>
  <c r="T1057" i="8"/>
  <c r="T1058" i="8"/>
  <c r="T1059" i="8"/>
  <c r="T1060" i="8"/>
  <c r="T1062" i="8"/>
  <c r="T1063" i="8"/>
  <c r="T1064" i="8"/>
  <c r="T1065" i="8"/>
  <c r="T1066" i="8"/>
  <c r="T1067" i="8"/>
  <c r="T1069" i="8"/>
  <c r="T1070" i="8"/>
  <c r="T1071" i="8"/>
  <c r="T1072" i="8"/>
  <c r="T1074" i="8"/>
  <c r="T1075" i="8"/>
  <c r="T1076" i="8"/>
  <c r="T1077" i="8"/>
  <c r="T1078" i="8"/>
  <c r="T1079" i="8"/>
  <c r="T1081" i="8"/>
  <c r="T1082" i="8"/>
  <c r="T1083" i="8"/>
  <c r="T1084" i="8"/>
  <c r="T1086" i="8"/>
  <c r="T1087" i="8"/>
  <c r="T1088" i="8"/>
  <c r="T1089" i="8"/>
  <c r="T1090" i="8"/>
  <c r="T1091" i="8"/>
  <c r="T1093" i="8"/>
  <c r="T1094" i="8"/>
  <c r="T1095" i="8"/>
  <c r="T1096" i="8"/>
  <c r="T1098" i="8"/>
  <c r="T1099" i="8"/>
  <c r="T1100" i="8"/>
  <c r="T1101" i="8"/>
  <c r="T1102" i="8"/>
  <c r="T1103" i="8"/>
  <c r="T1105" i="8"/>
  <c r="D7" i="28"/>
  <c r="D6" i="28"/>
  <c r="D5" i="28"/>
  <c r="D2" i="28"/>
  <c r="D3" i="28"/>
  <c r="D4" i="28"/>
  <c r="B11" i="28"/>
  <c r="D11" i="28" s="1"/>
  <c r="B10" i="28"/>
  <c r="D10" i="28" s="1"/>
  <c r="B9" i="28"/>
  <c r="D9" i="28" s="1"/>
  <c r="B8" i="28"/>
  <c r="D8" i="28" s="1"/>
  <c r="B7" i="28"/>
  <c r="B6" i="28"/>
  <c r="B5" i="28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B4" i="28"/>
  <c r="B3" i="28"/>
  <c r="B5" i="27" l="1"/>
  <c r="B6" i="27" s="1"/>
  <c r="B4" i="27"/>
  <c r="M3" i="17"/>
  <c r="C6" i="17"/>
  <c r="C11" i="17"/>
  <c r="C10" i="17"/>
  <c r="C9" i="17"/>
  <c r="C8" i="17"/>
  <c r="C7" i="17"/>
  <c r="C5" i="17"/>
  <c r="C4" i="17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2" i="2"/>
  <c r="D4" i="27" l="1"/>
  <c r="C9" i="27"/>
  <c r="C4" i="27"/>
  <c r="D7" i="27"/>
  <c r="D43" i="27"/>
  <c r="C33" i="27"/>
  <c r="D31" i="27"/>
  <c r="C21" i="27"/>
  <c r="C45" i="27"/>
  <c r="C29" i="27"/>
  <c r="D19" i="27"/>
  <c r="C5" i="27"/>
  <c r="C25" i="27"/>
  <c r="D36" i="27"/>
  <c r="C26" i="27"/>
  <c r="D25" i="27"/>
  <c r="C39" i="27"/>
  <c r="D15" i="27"/>
  <c r="C3" i="27"/>
  <c r="D48" i="27"/>
  <c r="D37" i="27"/>
  <c r="C27" i="27"/>
  <c r="D14" i="27"/>
  <c r="C40" i="27"/>
  <c r="C17" i="27"/>
  <c r="C37" i="27"/>
  <c r="D24" i="27"/>
  <c r="C38" i="27"/>
  <c r="D13" i="27"/>
  <c r="D26" i="27"/>
  <c r="C28" i="27"/>
  <c r="D27" i="27"/>
  <c r="C41" i="27"/>
  <c r="C13" i="27"/>
  <c r="C14" i="27"/>
  <c r="C15" i="27"/>
  <c r="C16" i="27"/>
  <c r="D12" i="27"/>
  <c r="D3" i="27"/>
  <c r="D38" i="27"/>
  <c r="D39" i="27"/>
  <c r="D11" i="27"/>
  <c r="D47" i="27"/>
  <c r="C36" i="27"/>
  <c r="D23" i="27"/>
  <c r="C48" i="27"/>
  <c r="C12" i="27"/>
  <c r="D46" i="27"/>
  <c r="D22" i="27"/>
  <c r="C47" i="27"/>
  <c r="C35" i="27"/>
  <c r="C23" i="27"/>
  <c r="C11" i="27"/>
  <c r="D45" i="27"/>
  <c r="D33" i="27"/>
  <c r="D21" i="27"/>
  <c r="D9" i="27"/>
  <c r="D35" i="27"/>
  <c r="C24" i="27"/>
  <c r="D34" i="27"/>
  <c r="D10" i="27"/>
  <c r="C46" i="27"/>
  <c r="C34" i="27"/>
  <c r="C22" i="27"/>
  <c r="C10" i="27"/>
  <c r="D44" i="27"/>
  <c r="D32" i="27"/>
  <c r="D20" i="27"/>
  <c r="D8" i="27"/>
  <c r="C44" i="27"/>
  <c r="D18" i="27"/>
  <c r="C32" i="27"/>
  <c r="C20" i="27"/>
  <c r="C8" i="27"/>
  <c r="D42" i="27"/>
  <c r="D30" i="27"/>
  <c r="D6" i="27"/>
  <c r="C43" i="27"/>
  <c r="C31" i="27"/>
  <c r="C19" i="27"/>
  <c r="C7" i="27"/>
  <c r="D41" i="27"/>
  <c r="D29" i="27"/>
  <c r="D17" i="27"/>
  <c r="D5" i="27"/>
  <c r="C42" i="27"/>
  <c r="C30" i="27"/>
  <c r="C18" i="27"/>
  <c r="C6" i="27"/>
  <c r="D40" i="27"/>
  <c r="D28" i="27"/>
  <c r="D16" i="27"/>
  <c r="B7" i="27"/>
  <c r="K7" i="17"/>
  <c r="K6" i="17"/>
  <c r="K5" i="17"/>
  <c r="K4" i="17"/>
  <c r="K3" i="17"/>
  <c r="B8" i="27" l="1"/>
  <c r="B9" i="27" l="1"/>
  <c r="B10" i="27" l="1"/>
  <c r="B11" i="27" l="1"/>
  <c r="B12" i="27" l="1"/>
  <c r="B13" i="27" l="1"/>
  <c r="B14" i="27" l="1"/>
  <c r="B15" i="27" l="1"/>
  <c r="B16" i="27" l="1"/>
  <c r="B17" i="27" l="1"/>
  <c r="B18" i="27" l="1"/>
  <c r="B19" i="27" l="1"/>
  <c r="B20" i="27" l="1"/>
  <c r="B21" i="27" l="1"/>
  <c r="B22" i="27" l="1"/>
  <c r="B23" i="27" l="1"/>
  <c r="B24" i="27" l="1"/>
  <c r="B25" i="27" l="1"/>
  <c r="B26" i="27" l="1"/>
  <c r="B27" i="27" l="1"/>
  <c r="B28" i="27" l="1"/>
  <c r="B29" i="27" l="1"/>
  <c r="B30" i="27" l="1"/>
  <c r="B31" i="27" l="1"/>
  <c r="B32" i="27" l="1"/>
  <c r="B33" i="27" l="1"/>
  <c r="B34" i="27" l="1"/>
  <c r="B35" i="27" l="1"/>
  <c r="B36" i="27" l="1"/>
  <c r="B37" i="27" l="1"/>
  <c r="B38" i="27" l="1"/>
  <c r="B39" i="27" l="1"/>
  <c r="B40" i="27" l="1"/>
  <c r="B41" i="27" l="1"/>
  <c r="B42" i="27" l="1"/>
  <c r="B43" i="27" l="1"/>
  <c r="B44" i="27" l="1"/>
  <c r="B45" i="27" l="1"/>
  <c r="B46" i="27" l="1"/>
  <c r="B47" i="27" l="1"/>
  <c r="B48" i="2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CAC130-CC75-4A22-9A9F-4C991A33A27C}" keepAlive="1" name="Query - Away_rows" description="Connection to the 'Away_rows' query in the workbook." type="5" refreshedVersion="8" background="1" saveData="1">
    <dbPr connection="Provider=Microsoft.Mashup.OleDb.1;Data Source=$Workbook$;Location=Away_rows;Extended Properties=&quot;&quot;" command="SELECT * FROM [Away_rows]"/>
  </connection>
  <connection id="2" xr16:uid="{3C07A747-3A26-4B6D-A783-4D0F590283DE}" keepAlive="1" name="Query - Errors in Team_Level" description="Connection to the 'Errors in Team_Level' query in the workbook." type="5" refreshedVersion="0" background="1">
    <dbPr connection="Provider=Microsoft.Mashup.OleDb.1;Data Source=$Workbook$;Location=&quot;Errors in Team_Level&quot;;Extended Properties=&quot;&quot;" command="SELECT * FROM [Errors in Team_Level]"/>
  </connection>
  <connection id="3" xr16:uid="{586F6D78-B2E3-4BEC-BFFE-00A373AFB8A6}" keepAlive="1" name="Query - Home_rows" description="Connection to the 'Home_rows' query in the workbook." type="5" refreshedVersion="8" background="1" saveData="1">
    <dbPr connection="Provider=Microsoft.Mashup.OleDb.1;Data Source=$Workbook$;Location=Home_rows;Extended Properties=&quot;&quot;" command="SELECT * FROM [Home_rows]"/>
  </connection>
  <connection id="4" xr16:uid="{0EDC35FA-0AF8-4FCE-A3C3-69FE66FC7466}" keepAlive="1" name="Query - SelectedTeamQuery" description="Connection to the 'SelectedTeamQuery' query in the workbook." type="5" refreshedVersion="0" background="1">
    <dbPr connection="Provider=Microsoft.Mashup.OleDb.1;Data Source=$Workbook$;Location=SelectedTeamQuery;Extended Properties=&quot;&quot;" command="SELECT * FROM [SelectedTeamQuery]"/>
  </connection>
  <connection id="5" xr16:uid="{618C596C-882D-4A38-851C-425482AD281E}" keepAlive="1" name="Query - Team_Level" description="Connection to the 'Team_Level' query in the workbook." type="5" refreshedVersion="8" background="1" saveData="1">
    <dbPr connection="Provider=Microsoft.Mashup.OleDb.1;Data Source=$Workbook$;Location=Team_Level;Extended Properties=&quot;&quot;" command="SELECT * FROM [Team_Level]"/>
  </connection>
  <connection id="6" xr16:uid="{EA530E95-A961-4929-A448-99966DE0097F}" keepAlive="1" name="Query - Team_Level_Filtered" description="Connection to the 'Team_Level_Filtered' query in the workbook." type="5" refreshedVersion="8" background="1" saveData="1">
    <dbPr connection="Provider=Microsoft.Mashup.OleDb.1;Data Source=$Workbook$;Location=Team_Level_Filtered;Extended Properties=&quot;&quot;" command="SELECT * FROM [Team_Level_Filtered]"/>
  </connection>
  <connection id="7" xr16:uid="{28E2D0E8-C43C-43CA-9708-BEAF600769AA}" keepAlive="1" name="Query - TeamParameter" description="Connection to the 'TeamParameter' query in the workbook." type="5" refreshedVersion="0" background="1">
    <dbPr connection="Provider=Microsoft.Mashup.OleDb.1;Data Source=$Workbook$;Location=TeamParameter;Extended Properties=&quot;&quot;" command="SELECT * FROM [TeamParameter]"/>
  </connection>
</connections>
</file>

<file path=xl/sharedStrings.xml><?xml version="1.0" encoding="utf-8"?>
<sst xmlns="http://schemas.openxmlformats.org/spreadsheetml/2006/main" count="11050" uniqueCount="646">
  <si>
    <t>AFC Wimbledon</t>
  </si>
  <si>
    <t>Barnsley</t>
  </si>
  <si>
    <t>Blackpool</t>
  </si>
  <si>
    <t>Bradford City</t>
  </si>
  <si>
    <t>Bromley</t>
  </si>
  <si>
    <t>Burton Albion</t>
  </si>
  <si>
    <t>Cambridge United</t>
  </si>
  <si>
    <t>Doncaster Rovers</t>
  </si>
  <si>
    <t>Huddersfield Town</t>
  </si>
  <si>
    <t>Leicester City</t>
  </si>
  <si>
    <t>Leyton Orient</t>
  </si>
  <si>
    <t>Luton Town</t>
  </si>
  <si>
    <t>Mansfield Town</t>
  </si>
  <si>
    <t>Notts County</t>
  </si>
  <si>
    <t>Oxford United</t>
  </si>
  <si>
    <t>Peterborough United</t>
  </si>
  <si>
    <t>Plymouth Argyle</t>
  </si>
  <si>
    <t>Reading</t>
  </si>
  <si>
    <t>Sheffield Wednesday</t>
  </si>
  <si>
    <t>Stevenage</t>
  </si>
  <si>
    <t>Stockport County</t>
  </si>
  <si>
    <t>Wigan Athletic</t>
  </si>
  <si>
    <t>Wycombe Wanderers</t>
  </si>
  <si>
    <t>Match ID</t>
  </si>
  <si>
    <t>Date</t>
  </si>
  <si>
    <t>Home Team</t>
  </si>
  <si>
    <t>Away Team</t>
  </si>
  <si>
    <t>Home xG</t>
  </si>
  <si>
    <t>Away xG</t>
  </si>
  <si>
    <t>Home Goals</t>
  </si>
  <si>
    <t>Away Goals</t>
  </si>
  <si>
    <t xml:space="preserve">Goal difference </t>
  </si>
  <si>
    <t>Total xG</t>
  </si>
  <si>
    <t>Milton Keynes Dons</t>
  </si>
  <si>
    <t>Home</t>
  </si>
  <si>
    <t>Away</t>
  </si>
  <si>
    <t xml:space="preserve">xG Difference (Home - Away </t>
  </si>
  <si>
    <t>Total Goals</t>
  </si>
  <si>
    <t xml:space="preserve">xG Overperformance </t>
  </si>
  <si>
    <t xml:space="preserve">xG Overperformance (Home) </t>
  </si>
  <si>
    <t>xG Overperformance (Away)</t>
  </si>
  <si>
    <t>Result</t>
  </si>
  <si>
    <t>Team</t>
  </si>
  <si>
    <t>Opponent</t>
  </si>
  <si>
    <t>Team xG</t>
  </si>
  <si>
    <t>Opponent xG</t>
  </si>
  <si>
    <t>Team Goals</t>
  </si>
  <si>
    <t>Opponent Goals</t>
  </si>
  <si>
    <t>Venue</t>
  </si>
  <si>
    <t>xG Diff</t>
  </si>
  <si>
    <t>Goal Diff</t>
  </si>
  <si>
    <t xml:space="preserve">Result </t>
  </si>
  <si>
    <t>Loss</t>
  </si>
  <si>
    <t>Draw</t>
  </si>
  <si>
    <t>Win</t>
  </si>
  <si>
    <t>Row Labels</t>
  </si>
  <si>
    <t>Grand Total</t>
  </si>
  <si>
    <t>(blank)</t>
  </si>
  <si>
    <t>xG For</t>
  </si>
  <si>
    <t>xG Against</t>
  </si>
  <si>
    <t>Goals For</t>
  </si>
  <si>
    <t>Goals Against</t>
  </si>
  <si>
    <t>Total xG Diff</t>
  </si>
  <si>
    <t>Total Goal Diff</t>
  </si>
  <si>
    <t>Total xG performance</t>
  </si>
  <si>
    <t>Games Played</t>
  </si>
  <si>
    <t xml:space="preserve">Games Played </t>
  </si>
  <si>
    <t>Select Team:</t>
  </si>
  <si>
    <t>xG Overperformance</t>
  </si>
  <si>
    <t>xG For , Goals For</t>
  </si>
  <si>
    <t xml:space="preserve">xG Against , Goals Against </t>
  </si>
  <si>
    <t>Last 5 Form</t>
  </si>
  <si>
    <t>Recency Rank</t>
  </si>
  <si>
    <t>Match Key</t>
  </si>
  <si>
    <t xml:space="preserve">Most Recent </t>
  </si>
  <si>
    <t>Least Recent</t>
  </si>
  <si>
    <t>Match #</t>
  </si>
  <si>
    <t>Chrono Rank</t>
  </si>
  <si>
    <t>Chrono Key</t>
  </si>
  <si>
    <t>L1_0001</t>
  </si>
  <si>
    <t>L1_0002</t>
  </si>
  <si>
    <t>L1_0003</t>
  </si>
  <si>
    <t>L1_0004</t>
  </si>
  <si>
    <t>L1_0005</t>
  </si>
  <si>
    <t>L1_0006</t>
  </si>
  <si>
    <t>L1_0007</t>
  </si>
  <si>
    <t>L1_0008</t>
  </si>
  <si>
    <t>L1_0009</t>
  </si>
  <si>
    <t>L1_0010</t>
  </si>
  <si>
    <t>L1_0011</t>
  </si>
  <si>
    <t>L1_0012</t>
  </si>
  <si>
    <t>L1_0013</t>
  </si>
  <si>
    <t>L1_0014</t>
  </si>
  <si>
    <t>L1_0015</t>
  </si>
  <si>
    <t>L1_0016</t>
  </si>
  <si>
    <t>L1_0017</t>
  </si>
  <si>
    <t>L1_0018</t>
  </si>
  <si>
    <t>L1_0019</t>
  </si>
  <si>
    <t>L1_0020</t>
  </si>
  <si>
    <t>L1_0021</t>
  </si>
  <si>
    <t>L1_0022</t>
  </si>
  <si>
    <t>L1_0023</t>
  </si>
  <si>
    <t>L1_0024</t>
  </si>
  <si>
    <t>L1_0025</t>
  </si>
  <si>
    <t>L1_0026</t>
  </si>
  <si>
    <t>L1_0027</t>
  </si>
  <si>
    <t>L1_0028</t>
  </si>
  <si>
    <t>L1_0029</t>
  </si>
  <si>
    <t>L1_0030</t>
  </si>
  <si>
    <t>L1_0031</t>
  </si>
  <si>
    <t>L1_0032</t>
  </si>
  <si>
    <t>L1_0033</t>
  </si>
  <si>
    <t>L1_0034</t>
  </si>
  <si>
    <t>L1_0035</t>
  </si>
  <si>
    <t>L1_0036</t>
  </si>
  <si>
    <t>L1_0037</t>
  </si>
  <si>
    <t>L1_0038</t>
  </si>
  <si>
    <t>L1_0039</t>
  </si>
  <si>
    <t>L1_0040</t>
  </si>
  <si>
    <t>L1_0041</t>
  </si>
  <si>
    <t>L1_0042</t>
  </si>
  <si>
    <t>L1_0043</t>
  </si>
  <si>
    <t>L1_0044</t>
  </si>
  <si>
    <t>L1_0045</t>
  </si>
  <si>
    <t>L1_0046</t>
  </si>
  <si>
    <t>L1_0047</t>
  </si>
  <si>
    <t>L1_0048</t>
  </si>
  <si>
    <t>L1_0049</t>
  </si>
  <si>
    <t>L1_0050</t>
  </si>
  <si>
    <t>L1_0051</t>
  </si>
  <si>
    <t>L1_0052</t>
  </si>
  <si>
    <t>L1_0053</t>
  </si>
  <si>
    <t>L1_0054</t>
  </si>
  <si>
    <t>L1_0055</t>
  </si>
  <si>
    <t>L1_0056</t>
  </si>
  <si>
    <t>L1_0057</t>
  </si>
  <si>
    <t>L1_0058</t>
  </si>
  <si>
    <t>L1_0059</t>
  </si>
  <si>
    <t>L1_0060</t>
  </si>
  <si>
    <t>L1_0061</t>
  </si>
  <si>
    <t>L1_0062</t>
  </si>
  <si>
    <t>L1_0063</t>
  </si>
  <si>
    <t>L1_0064</t>
  </si>
  <si>
    <t>L1_0065</t>
  </si>
  <si>
    <t>L1_0066</t>
  </si>
  <si>
    <t>L1_0067</t>
  </si>
  <si>
    <t>L1_0068</t>
  </si>
  <si>
    <t>L1_0069</t>
  </si>
  <si>
    <t>L1_0070</t>
  </si>
  <si>
    <t>L1_0071</t>
  </si>
  <si>
    <t>L1_0072</t>
  </si>
  <si>
    <t>L1_0073</t>
  </si>
  <si>
    <t>L1_0074</t>
  </si>
  <si>
    <t>L1_0075</t>
  </si>
  <si>
    <t>L1_0076</t>
  </si>
  <si>
    <t>L1_0077</t>
  </si>
  <si>
    <t>L1_0078</t>
  </si>
  <si>
    <t>L1_0079</t>
  </si>
  <si>
    <t>L1_0080</t>
  </si>
  <si>
    <t>L1_0081</t>
  </si>
  <si>
    <t>L1_0082</t>
  </si>
  <si>
    <t>L1_0083</t>
  </si>
  <si>
    <t>L1_0084</t>
  </si>
  <si>
    <t>L1_0085</t>
  </si>
  <si>
    <t>L1_0086</t>
  </si>
  <si>
    <t>L1_0087</t>
  </si>
  <si>
    <t>L1_0088</t>
  </si>
  <si>
    <t>L1_0089</t>
  </si>
  <si>
    <t>L1_0090</t>
  </si>
  <si>
    <t>L1_0091</t>
  </si>
  <si>
    <t>L1_0092</t>
  </si>
  <si>
    <t>L1_0093</t>
  </si>
  <si>
    <t>L1_0094</t>
  </si>
  <si>
    <t>L1_0095</t>
  </si>
  <si>
    <t>L1_0096</t>
  </si>
  <si>
    <t>L1_0097</t>
  </si>
  <si>
    <t>L1_0098</t>
  </si>
  <si>
    <t>L1_0099</t>
  </si>
  <si>
    <t>L1_0100</t>
  </si>
  <si>
    <t>L1_0101</t>
  </si>
  <si>
    <t>L1_0102</t>
  </si>
  <si>
    <t>L1_0103</t>
  </si>
  <si>
    <t>L1_0104</t>
  </si>
  <si>
    <t>L1_0105</t>
  </si>
  <si>
    <t>L1_0106</t>
  </si>
  <si>
    <t>L1_0107</t>
  </si>
  <si>
    <t>L1_0108</t>
  </si>
  <si>
    <t>L1_0109</t>
  </si>
  <si>
    <t>L1_0110</t>
  </si>
  <si>
    <t>L1_0111</t>
  </si>
  <si>
    <t>L1_0112</t>
  </si>
  <si>
    <t>L1_0113</t>
  </si>
  <si>
    <t>L1_0114</t>
  </si>
  <si>
    <t>L1_0115</t>
  </si>
  <si>
    <t>L1_0116</t>
  </si>
  <si>
    <t>L1_0117</t>
  </si>
  <si>
    <t>L1_0118</t>
  </si>
  <si>
    <t>L1_0119</t>
  </si>
  <si>
    <t>L1_0120</t>
  </si>
  <si>
    <t>L1_0121</t>
  </si>
  <si>
    <t>L1_0122</t>
  </si>
  <si>
    <t>L1_0123</t>
  </si>
  <si>
    <t>L1_0124</t>
  </si>
  <si>
    <t>L1_0125</t>
  </si>
  <si>
    <t>L1_0126</t>
  </si>
  <si>
    <t>L1_0127</t>
  </si>
  <si>
    <t>L1_0128</t>
  </si>
  <si>
    <t>L1_0129</t>
  </si>
  <si>
    <t>L1_0130</t>
  </si>
  <si>
    <t>L1_0131</t>
  </si>
  <si>
    <t>L1_0132</t>
  </si>
  <si>
    <t>L1_0133</t>
  </si>
  <si>
    <t>L1_0134</t>
  </si>
  <si>
    <t>L1_0135</t>
  </si>
  <si>
    <t>L1_0136</t>
  </si>
  <si>
    <t>L1_0137</t>
  </si>
  <si>
    <t>L1_0138</t>
  </si>
  <si>
    <t>L1_0139</t>
  </si>
  <si>
    <t>L1_0140</t>
  </si>
  <si>
    <t>L1_0141</t>
  </si>
  <si>
    <t>L1_0142</t>
  </si>
  <si>
    <t>L1_0143</t>
  </si>
  <si>
    <t>L1_0144</t>
  </si>
  <si>
    <t>L1_0145</t>
  </si>
  <si>
    <t>L1_0146</t>
  </si>
  <si>
    <t>L1_0147</t>
  </si>
  <si>
    <t>L1_0148</t>
  </si>
  <si>
    <t>L1_0149</t>
  </si>
  <si>
    <t>L1_0150</t>
  </si>
  <si>
    <t>L1_0151</t>
  </si>
  <si>
    <t>L1_0152</t>
  </si>
  <si>
    <t>L1_0153</t>
  </si>
  <si>
    <t>L1_0154</t>
  </si>
  <si>
    <t>L1_0155</t>
  </si>
  <si>
    <t>L1_0156</t>
  </si>
  <si>
    <t>L1_0157</t>
  </si>
  <si>
    <t>L1_0158</t>
  </si>
  <si>
    <t>L1_0159</t>
  </si>
  <si>
    <t>L1_0160</t>
  </si>
  <si>
    <t>L1_0161</t>
  </si>
  <si>
    <t>L1_0162</t>
  </si>
  <si>
    <t>L1_0163</t>
  </si>
  <si>
    <t>L1_0164</t>
  </si>
  <si>
    <t>L1_0165</t>
  </si>
  <si>
    <t>L1_0166</t>
  </si>
  <si>
    <t>L1_0167</t>
  </si>
  <si>
    <t>L1_0168</t>
  </si>
  <si>
    <t>L1_0169</t>
  </si>
  <si>
    <t>L1_0170</t>
  </si>
  <si>
    <t>L1_0171</t>
  </si>
  <si>
    <t>L1_0172</t>
  </si>
  <si>
    <t>L1_0173</t>
  </si>
  <si>
    <t>L1_0174</t>
  </si>
  <si>
    <t>L1_0175</t>
  </si>
  <si>
    <t>L1_0176</t>
  </si>
  <si>
    <t>L1_0177</t>
  </si>
  <si>
    <t>L1_0178</t>
  </si>
  <si>
    <t>L1_0179</t>
  </si>
  <si>
    <t>L1_0180</t>
  </si>
  <si>
    <t>L1_0181</t>
  </si>
  <si>
    <t>L1_0182</t>
  </si>
  <si>
    <t>L1_0183</t>
  </si>
  <si>
    <t>L1_0184</t>
  </si>
  <si>
    <t>L1_0185</t>
  </si>
  <si>
    <t>L1_0186</t>
  </si>
  <si>
    <t>L1_0187</t>
  </si>
  <si>
    <t>L1_0188</t>
  </si>
  <si>
    <t>L1_0189</t>
  </si>
  <si>
    <t>L1_0190</t>
  </si>
  <si>
    <t>L1_0191</t>
  </si>
  <si>
    <t>L1_0192</t>
  </si>
  <si>
    <t>L1_0193</t>
  </si>
  <si>
    <t>L1_0194</t>
  </si>
  <si>
    <t>L1_0195</t>
  </si>
  <si>
    <t>L1_0196</t>
  </si>
  <si>
    <t>L1_0197</t>
  </si>
  <si>
    <t>L1_0198</t>
  </si>
  <si>
    <t>L1_0199</t>
  </si>
  <si>
    <t>L1_0200</t>
  </si>
  <si>
    <t>L1_0201</t>
  </si>
  <si>
    <t>L1_0202</t>
  </si>
  <si>
    <t>L1_0203</t>
  </si>
  <si>
    <t>L1_0204</t>
  </si>
  <si>
    <t>L1_0205</t>
  </si>
  <si>
    <t>L1_0206</t>
  </si>
  <si>
    <t>L1_0207</t>
  </si>
  <si>
    <t>L1_0208</t>
  </si>
  <si>
    <t>L1_0209</t>
  </si>
  <si>
    <t>L1_0210</t>
  </si>
  <si>
    <t>L1_0211</t>
  </si>
  <si>
    <t>L1_0212</t>
  </si>
  <si>
    <t>L1_0213</t>
  </si>
  <si>
    <t>L1_0214</t>
  </si>
  <si>
    <t>L1_0215</t>
  </si>
  <si>
    <t>L1_0216</t>
  </si>
  <si>
    <t>L1_0217</t>
  </si>
  <si>
    <t>L1_0218</t>
  </si>
  <si>
    <t>L1_0219</t>
  </si>
  <si>
    <t>L1_0220</t>
  </si>
  <si>
    <t>L1_0221</t>
  </si>
  <si>
    <t>L1_0222</t>
  </si>
  <si>
    <t>L1_0223</t>
  </si>
  <si>
    <t>L1_0224</t>
  </si>
  <si>
    <t>L1_0225</t>
  </si>
  <si>
    <t>L1_0226</t>
  </si>
  <si>
    <t>L1_0227</t>
  </si>
  <si>
    <t>L1_0228</t>
  </si>
  <si>
    <t>L1_0229</t>
  </si>
  <si>
    <t>L1_0230</t>
  </si>
  <si>
    <t>L1_0231</t>
  </si>
  <si>
    <t>L1_0232</t>
  </si>
  <si>
    <t>L1_0233</t>
  </si>
  <si>
    <t>L1_0234</t>
  </si>
  <si>
    <t>L1_0235</t>
  </si>
  <si>
    <t>L1_0236</t>
  </si>
  <si>
    <t>L1_0237</t>
  </si>
  <si>
    <t>L1_0238</t>
  </si>
  <si>
    <t>L1_0239</t>
  </si>
  <si>
    <t>L1_0240</t>
  </si>
  <si>
    <t>L1_0241</t>
  </si>
  <si>
    <t>L1_0242</t>
  </si>
  <si>
    <t>L1_0243</t>
  </si>
  <si>
    <t>L1_0244</t>
  </si>
  <si>
    <t>L1_0245</t>
  </si>
  <si>
    <t>L1_0246</t>
  </si>
  <si>
    <t>L1_0247</t>
  </si>
  <si>
    <t>L1_0248</t>
  </si>
  <si>
    <t>L1_0249</t>
  </si>
  <si>
    <t>L1_0250</t>
  </si>
  <si>
    <t>L1_0251</t>
  </si>
  <si>
    <t>L1_0252</t>
  </si>
  <si>
    <t>L1_0253</t>
  </si>
  <si>
    <t>L1_0254</t>
  </si>
  <si>
    <t>L1_0255</t>
  </si>
  <si>
    <t>L1_0256</t>
  </si>
  <si>
    <t>L1_0257</t>
  </si>
  <si>
    <t>L1_0258</t>
  </si>
  <si>
    <t>L1_0259</t>
  </si>
  <si>
    <t>L1_0260</t>
  </si>
  <si>
    <t>L1_0261</t>
  </si>
  <si>
    <t>L1_0262</t>
  </si>
  <si>
    <t>L1_0263</t>
  </si>
  <si>
    <t>L1_0264</t>
  </si>
  <si>
    <t>L1_0265</t>
  </si>
  <si>
    <t>L1_0266</t>
  </si>
  <si>
    <t>L1_0267</t>
  </si>
  <si>
    <t>L1_0268</t>
  </si>
  <si>
    <t>L1_0269</t>
  </si>
  <si>
    <t>L1_0270</t>
  </si>
  <si>
    <t>L1_0271</t>
  </si>
  <si>
    <t>L1_0272</t>
  </si>
  <si>
    <t>L1_0273</t>
  </si>
  <si>
    <t>L1_0274</t>
  </si>
  <si>
    <t>L1_0275</t>
  </si>
  <si>
    <t>L1_0276</t>
  </si>
  <si>
    <t>L1_0277</t>
  </si>
  <si>
    <t>L1_0278</t>
  </si>
  <si>
    <t>L1_0279</t>
  </si>
  <si>
    <t>L1_0280</t>
  </si>
  <si>
    <t>L1_0281</t>
  </si>
  <si>
    <t>L1_0282</t>
  </si>
  <si>
    <t>L1_0283</t>
  </si>
  <si>
    <t>L1_0284</t>
  </si>
  <si>
    <t>L1_0285</t>
  </si>
  <si>
    <t>L1_0286</t>
  </si>
  <si>
    <t>L1_0287</t>
  </si>
  <si>
    <t>L1_0288</t>
  </si>
  <si>
    <t>L1_0289</t>
  </si>
  <si>
    <t>L1_0290</t>
  </si>
  <si>
    <t>L1_0291</t>
  </si>
  <si>
    <t>L1_0292</t>
  </si>
  <si>
    <t>L1_0293</t>
  </si>
  <si>
    <t>L1_0294</t>
  </si>
  <si>
    <t>L1_0295</t>
  </si>
  <si>
    <t>L1_0296</t>
  </si>
  <si>
    <t>L1_0297</t>
  </si>
  <si>
    <t>L1_0298</t>
  </si>
  <si>
    <t>L1_0299</t>
  </si>
  <si>
    <t>L1_0300</t>
  </si>
  <si>
    <t>L1_0301</t>
  </si>
  <si>
    <t>L1_0302</t>
  </si>
  <si>
    <t>L1_0303</t>
  </si>
  <si>
    <t>L1_0304</t>
  </si>
  <si>
    <t>L1_0305</t>
  </si>
  <si>
    <t>L1_0306</t>
  </si>
  <si>
    <t>L1_0307</t>
  </si>
  <si>
    <t>L1_0308</t>
  </si>
  <si>
    <t>L1_0309</t>
  </si>
  <si>
    <t>L1_0310</t>
  </si>
  <si>
    <t>L1_0311</t>
  </si>
  <si>
    <t>L1_0312</t>
  </si>
  <si>
    <t>L1_0313</t>
  </si>
  <si>
    <t>L1_0314</t>
  </si>
  <si>
    <t>L1_0315</t>
  </si>
  <si>
    <t>L1_0316</t>
  </si>
  <si>
    <t>L1_0317</t>
  </si>
  <si>
    <t>L1_0318</t>
  </si>
  <si>
    <t>L1_0319</t>
  </si>
  <si>
    <t>L1_0320</t>
  </si>
  <si>
    <t>L1_0321</t>
  </si>
  <si>
    <t>L1_0322</t>
  </si>
  <si>
    <t>L1_0323</t>
  </si>
  <si>
    <t>L1_0324</t>
  </si>
  <si>
    <t>L1_0325</t>
  </si>
  <si>
    <t>L1_0326</t>
  </si>
  <si>
    <t>L1_0327</t>
  </si>
  <si>
    <t>L1_0328</t>
  </si>
  <si>
    <t>L1_0329</t>
  </si>
  <si>
    <t>L1_0330</t>
  </si>
  <si>
    <t>L1_0331</t>
  </si>
  <si>
    <t>L1_0332</t>
  </si>
  <si>
    <t>L1_0333</t>
  </si>
  <si>
    <t>L1_0334</t>
  </si>
  <si>
    <t>L1_0335</t>
  </si>
  <si>
    <t>L1_0336</t>
  </si>
  <si>
    <t>L1_0337</t>
  </si>
  <si>
    <t>L1_0338</t>
  </si>
  <si>
    <t>L1_0339</t>
  </si>
  <si>
    <t>L1_0340</t>
  </si>
  <si>
    <t>L1_0341</t>
  </si>
  <si>
    <t>L1_0342</t>
  </si>
  <si>
    <t>L1_0343</t>
  </si>
  <si>
    <t>L1_0344</t>
  </si>
  <si>
    <t>L1_0345</t>
  </si>
  <si>
    <t>L1_0346</t>
  </si>
  <si>
    <t>L1_0347</t>
  </si>
  <si>
    <t>L1_0348</t>
  </si>
  <si>
    <t>L1_0349</t>
  </si>
  <si>
    <t>L1_0350</t>
  </si>
  <si>
    <t>L1_0351</t>
  </si>
  <si>
    <t>L1_0352</t>
  </si>
  <si>
    <t>L1_0353</t>
  </si>
  <si>
    <t>L1_0354</t>
  </si>
  <si>
    <t>L1_0355</t>
  </si>
  <si>
    <t>L1_0356</t>
  </si>
  <si>
    <t>L1_0357</t>
  </si>
  <si>
    <t>L1_0358</t>
  </si>
  <si>
    <t>L1_0359</t>
  </si>
  <si>
    <t>L1_0360</t>
  </si>
  <si>
    <t>L1_0361</t>
  </si>
  <si>
    <t>L1_0362</t>
  </si>
  <si>
    <t>L1_0363</t>
  </si>
  <si>
    <t>L1_0364</t>
  </si>
  <si>
    <t>L1_0365</t>
  </si>
  <si>
    <t>L1_0366</t>
  </si>
  <si>
    <t>L1_0367</t>
  </si>
  <si>
    <t>L1_0368</t>
  </si>
  <si>
    <t>L1_0369</t>
  </si>
  <si>
    <t>L1_0370</t>
  </si>
  <si>
    <t>L1_0371</t>
  </si>
  <si>
    <t>L1_0372</t>
  </si>
  <si>
    <t>L1_0373</t>
  </si>
  <si>
    <t>L1_0374</t>
  </si>
  <si>
    <t>L1_0375</t>
  </si>
  <si>
    <t>L1_0376</t>
  </si>
  <si>
    <t>L1_0377</t>
  </si>
  <si>
    <t>L1_0378</t>
  </si>
  <si>
    <t>L1_0379</t>
  </si>
  <si>
    <t>L1_0380</t>
  </si>
  <si>
    <t>L1_0381</t>
  </si>
  <si>
    <t>L1_0382</t>
  </si>
  <si>
    <t>L1_0383</t>
  </si>
  <si>
    <t>L1_0384</t>
  </si>
  <si>
    <t>L1_0385</t>
  </si>
  <si>
    <t>L1_0386</t>
  </si>
  <si>
    <t>L1_0387</t>
  </si>
  <si>
    <t>L1_0388</t>
  </si>
  <si>
    <t>L1_0389</t>
  </si>
  <si>
    <t>L1_0390</t>
  </si>
  <si>
    <t>L1_0391</t>
  </si>
  <si>
    <t>L1_0392</t>
  </si>
  <si>
    <t>L1_0393</t>
  </si>
  <si>
    <t>L1_0394</t>
  </si>
  <si>
    <t>L1_0395</t>
  </si>
  <si>
    <t>L1_0396</t>
  </si>
  <si>
    <t>L1_0397</t>
  </si>
  <si>
    <t>L1_0398</t>
  </si>
  <si>
    <t>L1_0399</t>
  </si>
  <si>
    <t>L1_0400</t>
  </si>
  <si>
    <t>L1_0401</t>
  </si>
  <si>
    <t>L1_0402</t>
  </si>
  <si>
    <t>L1_0403</t>
  </si>
  <si>
    <t>L1_0404</t>
  </si>
  <si>
    <t>L1_0405</t>
  </si>
  <si>
    <t>L1_0406</t>
  </si>
  <si>
    <t>L1_0407</t>
  </si>
  <si>
    <t>L1_0408</t>
  </si>
  <si>
    <t>L1_0409</t>
  </si>
  <si>
    <t>L1_0410</t>
  </si>
  <si>
    <t>L1_0411</t>
  </si>
  <si>
    <t>L1_0412</t>
  </si>
  <si>
    <t>L1_0413</t>
  </si>
  <si>
    <t>L1_0414</t>
  </si>
  <si>
    <t>L1_0415</t>
  </si>
  <si>
    <t>L1_0416</t>
  </si>
  <si>
    <t>L1_0417</t>
  </si>
  <si>
    <t>L1_0418</t>
  </si>
  <si>
    <t>L1_0419</t>
  </si>
  <si>
    <t>L1_0420</t>
  </si>
  <si>
    <t>L1_0421</t>
  </si>
  <si>
    <t>L1_0422</t>
  </si>
  <si>
    <t>L1_0423</t>
  </si>
  <si>
    <t>L1_0424</t>
  </si>
  <si>
    <t>L1_0425</t>
  </si>
  <si>
    <t>L1_0426</t>
  </si>
  <si>
    <t>L1_0427</t>
  </si>
  <si>
    <t>L1_0428</t>
  </si>
  <si>
    <t>L1_0429</t>
  </si>
  <si>
    <t>L1_0430</t>
  </si>
  <si>
    <t>L1_0431</t>
  </si>
  <si>
    <t>L1_0432</t>
  </si>
  <si>
    <t>L1_0433</t>
  </si>
  <si>
    <t>L1_0434</t>
  </si>
  <si>
    <t>L1_0435</t>
  </si>
  <si>
    <t>L1_0436</t>
  </si>
  <si>
    <t>L1_0437</t>
  </si>
  <si>
    <t>L1_0438</t>
  </si>
  <si>
    <t>L1_0439</t>
  </si>
  <si>
    <t>L1_0440</t>
  </si>
  <si>
    <t>L1_0441</t>
  </si>
  <si>
    <t>L1_0442</t>
  </si>
  <si>
    <t>L1_0443</t>
  </si>
  <si>
    <t>L1_0444</t>
  </si>
  <si>
    <t>L1_0445</t>
  </si>
  <si>
    <t>L1_0446</t>
  </si>
  <si>
    <t>L1_0447</t>
  </si>
  <si>
    <t>L1_0448</t>
  </si>
  <si>
    <t>L1_0449</t>
  </si>
  <si>
    <t>L1_0450</t>
  </si>
  <si>
    <t>L1_0451</t>
  </si>
  <si>
    <t>L1_0452</t>
  </si>
  <si>
    <t>L1_0453</t>
  </si>
  <si>
    <t>L1_0454</t>
  </si>
  <si>
    <t>L1_0455</t>
  </si>
  <si>
    <t>L1_0456</t>
  </si>
  <si>
    <t>L1_0457</t>
  </si>
  <si>
    <t>L1_0458</t>
  </si>
  <si>
    <t>L1_0459</t>
  </si>
  <si>
    <t>L1_0460</t>
  </si>
  <si>
    <t>L1_0461</t>
  </si>
  <si>
    <t>L1_0462</t>
  </si>
  <si>
    <t>L1_0463</t>
  </si>
  <si>
    <t>L1_0464</t>
  </si>
  <si>
    <t>L1_0465</t>
  </si>
  <si>
    <t>L1_0466</t>
  </si>
  <si>
    <t>L1_0467</t>
  </si>
  <si>
    <t>L1_0468</t>
  </si>
  <si>
    <t>L1_0469</t>
  </si>
  <si>
    <t>L1_0470</t>
  </si>
  <si>
    <t>L1_0471</t>
  </si>
  <si>
    <t>L1_0472</t>
  </si>
  <si>
    <t>L1_0473</t>
  </si>
  <si>
    <t>L1_0474</t>
  </si>
  <si>
    <t>L1_0475</t>
  </si>
  <si>
    <t>L1_0476</t>
  </si>
  <si>
    <t>L1_0477</t>
  </si>
  <si>
    <t>L1_0478</t>
  </si>
  <si>
    <t>L1_0479</t>
  </si>
  <si>
    <t>L1_0480</t>
  </si>
  <si>
    <t>L1_0481</t>
  </si>
  <si>
    <t>L1_0482</t>
  </si>
  <si>
    <t>L1_0483</t>
  </si>
  <si>
    <t>L1_0484</t>
  </si>
  <si>
    <t>L1_0485</t>
  </si>
  <si>
    <t>L1_0486</t>
  </si>
  <si>
    <t>L1_0487</t>
  </si>
  <si>
    <t>L1_0488</t>
  </si>
  <si>
    <t>L1_0489</t>
  </si>
  <si>
    <t>L1_0490</t>
  </si>
  <si>
    <t>L1_0491</t>
  </si>
  <si>
    <t>L1_0492</t>
  </si>
  <si>
    <t>L1_0493</t>
  </si>
  <si>
    <t>L1_0494</t>
  </si>
  <si>
    <t>L1_0495</t>
  </si>
  <si>
    <t>L1_0496</t>
  </si>
  <si>
    <t>L1_0497</t>
  </si>
  <si>
    <t>L1_0498</t>
  </si>
  <si>
    <t>L1_0499</t>
  </si>
  <si>
    <t>L1_0500</t>
  </si>
  <si>
    <t>L1_0501</t>
  </si>
  <si>
    <t>L1_0502</t>
  </si>
  <si>
    <t>L1_0503</t>
  </si>
  <si>
    <t>L1_0504</t>
  </si>
  <si>
    <t>L1_0505</t>
  </si>
  <si>
    <t>L1_0506</t>
  </si>
  <si>
    <t>L1_0507</t>
  </si>
  <si>
    <t>L1_0508</t>
  </si>
  <si>
    <t>L1_0509</t>
  </si>
  <si>
    <t>L1_0510</t>
  </si>
  <si>
    <t>L1_0511</t>
  </si>
  <si>
    <t>L1_0512</t>
  </si>
  <si>
    <t>L1_0513</t>
  </si>
  <si>
    <t>L1_0514</t>
  </si>
  <si>
    <t>L1_0515</t>
  </si>
  <si>
    <t>L1_0516</t>
  </si>
  <si>
    <t>L1_0517</t>
  </si>
  <si>
    <t>L1_0518</t>
  </si>
  <si>
    <t>L1_0519</t>
  </si>
  <si>
    <t>L1_0520</t>
  </si>
  <si>
    <t>L1_0521</t>
  </si>
  <si>
    <t>L1_0522</t>
  </si>
  <si>
    <t>L1_0523</t>
  </si>
  <si>
    <t>L1_0524</t>
  </si>
  <si>
    <t>L1_0525</t>
  </si>
  <si>
    <t>L1_0526</t>
  </si>
  <si>
    <t>L1_0527</t>
  </si>
  <si>
    <t>L1_0528</t>
  </si>
  <si>
    <t>L1_0529</t>
  </si>
  <si>
    <t>L1_0530</t>
  </si>
  <si>
    <t>L1_0531</t>
  </si>
  <si>
    <t>L1_0532</t>
  </si>
  <si>
    <t>L1_0533</t>
  </si>
  <si>
    <t>L1_0534</t>
  </si>
  <si>
    <t>L1_0535</t>
  </si>
  <si>
    <t>L1_0536</t>
  </si>
  <si>
    <t>L1_0537</t>
  </si>
  <si>
    <t>L1_0538</t>
  </si>
  <si>
    <t>L1_0539</t>
  </si>
  <si>
    <t>L1_0540</t>
  </si>
  <si>
    <t>L1_0541</t>
  </si>
  <si>
    <t>L1_0542</t>
  </si>
  <si>
    <t>L1_0543</t>
  </si>
  <si>
    <t>L1_0544</t>
  </si>
  <si>
    <t>L1_0545</t>
  </si>
  <si>
    <t>L1_0546</t>
  </si>
  <si>
    <t>L1_0547</t>
  </si>
  <si>
    <t>L1_0548</t>
  </si>
  <si>
    <t>L1_0549</t>
  </si>
  <si>
    <t>L1_0550</t>
  </si>
  <si>
    <t>L1_0551</t>
  </si>
  <si>
    <t>L1_0552</t>
  </si>
  <si>
    <t xml:space="preserve">Data Quality Check </t>
  </si>
  <si>
    <t>Expected Fixtures</t>
  </si>
  <si>
    <t xml:space="preserve">Expected Result </t>
  </si>
  <si>
    <t>Status</t>
  </si>
  <si>
    <t>Actual Fixture Rows</t>
  </si>
  <si>
    <t>Missing Match IDs</t>
  </si>
  <si>
    <t>Duplicate Match IDs</t>
  </si>
  <si>
    <t xml:space="preserve">Missing Away Teams </t>
  </si>
  <si>
    <t xml:space="preserve">Missing Home Teams </t>
  </si>
  <si>
    <t xml:space="preserve">Played Matches </t>
  </si>
  <si>
    <t xml:space="preserve">Upcoming Matches </t>
  </si>
  <si>
    <t xml:space="preserve">Missing Home xG in Played Matches </t>
  </si>
  <si>
    <t xml:space="preserve">Missing Away xG in Played Matches </t>
  </si>
  <si>
    <t>Match ID count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</si>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</sst>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5" fillId="0" borderId="1" xfId="0" applyFont="1" applyBorder="1"/>
    <xf numFmtId="0" fontId="0" fillId="0" borderId="9" xfId="0" applyBorder="1"/>
    <xf numFmtId="0" fontId="0" fillId="0" borderId="10" xfId="0" applyBorder="1"/>
    <xf numFmtId="14" fontId="0" fillId="0" borderId="2" xfId="0" applyNumberFormat="1" applyBorder="1"/>
    <xf numFmtId="0" fontId="4" fillId="3" borderId="5" xfId="1" applyFont="1" applyBorder="1"/>
    <xf numFmtId="0" fontId="4" fillId="3" borderId="6" xfId="1" applyFont="1" applyBorder="1"/>
    <xf numFmtId="0" fontId="4" fillId="3" borderId="7" xfId="1" applyFont="1" applyBorder="1"/>
    <xf numFmtId="0" fontId="4" fillId="3" borderId="8" xfId="1" applyFont="1" applyBorder="1"/>
    <xf numFmtId="0" fontId="4" fillId="3" borderId="2" xfId="1" applyFont="1" applyBorder="1"/>
    <xf numFmtId="0" fontId="4" fillId="5" borderId="2" xfId="3" applyFont="1" applyBorder="1"/>
    <xf numFmtId="0" fontId="4" fillId="5" borderId="2" xfId="3" applyFont="1" applyBorder="1" applyAlignment="1">
      <alignment vertical="center"/>
    </xf>
    <xf numFmtId="14" fontId="3" fillId="3" borderId="2" xfId="1" applyNumberFormat="1" applyBorder="1" applyAlignment="1">
      <alignment horizontal="center"/>
    </xf>
    <xf numFmtId="0" fontId="3" fillId="3" borderId="5" xfId="1" applyNumberFormat="1" applyBorder="1" applyAlignment="1">
      <alignment horizontal="center"/>
    </xf>
    <xf numFmtId="14" fontId="3" fillId="3" borderId="12" xfId="1" applyNumberFormat="1" applyBorder="1" applyAlignment="1">
      <alignment horizontal="center"/>
    </xf>
    <xf numFmtId="0" fontId="4" fillId="7" borderId="3" xfId="1" applyFont="1" applyFill="1" applyBorder="1"/>
    <xf numFmtId="0" fontId="4" fillId="7" borderId="4" xfId="1" applyFont="1" applyFill="1" applyBorder="1"/>
    <xf numFmtId="0" fontId="3" fillId="7" borderId="2" xfId="2" applyFill="1" applyBorder="1"/>
    <xf numFmtId="0" fontId="0" fillId="7" borderId="0" xfId="0" applyFill="1"/>
    <xf numFmtId="0" fontId="3" fillId="7" borderId="3" xfId="1" applyNumberFormat="1" applyFill="1" applyBorder="1" applyAlignment="1"/>
    <xf numFmtId="0" fontId="3" fillId="7" borderId="11" xfId="1" applyNumberFormat="1" applyFill="1" applyBorder="1" applyAlignment="1"/>
    <xf numFmtId="0" fontId="3" fillId="7" borderId="4" xfId="1" applyNumberFormat="1" applyFill="1" applyBorder="1" applyAlignment="1"/>
    <xf numFmtId="0" fontId="3" fillId="3" borderId="2" xfId="1" applyNumberFormat="1" applyBorder="1" applyAlignment="1"/>
    <xf numFmtId="0" fontId="3" fillId="3" borderId="6" xfId="1" applyNumberFormat="1" applyBorder="1" applyAlignment="1"/>
    <xf numFmtId="0" fontId="3" fillId="3" borderId="2" xfId="1" applyBorder="1" applyAlignment="1"/>
    <xf numFmtId="0" fontId="3" fillId="3" borderId="6" xfId="1" applyBorder="1" applyAlignment="1"/>
    <xf numFmtId="0" fontId="3" fillId="3" borderId="12" xfId="1" applyNumberFormat="1" applyBorder="1" applyAlignment="1"/>
    <xf numFmtId="0" fontId="3" fillId="3" borderId="12" xfId="1" applyBorder="1" applyAlignment="1"/>
    <xf numFmtId="0" fontId="3" fillId="3" borderId="8" xfId="1" applyBorder="1" applyAlignment="1"/>
    <xf numFmtId="0" fontId="3" fillId="3" borderId="7" xfId="1" applyNumberForma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13" xfId="0" applyFont="1" applyBorder="1"/>
    <xf numFmtId="0" fontId="7" fillId="0" borderId="14" xfId="0" applyFont="1" applyBorder="1"/>
    <xf numFmtId="0" fontId="0" fillId="6" borderId="0" xfId="0" applyFill="1" applyAlignment="1">
      <alignment horizontal="left"/>
    </xf>
  </cellXfs>
  <cellStyles count="4">
    <cellStyle name="20% - Accent1" xfId="1" builtinId="30"/>
    <cellStyle name="20% - Accent2" xfId="2" builtinId="34"/>
    <cellStyle name="40% - Accent3" xfId="3" builtinId="39"/>
    <cellStyle name="Normal" xfId="0" builtinId="0"/>
  </cellStyles>
  <dxfs count="7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rgb="FFFFC000"/>
        </patternFill>
      </fill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Team_Dashboard!$C$2</c:f>
          <c:strCache>
            <c:ptCount val="1"/>
            <c:pt idx="0">
              <c:v>Sheffield Wednesday</c:v>
            </c:pt>
          </c:strCache>
        </c:strRef>
      </c:tx>
      <c:layout>
        <c:manualLayout>
          <c:xMode val="edge"/>
          <c:yMode val="edge"/>
          <c:x val="0.26774935183852594"/>
          <c:y val="3.3420169927295629E-2"/>
        </c:manualLayout>
      </c:layout>
      <c:overlay val="0"/>
      <c:spPr>
        <a:solidFill>
          <a:sysClr val="window" lastClr="FFFFFF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1" i="0" u="none" strike="noStrike" kern="1200" spc="0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42-47D1-B7BF-0F0F9AB5E79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C42-47D1-B7BF-0F0F9AB5E7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Team_Dashboard!$B$5:$B$6</c:f>
              <c:strCache>
                <c:ptCount val="2"/>
                <c:pt idx="0">
                  <c:v>xG For</c:v>
                </c:pt>
                <c:pt idx="1">
                  <c:v>xG Against</c:v>
                </c:pt>
              </c:strCache>
            </c:strRef>
          </c:cat>
          <c:val>
            <c:numRef>
              <c:f>Team_Dashboard!$C$5:$C$6</c:f>
              <c:numCache>
                <c:formatCode>General</c:formatCode>
                <c:ptCount val="2"/>
                <c:pt idx="0">
                  <c:v>13.59</c:v>
                </c:pt>
                <c:pt idx="1">
                  <c:v>8.0500000000000007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2-47D1-B7BF-0F0F9AB5E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2690360"/>
        <c:axId val="752691440"/>
      </c:barChart>
      <c:catAx>
        <c:axId val="75269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91440"/>
        <c:crosses val="autoZero"/>
        <c:auto val="1"/>
        <c:lblAlgn val="ctr"/>
        <c:lblOffset val="100"/>
        <c:noMultiLvlLbl val="0"/>
      </c:catAx>
      <c:valAx>
        <c:axId val="7526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9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xG Diff - Per</a:t>
            </a:r>
            <a:r>
              <a:rPr lang="en-US" sz="2000" b="1" baseline="0"/>
              <a:t> Team</a:t>
            </a:r>
            <a:endParaRPr lang="en-US" sz="2000" b="1"/>
          </a:p>
        </c:rich>
      </c:tx>
      <c:layout>
        <c:manualLayout>
          <c:xMode val="edge"/>
          <c:yMode val="edge"/>
          <c:x val="0.42909998955792211"/>
          <c:y val="2.6966292134831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Dashboard_Help!$D$2</c:f>
              <c:strCache>
                <c:ptCount val="1"/>
                <c:pt idx="0">
                  <c:v>xG Diff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Dashboard_Help!$B$3:$B$48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cat>
          <c:val>
            <c:numRef>
              <c:f>Dashboard_Help!$D$3:$D$48</c:f>
              <c:numCache>
                <c:formatCode>General</c:formatCode>
                <c:ptCount val="46"/>
                <c:pt idx="0">
                  <c:v>1.46</c:v>
                </c:pt>
                <c:pt idx="1">
                  <c:v>0.9</c:v>
                </c:pt>
                <c:pt idx="2">
                  <c:v>3.0199999999999996</c:v>
                </c:pt>
                <c:pt idx="3">
                  <c:v>1.54</c:v>
                </c:pt>
                <c:pt idx="4">
                  <c:v>-0.60999999999999988</c:v>
                </c:pt>
                <c:pt idx="5">
                  <c:v>-0.77000000000000013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6007-4554-8190-CFD4EAB027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81623"/>
        <c:axId val="145378023"/>
      </c:barChart>
      <c:catAx>
        <c:axId val="145381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Matchweek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8023"/>
        <c:crosses val="autoZero"/>
        <c:auto val="0"/>
        <c:lblAlgn val="ctr"/>
        <c:lblOffset val="100"/>
        <c:noMultiLvlLbl val="0"/>
      </c:catAx>
      <c:valAx>
        <c:axId val="145378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xG</a:t>
                </a:r>
                <a:r>
                  <a:rPr lang="en-GB" sz="1400" b="1" baseline="0"/>
                  <a:t> Per Matchweek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81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178060</xdr:colOff>
      <xdr:row>0</xdr:row>
      <xdr:rowOff>200415</xdr:rowOff>
    </xdr:from>
    <xdr:to>
      <xdr:col>8</xdr:col>
      <xdr:colOff>174949</xdr:colOff>
      <xdr:row>10</xdr:row>
      <xdr:rowOff>242985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AE4DF-3DBD-73FA-2E94-08C601E56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581025</xdr:colOff>
      <xdr:row>3</xdr:row>
      <xdr:rowOff>19050</xdr:rowOff>
    </xdr:from>
    <xdr:to>
      <xdr:col>9</xdr:col>
      <xdr:colOff>590550</xdr:colOff>
      <xdr:row>6</xdr:row>
      <xdr:rowOff>9525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99C3A17-DCFE-6D4E-39E9-353BB2B14DA2}"/>
            </a:ext>
          </a:extLst>
        </xdr:cNvPr>
        <xdr:cNvCxnSpPr/>
      </xdr:nvCxnSpPr>
      <xdr:spPr>
        <a:xfrm>
          <a:off x="11372850" y="742950"/>
          <a:ext cx="9525" cy="790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369336</xdr:colOff>
      <xdr:row>12</xdr:row>
      <xdr:rowOff>48596</xdr:rowOff>
    </xdr:from>
    <xdr:to>
      <xdr:col>12</xdr:col>
      <xdr:colOff>602601</xdr:colOff>
      <xdr:row>33</xdr:row>
      <xdr:rowOff>76977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8842191-18B2-7AB3-5388-50BC070AE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Hill" refreshedDate="46281.562093981483" createdVersion="8" refreshedVersion="8" minRefreshableVersion="3" recordCount="1104" xr:uid="{BF0886F6-7C2A-46F2-82F1-F8E9733F03B0}">
  <cacheSource type="worksheet">
    <worksheetSource name="Team_Level"/>
  </cacheSource>
  <cacheFields count="23">
    <cacheField name="Match ID" numFmtId="0">
      <sharedItems/>
    </cacheField>
    <cacheField name="Date" numFmtId="164">
      <sharedItems containsSemiMixedTypes="0" containsNonDate="0" containsDate="1" containsString="0" minDate="2026-08-15T00:00:00" maxDate="2027-05-09T00:00:00" count="62">
        <d v="2026-08-15T00:00:00"/>
        <d v="2026-08-20T00:00:00"/>
        <d v="2026-08-22T00:00:00"/>
        <d v="2026-08-29T00:00:00"/>
        <d v="2026-08-30T00:00:00"/>
        <d v="2026-09-01T00:00:00"/>
        <d v="2026-09-02T00:00:00"/>
        <d v="2026-09-05T00:00:00"/>
        <d v="2026-09-07T00:00:00"/>
        <d v="2026-09-08T00:00:00"/>
        <d v="2026-09-10T00:00:00"/>
        <d v="2026-09-12T00:00:00"/>
        <d v="2026-09-17T00:00:00"/>
        <d v="2026-09-19T00:00:00"/>
        <d v="2026-09-26T00:00:00"/>
        <d v="2026-10-03T00:00:00"/>
        <d v="2026-10-10T00:00:00"/>
        <d v="2026-10-15T00:00:00"/>
        <d v="2026-10-17T00:00:00"/>
        <d v="2026-10-20T00:00:00"/>
        <d v="2026-10-21T00:00:00"/>
        <d v="2026-10-24T00:00:00"/>
        <d v="2026-10-31T00:00:00"/>
        <d v="2026-11-01T00:00:00"/>
        <d v="2026-11-14T00:00:00"/>
        <d v="2026-11-20T00:00:00"/>
        <d v="2026-11-21T00:00:00"/>
        <d v="2026-11-26T00:00:00"/>
        <d v="2026-11-28T00:00:00"/>
        <d v="2026-12-01T00:00:00"/>
        <d v="2026-12-10T00:00:00"/>
        <d v="2026-12-12T00:00:00"/>
        <d v="2026-12-18T00:00:00"/>
        <d v="2026-12-19T00:00:00"/>
        <d v="2026-12-26T00:00:00"/>
        <d v="2026-12-29T00:00:00"/>
        <d v="2027-01-01T00:00:00"/>
        <d v="2027-01-02T00:00:00"/>
        <d v="2027-01-08T00:00:00"/>
        <d v="2027-01-09T00:00:00"/>
        <d v="2027-01-16T00:00:00"/>
        <d v="2027-01-19T00:00:00"/>
        <d v="2027-01-23T00:00:00"/>
        <d v="2027-01-30T00:00:00"/>
        <d v="2027-02-06T00:00:00"/>
        <d v="2027-02-09T00:00:00"/>
        <d v="2027-02-13T00:00:00"/>
        <d v="2027-02-20T00:00:00"/>
        <d v="2027-02-27T00:00:00"/>
        <d v="2027-03-06T00:00:00"/>
        <d v="2027-03-13T00:00:00"/>
        <d v="2027-03-20T00:00:00"/>
        <d v="2027-03-26T00:00:00"/>
        <d v="2027-03-29T00:00:00"/>
        <d v="2027-04-03T00:00:00"/>
        <d v="2027-04-10T00:00:00"/>
        <d v="2027-04-13T00:00:00"/>
        <d v="2027-04-17T00:00:00"/>
        <d v="2027-04-24T00:00:00"/>
        <d v="2027-04-27T00:00:00"/>
        <d v="2027-05-01T00:00:00"/>
        <d v="2027-05-08T00:00:00"/>
      </sharedItems>
      <fieldGroup par="22"/>
    </cacheField>
    <cacheField name="Team" numFmtId="0">
      <sharedItems count="24">
        <s v="Barnsley"/>
        <s v="Blackpool"/>
        <s v="Bradford City"/>
        <s v="Burton Albion"/>
        <s v="Cambridge United"/>
        <s v="Huddersfield Town"/>
        <s v="Leyton Orient"/>
        <s v="Mansfield Town"/>
        <s v="Notts County"/>
        <s v="Oxford United"/>
        <s v="Plymouth Argyle"/>
        <s v="Reading"/>
        <s v="Sheffield Wednesday"/>
        <s v="AFC Wimbledon"/>
        <s v="Bromley"/>
        <s v="Doncaster Rovers"/>
        <s v="Leicester City"/>
        <s v="Luton Town"/>
        <s v="Milton Keynes Dons"/>
        <s v="Peterborough United"/>
        <s v="Stevenage"/>
        <s v="Stockport County"/>
        <s v="Wigan Athletic"/>
        <s v="Wycombe Wanderers"/>
      </sharedItems>
    </cacheField>
    <cacheField name="Opponent" numFmtId="0">
      <sharedItems/>
    </cacheField>
    <cacheField name="Team xG" numFmtId="0">
      <sharedItems containsString="0" containsBlank="1" containsNumber="1" minValue="0.11" maxValue="4.5199999999999996"/>
    </cacheField>
    <cacheField name="Opponent xG" numFmtId="0">
      <sharedItems containsString="0" containsBlank="1" containsNumber="1" minValue="0.11" maxValue="4.5199999999999996"/>
    </cacheField>
    <cacheField name="Team Goals" numFmtId="0">
      <sharedItems containsString="0" containsBlank="1" containsNumber="1" containsInteger="1" minValue="0" maxValue="7"/>
    </cacheField>
    <cacheField name="Opponent Goals" numFmtId="0">
      <sharedItems containsString="0" containsBlank="1" containsNumber="1" containsInteger="1" minValue="0" maxValue="7"/>
    </cacheField>
    <cacheField name="Total xG" numFmtId="0">
      <sharedItems containsString="0" containsBlank="1" containsNumber="1" minValue="0.99" maxValue="6.02"/>
    </cacheField>
    <cacheField name="Total Goals" numFmtId="0">
      <sharedItems containsString="0" containsBlank="1" containsNumber="1" containsInteger="1" minValue="0" maxValue="9"/>
    </cacheField>
    <cacheField name="Match ID count" numFmtId="0">
      <sharedItems containsSemiMixedTypes="0" containsString="0" containsNumber="1" containsInteger="1" minValue="1" maxValue="1"/>
    </cacheField>
    <cacheField name="Venue" numFmtId="0">
      <sharedItems/>
    </cacheField>
    <cacheField name="xG Diff" numFmtId="0">
      <sharedItems containsString="0" containsBlank="1" containsNumber="1" minValue="-3.0199999999999996" maxValue="3.0199999999999996"/>
    </cacheField>
    <cacheField name="Goal Diff" numFmtId="0">
      <sharedItems containsString="0" containsBlank="1" containsNumber="1" containsInteger="1" minValue="-5" maxValue="5"/>
    </cacheField>
    <cacheField name="xG Overperformance " numFmtId="0">
      <sharedItems containsString="0" containsBlank="1" containsNumber="1" minValue="-2.99" maxValue="3.66"/>
    </cacheField>
    <cacheField name="Result" numFmtId="0">
      <sharedItems containsBlank="1"/>
    </cacheField>
    <cacheField name="Recency Rank" numFmtId="0">
      <sharedItems containsMixedTypes="1" containsNumber="1" containsInteger="1" minValue="1" maxValue="6"/>
    </cacheField>
    <cacheField name="Match Key" numFmtId="0">
      <sharedItems/>
    </cacheField>
    <cacheField name="Chrono Rank" numFmtId="0">
      <sharedItems containsMixedTypes="1" containsNumber="1" containsInteger="1" minValue="1" maxValue="6"/>
    </cacheField>
    <cacheField name="Chrono Key" numFmtId="0">
      <sharedItems/>
    </cacheField>
    <cacheField name="Months (Date)" numFmtId="0" databaseField="0">
      <fieldGroup base="1">
        <rangePr groupBy="months" startDate="2026-08-15T00:00:00" endDate="2027-05-09T00:00:00"/>
        <groupItems count="14">
          <s v="&lt;15/08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/05/2027"/>
        </groupItems>
      </fieldGroup>
    </cacheField>
    <cacheField name="Quarters (Date)" numFmtId="0" databaseField="0">
      <fieldGroup base="1">
        <rangePr groupBy="quarters" startDate="2026-08-15T00:00:00" endDate="2027-05-09T00:00:00"/>
        <groupItems count="6">
          <s v="&lt;15/08/2026"/>
          <s v="Qtr1"/>
          <s v="Qtr2"/>
          <s v="Qtr3"/>
          <s v="Qtr4"/>
          <s v="&gt;09/05/2027"/>
        </groupItems>
      </fieldGroup>
    </cacheField>
    <cacheField name="Years (Date)" numFmtId="0" databaseField="0">
      <fieldGroup base="1">
        <rangePr groupBy="years" startDate="2026-08-15T00:00:00" endDate="2027-05-09T00:00:00"/>
        <groupItems count="4">
          <s v="&lt;15/08/2026"/>
          <s v="2026"/>
          <s v="2027"/>
          <s v="&gt;09/05/2027"/>
        </groupItems>
      </fieldGroup>
    </cacheField>
  </cacheFields>
  <extLst>
    <ext xmlns:x14="http://schemas.microsoft.com/office/spreadsheetml/2009/9/main" uri="{725AE2AE-9491-48be-B2B4-4EB974FC3084}">
      <x14:pivotCacheDefinition pivotCacheId="15794447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Hill" refreshedDate="46281.562094328707" createdVersion="8" refreshedVersion="8" minRefreshableVersion="3" recordCount="1105" xr:uid="{DDE40D2F-B383-4CB3-813A-FE798BB48CF9}">
  <cacheSource type="worksheet">
    <worksheetSource ref="A1:Q1048576" sheet="Team Level"/>
  </cacheSource>
  <cacheFields count="17">
    <cacheField name="Match ID" numFmtId="0">
      <sharedItems containsBlank="1"/>
    </cacheField>
    <cacheField name="Date" numFmtId="164">
      <sharedItems containsNonDate="0" containsDate="1" containsString="0" containsBlank="1" minDate="2026-08-15T00:00:00" maxDate="2027-05-09T00:00:00"/>
    </cacheField>
    <cacheField name="Team" numFmtId="0">
      <sharedItems containsBlank="1" count="41">
        <s v="Barnsley"/>
        <s v="Blackpool"/>
        <s v="Bradford City"/>
        <s v="Burton Albion"/>
        <s v="Cambridge United"/>
        <s v="Huddersfield Town"/>
        <s v="Leyton Orient"/>
        <s v="Mansfield Town"/>
        <s v="Notts County"/>
        <s v="Oxford United"/>
        <s v="Plymouth Argyle"/>
        <s v="Reading"/>
        <s v="Sheffield Wednesday"/>
        <s v="AFC Wimbledon"/>
        <s v="Bromley"/>
        <s v="Doncaster Rovers"/>
        <s v="Leicester City"/>
        <s v="Luton Town"/>
        <s v="Milton Keynes Dons"/>
        <s v="Peterborough United"/>
        <s v="Stevenage"/>
        <s v="Stockport County"/>
        <s v="Wigan Athletic"/>
        <s v="Wycombe Wanderers"/>
        <m/>
        <s v="Luton Town " u="1"/>
        <s v="Sheffield Wednesday " u="1"/>
        <s v="Burton Albion " u="1"/>
        <s v="Cambridge United " u="1"/>
        <s v="Huddersfield Town " u="1"/>
        <s v="Mansfield Town " u="1"/>
        <s v="Notts County " u="1"/>
        <s v="Oxford United " u="1"/>
        <s v="Reading " u="1"/>
        <s v="Stevenage " u="1"/>
        <s v="Leicester City " u="1"/>
        <s v="Milton Keynes Dons " u="1"/>
        <s v="Stockport County " u="1"/>
        <s v="Bradford City " u="1"/>
        <s v="Peterborough United " u="1"/>
        <s v="AFC Wimbledon " u="1"/>
      </sharedItems>
    </cacheField>
    <cacheField name="Opponent" numFmtId="0">
      <sharedItems containsBlank="1"/>
    </cacheField>
    <cacheField name="Team xG" numFmtId="0">
      <sharedItems containsString="0" containsBlank="1" containsNumber="1" minValue="0.11" maxValue="4.5199999999999996"/>
    </cacheField>
    <cacheField name="Opponent xG" numFmtId="0">
      <sharedItems containsString="0" containsBlank="1" containsNumber="1" minValue="0.11" maxValue="4.5199999999999996"/>
    </cacheField>
    <cacheField name="Team Goals" numFmtId="0">
      <sharedItems containsString="0" containsBlank="1" containsNumber="1" containsInteger="1" minValue="0" maxValue="7"/>
    </cacheField>
    <cacheField name="Opponent Goals" numFmtId="0">
      <sharedItems containsString="0" containsBlank="1" containsNumber="1" containsInteger="1" minValue="0" maxValue="7"/>
    </cacheField>
    <cacheField name="Total xG" numFmtId="0">
      <sharedItems containsString="0" containsBlank="1" containsNumber="1" minValue="0.99" maxValue="6.02"/>
    </cacheField>
    <cacheField name="Total Goals" numFmtId="0">
      <sharedItems containsString="0" containsBlank="1" containsNumber="1" containsInteger="1" minValue="0" maxValue="9"/>
    </cacheField>
    <cacheField name="Match ID count" numFmtId="0">
      <sharedItems containsString="0" containsBlank="1" containsNumber="1" containsInteger="1" minValue="1" maxValue="1"/>
    </cacheField>
    <cacheField name="Venue" numFmtId="0">
      <sharedItems containsBlank="1"/>
    </cacheField>
    <cacheField name="xG Diff" numFmtId="0">
      <sharedItems containsString="0" containsBlank="1" containsNumber="1" minValue="-3.0199999999999996" maxValue="3.0199999999999996"/>
    </cacheField>
    <cacheField name="Goal Diff" numFmtId="0">
      <sharedItems containsString="0" containsBlank="1" containsNumber="1" containsInteger="1" minValue="-5" maxValue="5"/>
    </cacheField>
    <cacheField name="xG Overperformance " numFmtId="0">
      <sharedItems containsString="0" containsBlank="1" containsNumber="1" minValue="-2.99" maxValue="3.66"/>
    </cacheField>
    <cacheField name="Result" numFmtId="0">
      <sharedItems containsBlank="1"/>
    </cacheField>
    <cacheField name="Recency Rank" numFmtId="0">
      <sharedItems containsBlank="1" containsMixedTypes="1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4">
  <r>
    <s v="L1_0001"/>
    <x v="0"/>
    <x v="0"/>
    <s v="Bromley"/>
    <n v="1.32"/>
    <n v="1.42"/>
    <n v="0"/>
    <n v="1"/>
    <n v="2.74"/>
    <n v="1"/>
    <n v="1"/>
    <s v="Home"/>
    <n v="-9.9999999999999867E-2"/>
    <n v="-1"/>
    <n v="-1.32"/>
    <s v="Loss"/>
    <n v="6"/>
    <s v="Barnsley-6"/>
    <n v="1"/>
    <s v="Barnsley-1"/>
  </r>
  <r>
    <s v="L1_0002"/>
    <x v="0"/>
    <x v="1"/>
    <s v="Wycombe Wanderers"/>
    <n v="2.37"/>
    <n v="1.29"/>
    <n v="1"/>
    <n v="1"/>
    <n v="3.66"/>
    <n v="2"/>
    <n v="1"/>
    <s v="Home"/>
    <n v="1.08"/>
    <n v="0"/>
    <n v="-1.37"/>
    <s v="Draw"/>
    <n v="6"/>
    <s v="Blackpool-6"/>
    <n v="1"/>
    <s v="Blackpool-1"/>
  </r>
  <r>
    <s v="L1_0003"/>
    <x v="0"/>
    <x v="2"/>
    <s v="Peterborough United"/>
    <n v="1.97"/>
    <n v="1.1100000000000001"/>
    <n v="2"/>
    <n v="0"/>
    <n v="3.08"/>
    <n v="2"/>
    <n v="1"/>
    <s v="Home"/>
    <n v="0.85999999999999988"/>
    <n v="2"/>
    <n v="3.0000000000000027E-2"/>
    <s v="Win"/>
    <n v="6"/>
    <s v="Bradford City-6"/>
    <n v="1"/>
    <s v="Bradford City-1"/>
  </r>
  <r>
    <s v="L1_0004"/>
    <x v="0"/>
    <x v="3"/>
    <s v="Stevenage"/>
    <n v="0.94"/>
    <n v="0.53"/>
    <n v="1"/>
    <n v="1"/>
    <n v="1.47"/>
    <n v="2"/>
    <n v="1"/>
    <s v="Home"/>
    <n v="0.40999999999999992"/>
    <n v="0"/>
    <n v="6.0000000000000053E-2"/>
    <s v="Draw"/>
    <n v="6"/>
    <s v="Burton Albion-6"/>
    <n v="1"/>
    <s v="Burton Albion-1"/>
  </r>
  <r>
    <s v="L1_0005"/>
    <x v="0"/>
    <x v="4"/>
    <s v="Wigan Athletic"/>
    <n v="1.74"/>
    <n v="2.2000000000000002"/>
    <n v="3"/>
    <n v="2"/>
    <n v="3.9400000000000004"/>
    <n v="5"/>
    <n v="1"/>
    <s v="Home"/>
    <n v="-0.46000000000000019"/>
    <n v="1"/>
    <n v="1.26"/>
    <s v="Win"/>
    <n v="6"/>
    <s v="Cambridge United-6"/>
    <n v="1"/>
    <s v="Cambridge United-1"/>
  </r>
  <r>
    <s v="L1_0006"/>
    <x v="0"/>
    <x v="5"/>
    <s v="AFC Wimbledon"/>
    <n v="1.24"/>
    <n v="0.38"/>
    <n v="3"/>
    <n v="0"/>
    <n v="1.62"/>
    <n v="3"/>
    <n v="1"/>
    <s v="Home"/>
    <n v="0.86"/>
    <n v="3"/>
    <n v="1.76"/>
    <s v="Win"/>
    <n v="6"/>
    <s v="Huddersfield Town-6"/>
    <n v="1"/>
    <s v="Huddersfield Town-1"/>
  </r>
  <r>
    <s v="L1_0007"/>
    <x v="0"/>
    <x v="6"/>
    <s v="Sheffield Wednesday"/>
    <n v="1.38"/>
    <n v="2.84"/>
    <n v="1"/>
    <n v="2"/>
    <n v="4.22"/>
    <n v="3"/>
    <n v="1"/>
    <s v="Home"/>
    <n v="-1.46"/>
    <n v="-1"/>
    <n v="-0.37999999999999989"/>
    <s v="Loss"/>
    <n v="6"/>
    <s v="Leyton Orient-6"/>
    <n v="1"/>
    <s v="Leyton Orient-1"/>
  </r>
  <r>
    <s v="L1_0008"/>
    <x v="0"/>
    <x v="7"/>
    <s v="Doncaster Rovers"/>
    <n v="1.44"/>
    <n v="1.06"/>
    <n v="2"/>
    <n v="1"/>
    <n v="2.5"/>
    <n v="3"/>
    <n v="1"/>
    <s v="Home"/>
    <n v="0.37999999999999989"/>
    <n v="1"/>
    <n v="0.56000000000000005"/>
    <s v="Win"/>
    <n v="6"/>
    <s v="Mansfield Town-6"/>
    <n v="1"/>
    <s v="Mansfield Town-1"/>
  </r>
  <r>
    <s v="L1_0009"/>
    <x v="0"/>
    <x v="8"/>
    <s v="Leicester City"/>
    <n v="2.1800000000000002"/>
    <n v="0.74"/>
    <n v="1"/>
    <n v="1"/>
    <n v="2.92"/>
    <n v="2"/>
    <n v="1"/>
    <s v="Home"/>
    <n v="1.4400000000000002"/>
    <n v="0"/>
    <n v="-1.1800000000000002"/>
    <s v="Draw"/>
    <n v="6"/>
    <s v="Notts County-6"/>
    <n v="1"/>
    <s v="Notts County-1"/>
  </r>
  <r>
    <s v="L1_0010"/>
    <x v="0"/>
    <x v="9"/>
    <s v="Milton Keynes Dons"/>
    <n v="1.83"/>
    <n v="2.2000000000000002"/>
    <n v="2"/>
    <n v="2"/>
    <n v="4.03"/>
    <n v="4"/>
    <n v="1"/>
    <s v="Home"/>
    <n v="-0.37000000000000011"/>
    <n v="0"/>
    <n v="0.16999999999999993"/>
    <s v="Draw"/>
    <n v="5"/>
    <s v="Oxford United-5"/>
    <n v="1"/>
    <s v="Oxford United-1"/>
  </r>
  <r>
    <s v="L1_0011"/>
    <x v="0"/>
    <x v="10"/>
    <s v="Stockport County"/>
    <n v="0.92"/>
    <n v="1.81"/>
    <n v="1"/>
    <n v="3"/>
    <n v="2.73"/>
    <n v="4"/>
    <n v="1"/>
    <s v="Home"/>
    <n v="-0.89"/>
    <n v="-2"/>
    <n v="7.999999999999996E-2"/>
    <s v="Loss"/>
    <n v="6"/>
    <s v="Plymouth Argyle-6"/>
    <n v="1"/>
    <s v="Plymouth Argyle-1"/>
  </r>
  <r>
    <s v="L1_0012"/>
    <x v="0"/>
    <x v="11"/>
    <s v="Luton Town"/>
    <n v="1.61"/>
    <n v="1.65"/>
    <n v="3"/>
    <n v="4"/>
    <n v="3.26"/>
    <n v="7"/>
    <n v="1"/>
    <s v="Home"/>
    <n v="-3.9999999999999813E-2"/>
    <n v="-1"/>
    <n v="1.39"/>
    <s v="Loss"/>
    <n v="5"/>
    <s v="Reading-5"/>
    <n v="1"/>
    <s v="Reading-1"/>
  </r>
  <r>
    <s v="L1_0013"/>
    <x v="1"/>
    <x v="12"/>
    <s v="Bradford City"/>
    <n v="1.49"/>
    <n v="0.59"/>
    <n v="0"/>
    <n v="1"/>
    <n v="2.08"/>
    <n v="1"/>
    <n v="1"/>
    <s v="Home"/>
    <n v="0.9"/>
    <n v="-1"/>
    <n v="-1.49"/>
    <s v="Loss"/>
    <n v="5"/>
    <s v="Sheffield Wednesday-5"/>
    <n v="2"/>
    <s v="Sheffield Wednesday-2"/>
  </r>
  <r>
    <s v="L1_0014"/>
    <x v="2"/>
    <x v="13"/>
    <s v="Reading"/>
    <n v="0.37"/>
    <n v="1.28"/>
    <n v="0"/>
    <n v="0"/>
    <n v="1.65"/>
    <n v="0"/>
    <n v="1"/>
    <s v="Home"/>
    <n v="-0.91"/>
    <n v="0"/>
    <n v="-0.37"/>
    <s v="Draw"/>
    <n v="5"/>
    <s v="AFC Wimbledon-5"/>
    <n v="2"/>
    <s v="AFC Wimbledon-2"/>
  </r>
  <r>
    <s v="L1_0015"/>
    <x v="2"/>
    <x v="14"/>
    <s v="Cambridge United"/>
    <n v="0.57999999999999996"/>
    <n v="0.59"/>
    <n v="1"/>
    <n v="1"/>
    <n v="1.17"/>
    <n v="2"/>
    <n v="1"/>
    <s v="Home"/>
    <n v="-1.0000000000000009E-2"/>
    <n v="0"/>
    <n v="0.42000000000000004"/>
    <s v="Draw"/>
    <n v="5"/>
    <s v="Bromley-5"/>
    <n v="2"/>
    <s v="Bromley-2"/>
  </r>
  <r>
    <s v="L1_0016"/>
    <x v="2"/>
    <x v="15"/>
    <s v="Barnsley"/>
    <n v="1.82"/>
    <n v="0.45"/>
    <n v="0"/>
    <n v="0"/>
    <n v="2.27"/>
    <n v="0"/>
    <n v="1"/>
    <s v="Home"/>
    <n v="1.37"/>
    <n v="0"/>
    <n v="-1.82"/>
    <s v="Draw"/>
    <n v="5"/>
    <s v="Doncaster Rovers-5"/>
    <n v="2"/>
    <s v="Doncaster Rovers-2"/>
  </r>
  <r>
    <s v="L1_0017"/>
    <x v="2"/>
    <x v="16"/>
    <s v="Burton Albion"/>
    <n v="1.31"/>
    <n v="0.81"/>
    <n v="1"/>
    <n v="2"/>
    <n v="2.12"/>
    <n v="3"/>
    <n v="1"/>
    <s v="Home"/>
    <n v="0.5"/>
    <n v="-1"/>
    <n v="-0.31000000000000005"/>
    <s v="Loss"/>
    <n v="5"/>
    <s v="Leicester City-5"/>
    <n v="2"/>
    <s v="Leicester City-2"/>
  </r>
  <r>
    <s v="L1_0018"/>
    <x v="2"/>
    <x v="17"/>
    <s v="Notts County"/>
    <n v="1.85"/>
    <n v="0.76"/>
    <n v="2"/>
    <n v="2"/>
    <n v="2.6100000000000003"/>
    <n v="4"/>
    <n v="1"/>
    <s v="Home"/>
    <n v="1.0900000000000001"/>
    <n v="0"/>
    <n v="0.14999999999999991"/>
    <s v="Draw"/>
    <n v="5"/>
    <s v="Luton Town-5"/>
    <n v="2"/>
    <s v="Luton Town-2"/>
  </r>
  <r>
    <s v="L1_0019"/>
    <x v="2"/>
    <x v="18"/>
    <s v="Huddersfield Town"/>
    <n v="1.54"/>
    <n v="2.2799999999999998"/>
    <n v="1"/>
    <n v="1"/>
    <n v="3.82"/>
    <n v="2"/>
    <n v="1"/>
    <s v="Home"/>
    <n v="-0.73999999999999977"/>
    <n v="0"/>
    <n v="-0.54"/>
    <s v="Draw"/>
    <n v="5"/>
    <s v="Milton Keynes Dons-5"/>
    <n v="2"/>
    <s v="Milton Keynes Dons-2"/>
  </r>
  <r>
    <s v="L1_0020"/>
    <x v="2"/>
    <x v="19"/>
    <s v="Mansfield Town"/>
    <n v="1.39"/>
    <n v="1.25"/>
    <n v="2"/>
    <n v="1"/>
    <n v="2.6399999999999997"/>
    <n v="3"/>
    <n v="1"/>
    <s v="Home"/>
    <n v="0.1399999999999999"/>
    <n v="1"/>
    <n v="0.6100000000000001"/>
    <s v="Win"/>
    <n v="5"/>
    <s v="Peterborough United-5"/>
    <n v="2"/>
    <s v="Peterborough United-2"/>
  </r>
  <r>
    <s v="L1_0021"/>
    <x v="2"/>
    <x v="20"/>
    <s v="Oxford United"/>
    <n v="1.17"/>
    <n v="1.36"/>
    <n v="1"/>
    <n v="2"/>
    <n v="2.5300000000000002"/>
    <n v="3"/>
    <n v="1"/>
    <s v="Home"/>
    <n v="-0.19000000000000017"/>
    <n v="-1"/>
    <n v="-0.16999999999999993"/>
    <s v="Loss"/>
    <n v="5"/>
    <s v="Stevenage-5"/>
    <n v="2"/>
    <s v="Stevenage-2"/>
  </r>
  <r>
    <s v="L1_0022"/>
    <x v="2"/>
    <x v="21"/>
    <s v="Blackpool"/>
    <n v="3.54"/>
    <n v="1.79"/>
    <n v="1"/>
    <n v="2"/>
    <n v="5.33"/>
    <n v="3"/>
    <n v="1"/>
    <s v="Home"/>
    <n v="1.75"/>
    <n v="-1"/>
    <n v="-2.54"/>
    <s v="Loss"/>
    <n v="5"/>
    <s v="Stockport County-5"/>
    <n v="2"/>
    <s v="Stockport County-2"/>
  </r>
  <r>
    <s v="L1_0023"/>
    <x v="2"/>
    <x v="22"/>
    <s v="Leyton Orient"/>
    <n v="1.6"/>
    <n v="1.25"/>
    <n v="0"/>
    <n v="2"/>
    <n v="2.85"/>
    <n v="2"/>
    <n v="1"/>
    <s v="Home"/>
    <n v="0.35000000000000009"/>
    <n v="-2"/>
    <n v="-1.6"/>
    <s v="Loss"/>
    <n v="5"/>
    <s v="Wigan Athletic-5"/>
    <n v="2"/>
    <s v="Wigan Athletic-2"/>
  </r>
  <r>
    <s v="L1_0024"/>
    <x v="2"/>
    <x v="23"/>
    <s v="Plymouth Argyle"/>
    <n v="1.89"/>
    <n v="0.76"/>
    <n v="1"/>
    <n v="1"/>
    <n v="2.65"/>
    <n v="2"/>
    <n v="1"/>
    <s v="Home"/>
    <n v="1.1299999999999999"/>
    <n v="0"/>
    <n v="-0.8899999999999999"/>
    <s v="Draw"/>
    <n v="5"/>
    <s v="Wycombe Wanderers-5"/>
    <n v="2"/>
    <s v="Wycombe Wanderers-2"/>
  </r>
  <r>
    <s v="L1_0025"/>
    <x v="3"/>
    <x v="1"/>
    <s v="Peterborough United"/>
    <n v="2.73"/>
    <n v="1.72"/>
    <n v="4"/>
    <n v="0"/>
    <n v="4.45"/>
    <n v="4"/>
    <n v="1"/>
    <s v="Home"/>
    <n v="1.01"/>
    <n v="4"/>
    <n v="1.27"/>
    <s v="Win"/>
    <n v="4"/>
    <s v="Blackpool-4"/>
    <n v="3"/>
    <s v="Blackpool-3"/>
  </r>
  <r>
    <s v="L1_0026"/>
    <x v="3"/>
    <x v="4"/>
    <s v="Huddersfield Town"/>
    <n v="1.22"/>
    <n v="1.1299999999999999"/>
    <n v="1"/>
    <n v="2"/>
    <n v="2.3499999999999996"/>
    <n v="3"/>
    <n v="1"/>
    <s v="Home"/>
    <n v="9.000000000000008E-2"/>
    <n v="-1"/>
    <n v="-0.21999999999999997"/>
    <s v="Loss"/>
    <n v="4"/>
    <s v="Cambridge United-4"/>
    <n v="3"/>
    <s v="Cambridge United-3"/>
  </r>
  <r>
    <s v="L1_0027"/>
    <x v="3"/>
    <x v="6"/>
    <s v="Barnsley"/>
    <n v="0.73"/>
    <n v="1.99"/>
    <n v="1"/>
    <n v="3"/>
    <n v="2.7199999999999998"/>
    <n v="4"/>
    <n v="1"/>
    <s v="Home"/>
    <n v="-1.26"/>
    <n v="-2"/>
    <n v="0.27"/>
    <s v="Loss"/>
    <n v="4"/>
    <s v="Leyton Orient-4"/>
    <n v="3"/>
    <s v="Leyton Orient-3"/>
  </r>
  <r>
    <s v="L1_0028"/>
    <x v="3"/>
    <x v="18"/>
    <s v="Leicester City"/>
    <n v="0.56999999999999995"/>
    <n v="1.53"/>
    <n v="0"/>
    <n v="0"/>
    <n v="2.1"/>
    <n v="0"/>
    <n v="1"/>
    <s v="Home"/>
    <n v="-0.96000000000000008"/>
    <n v="0"/>
    <n v="-0.56999999999999995"/>
    <s v="Draw"/>
    <n v="4"/>
    <s v="Milton Keynes Dons-4"/>
    <n v="3"/>
    <s v="Milton Keynes Dons-3"/>
  </r>
  <r>
    <s v="L1_0029"/>
    <x v="3"/>
    <x v="8"/>
    <s v="Burton Albion"/>
    <n v="2.29"/>
    <n v="0.11"/>
    <n v="2"/>
    <n v="1"/>
    <n v="2.4"/>
    <n v="3"/>
    <n v="1"/>
    <s v="Home"/>
    <n v="2.1800000000000002"/>
    <n v="1"/>
    <n v="-0.29000000000000004"/>
    <s v="Win"/>
    <n v="4"/>
    <s v="Notts County-4"/>
    <n v="3"/>
    <s v="Notts County-3"/>
  </r>
  <r>
    <s v="L1_0030"/>
    <x v="3"/>
    <x v="10"/>
    <s v="Bradford City"/>
    <n v="1.1599999999999999"/>
    <n v="0.9"/>
    <n v="2"/>
    <n v="0"/>
    <n v="2.06"/>
    <n v="2"/>
    <n v="1"/>
    <s v="Home"/>
    <n v="0.2599999999999999"/>
    <n v="2"/>
    <n v="0.84000000000000008"/>
    <s v="Win"/>
    <n v="4"/>
    <s v="Plymouth Argyle-4"/>
    <n v="3"/>
    <s v="Plymouth Argyle-3"/>
  </r>
  <r>
    <s v="L1_0031"/>
    <x v="3"/>
    <x v="12"/>
    <s v="Bromley"/>
    <n v="4.5199999999999996"/>
    <n v="1.5"/>
    <n v="7"/>
    <n v="2"/>
    <n v="6.02"/>
    <n v="9"/>
    <n v="1"/>
    <s v="Home"/>
    <n v="3.0199999999999996"/>
    <n v="5"/>
    <n v="2.4800000000000004"/>
    <s v="Win"/>
    <n v="4"/>
    <s v="Sheffield Wednesday-4"/>
    <n v="3"/>
    <s v="Sheffield Wednesday-3"/>
  </r>
  <r>
    <s v="L1_0032"/>
    <x v="3"/>
    <x v="20"/>
    <s v="Doncaster Rovers"/>
    <n v="0.47"/>
    <n v="0.65"/>
    <n v="2"/>
    <n v="2"/>
    <n v="1.1200000000000001"/>
    <n v="4"/>
    <n v="1"/>
    <s v="Home"/>
    <n v="-0.18000000000000005"/>
    <n v="0"/>
    <n v="1.53"/>
    <s v="Draw"/>
    <n v="4"/>
    <s v="Stevenage-4"/>
    <n v="3"/>
    <s v="Stevenage-3"/>
  </r>
  <r>
    <s v="L1_0033"/>
    <x v="3"/>
    <x v="21"/>
    <s v="Wycombe Wanderers"/>
    <n v="1.34"/>
    <n v="0.94"/>
    <n v="5"/>
    <n v="1"/>
    <n v="2.2800000000000002"/>
    <n v="6"/>
    <n v="1"/>
    <s v="Home"/>
    <n v="0.40000000000000013"/>
    <n v="4"/>
    <n v="3.66"/>
    <s v="Win"/>
    <n v="4"/>
    <s v="Stockport County-4"/>
    <n v="3"/>
    <s v="Stockport County-3"/>
  </r>
  <r>
    <s v="L1_0034"/>
    <x v="4"/>
    <x v="13"/>
    <s v="Wigan Athletic"/>
    <n v="0.72"/>
    <n v="2.99"/>
    <n v="1"/>
    <n v="0"/>
    <n v="3.71"/>
    <n v="1"/>
    <n v="1"/>
    <s v="Home"/>
    <n v="-2.2700000000000005"/>
    <n v="1"/>
    <n v="0.28000000000000003"/>
    <s v="Win"/>
    <n v="4"/>
    <s v="AFC Wimbledon-4"/>
    <n v="3"/>
    <s v="AFC Wimbledon-3"/>
  </r>
  <r>
    <s v="L1_0035"/>
    <x v="4"/>
    <x v="7"/>
    <s v="Luton Town"/>
    <n v="1.37"/>
    <n v="1.35"/>
    <n v="5"/>
    <n v="2"/>
    <n v="2.72"/>
    <n v="7"/>
    <n v="1"/>
    <s v="Home"/>
    <n v="2.0000000000000018E-2"/>
    <n v="3"/>
    <n v="3.63"/>
    <s v="Win"/>
    <n v="4"/>
    <s v="Mansfield Town-4"/>
    <n v="3"/>
    <s v="Mansfield Town-3"/>
  </r>
  <r>
    <s v="L1_0036"/>
    <x v="5"/>
    <x v="2"/>
    <s v="Cambridge United"/>
    <n v="2.1800000000000002"/>
    <n v="0.44"/>
    <n v="1"/>
    <n v="2"/>
    <n v="2.62"/>
    <n v="3"/>
    <n v="1"/>
    <s v="Home"/>
    <n v="1.7400000000000002"/>
    <n v="-1"/>
    <n v="-1.1800000000000002"/>
    <s v="Loss"/>
    <n v="3"/>
    <s v="Bradford City-3"/>
    <n v="4"/>
    <s v="Bradford City-4"/>
  </r>
  <r>
    <s v="L1_0037"/>
    <x v="5"/>
    <x v="14"/>
    <s v="Leyton Orient"/>
    <n v="0.63"/>
    <n v="1.94"/>
    <n v="0"/>
    <n v="5"/>
    <n v="2.57"/>
    <n v="5"/>
    <n v="1"/>
    <s v="Home"/>
    <n v="-1.31"/>
    <n v="-5"/>
    <n v="-0.63"/>
    <s v="Loss"/>
    <n v="3"/>
    <s v="Bromley-3"/>
    <n v="4"/>
    <s v="Bromley-4"/>
  </r>
  <r>
    <s v="L1_0038"/>
    <x v="5"/>
    <x v="15"/>
    <s v="Notts County"/>
    <n v="1.1200000000000001"/>
    <n v="0.87"/>
    <n v="1"/>
    <n v="1"/>
    <n v="1.9900000000000002"/>
    <n v="2"/>
    <n v="1"/>
    <s v="Home"/>
    <n v="0.25000000000000011"/>
    <n v="0"/>
    <n v="-0.12000000000000011"/>
    <s v="Draw"/>
    <n v="3"/>
    <s v="Doncaster Rovers-3"/>
    <n v="4"/>
    <s v="Doncaster Rovers-4"/>
  </r>
  <r>
    <s v="L1_0039"/>
    <x v="5"/>
    <x v="5"/>
    <s v="Oxford United"/>
    <n v="3.62"/>
    <n v="1.01"/>
    <n v="3"/>
    <n v="1"/>
    <n v="4.63"/>
    <n v="4"/>
    <n v="1"/>
    <s v="Home"/>
    <n v="2.6100000000000003"/>
    <n v="2"/>
    <n v="-0.62000000000000011"/>
    <s v="Win"/>
    <n v="3"/>
    <s v="Huddersfield Town-3"/>
    <n v="4"/>
    <s v="Huddersfield Town-4"/>
  </r>
  <r>
    <s v="L1_0040"/>
    <x v="5"/>
    <x v="16"/>
    <s v="Plymouth Argyle"/>
    <n v="1.76"/>
    <n v="1.1299999999999999"/>
    <n v="2"/>
    <n v="0"/>
    <n v="2.8899999999999997"/>
    <n v="2"/>
    <n v="1"/>
    <s v="Home"/>
    <n v="0.63000000000000012"/>
    <n v="2"/>
    <n v="0.24"/>
    <s v="Win"/>
    <n v="3"/>
    <s v="Leicester City-3"/>
    <n v="4"/>
    <s v="Leicester City-4"/>
  </r>
  <r>
    <s v="L1_0041"/>
    <x v="5"/>
    <x v="19"/>
    <s v="Stevenage"/>
    <n v="0.91"/>
    <n v="0.47"/>
    <n v="0"/>
    <n v="0"/>
    <n v="1.38"/>
    <n v="0"/>
    <n v="1"/>
    <s v="Home"/>
    <n v="0.44000000000000006"/>
    <n v="0"/>
    <n v="-0.91"/>
    <s v="Draw"/>
    <n v="3"/>
    <s v="Peterborough United-3"/>
    <n v="4"/>
    <s v="Peterborough United-4"/>
  </r>
  <r>
    <s v="L1_0042"/>
    <x v="5"/>
    <x v="23"/>
    <s v="Sheffield Wednesday"/>
    <n v="1.02"/>
    <n v="2.56"/>
    <n v="1"/>
    <n v="2"/>
    <n v="3.58"/>
    <n v="3"/>
    <n v="1"/>
    <s v="Home"/>
    <n v="-1.54"/>
    <n v="-1"/>
    <n v="-2.0000000000000018E-2"/>
    <s v="Loss"/>
    <n v="3"/>
    <s v="Wycombe Wanderers-3"/>
    <n v="4"/>
    <s v="Wycombe Wanderers-4"/>
  </r>
  <r>
    <s v="L1_0043"/>
    <x v="6"/>
    <x v="0"/>
    <s v="Blackpool"/>
    <n v="1.97"/>
    <n v="2.4"/>
    <n v="2"/>
    <n v="1"/>
    <n v="4.37"/>
    <n v="3"/>
    <n v="1"/>
    <s v="Home"/>
    <n v="-0.42999999999999994"/>
    <n v="1"/>
    <n v="3.0000000000000027E-2"/>
    <s v="Win"/>
    <n v="3"/>
    <s v="Barnsley-3"/>
    <n v="4"/>
    <s v="Barnsley-4"/>
  </r>
  <r>
    <s v="L1_0044"/>
    <x v="6"/>
    <x v="3"/>
    <s v="AFC Wimbledon"/>
    <n v="0.93"/>
    <n v="1.43"/>
    <n v="4"/>
    <n v="1"/>
    <n v="2.36"/>
    <n v="5"/>
    <n v="1"/>
    <s v="Home"/>
    <n v="-0.49999999999999989"/>
    <n v="3"/>
    <n v="3.07"/>
    <s v="Win"/>
    <n v="3"/>
    <s v="Burton Albion-3"/>
    <n v="4"/>
    <s v="Burton Albion-4"/>
  </r>
  <r>
    <s v="L1_0045"/>
    <x v="6"/>
    <x v="17"/>
    <s v="Stockport County"/>
    <n v="1.4"/>
    <n v="0.84"/>
    <n v="2"/>
    <n v="0"/>
    <n v="2.2399999999999998"/>
    <n v="2"/>
    <n v="1"/>
    <s v="Home"/>
    <n v="0.55999999999999994"/>
    <n v="2"/>
    <n v="0.60000000000000009"/>
    <s v="Win"/>
    <n v="3"/>
    <s v="Luton Town-3"/>
    <n v="4"/>
    <s v="Luton Town-4"/>
  </r>
  <r>
    <s v="L1_0046"/>
    <x v="6"/>
    <x v="11"/>
    <s v="Mansfield Town"/>
    <n v="2.35"/>
    <n v="2.8"/>
    <n v="5"/>
    <n v="0"/>
    <n v="5.15"/>
    <n v="5"/>
    <n v="1"/>
    <s v="Home"/>
    <n v="-0.44999999999999973"/>
    <n v="5"/>
    <n v="2.65"/>
    <s v="Win"/>
    <n v="3"/>
    <s v="Reading-3"/>
    <n v="3"/>
    <s v="Reading-3"/>
  </r>
  <r>
    <s v="L1_0047"/>
    <x v="6"/>
    <x v="22"/>
    <s v="Milton Keynes Dons"/>
    <n v="2.68"/>
    <n v="1.37"/>
    <n v="3"/>
    <n v="1"/>
    <n v="4.0500000000000007"/>
    <n v="4"/>
    <n v="1"/>
    <s v="Home"/>
    <n v="1.31"/>
    <n v="2"/>
    <n v="0.31999999999999984"/>
    <s v="Win"/>
    <n v="3"/>
    <s v="Wigan Athletic-3"/>
    <n v="4"/>
    <s v="Wigan Athletic-4"/>
  </r>
  <r>
    <s v="L1_0048"/>
    <x v="7"/>
    <x v="0"/>
    <s v="Stevenage"/>
    <n v="1.83"/>
    <n v="1.93"/>
    <n v="1"/>
    <n v="5"/>
    <n v="3.76"/>
    <n v="6"/>
    <n v="1"/>
    <s v="Home"/>
    <n v="-9.9999999999999867E-2"/>
    <n v="-4"/>
    <n v="-0.83000000000000007"/>
    <s v="Loss"/>
    <n v="2"/>
    <s v="Barnsley-2"/>
    <n v="5"/>
    <s v="Barnsley-5"/>
  </r>
  <r>
    <s v="L1_0049"/>
    <x v="7"/>
    <x v="2"/>
    <s v="Mansfield Town"/>
    <n v="1.03"/>
    <n v="0.48"/>
    <n v="1"/>
    <n v="0"/>
    <n v="1.51"/>
    <n v="1"/>
    <n v="1"/>
    <s v="Home"/>
    <n v="0.55000000000000004"/>
    <n v="1"/>
    <n v="-3.0000000000000027E-2"/>
    <s v="Win"/>
    <n v="2"/>
    <s v="Bradford City-2"/>
    <n v="5"/>
    <s v="Bradford City-5"/>
  </r>
  <r>
    <s v="L1_0050"/>
    <x v="7"/>
    <x v="3"/>
    <s v="Cambridge United"/>
    <n v="2.31"/>
    <n v="0.9"/>
    <n v="2"/>
    <n v="2"/>
    <n v="3.21"/>
    <n v="4"/>
    <n v="1"/>
    <s v="Home"/>
    <n v="1.4100000000000001"/>
    <n v="0"/>
    <n v="-0.31000000000000005"/>
    <s v="Draw"/>
    <n v="2"/>
    <s v="Burton Albion-2"/>
    <n v="5"/>
    <s v="Burton Albion-5"/>
  </r>
  <r>
    <s v="L1_0051"/>
    <x v="7"/>
    <x v="15"/>
    <s v="Plymouth Argyle"/>
    <n v="2.33"/>
    <n v="2.65"/>
    <n v="2"/>
    <n v="3"/>
    <n v="4.9800000000000004"/>
    <n v="5"/>
    <n v="1"/>
    <s v="Home"/>
    <n v="-0.31999999999999984"/>
    <n v="-1"/>
    <n v="-0.33000000000000007"/>
    <s v="Loss"/>
    <n v="2"/>
    <s v="Doncaster Rovers-2"/>
    <n v="5"/>
    <s v="Doncaster Rovers-5"/>
  </r>
  <r>
    <s v="L1_0052"/>
    <x v="7"/>
    <x v="5"/>
    <s v="Notts County"/>
    <n v="1.41"/>
    <n v="1.24"/>
    <n v="1"/>
    <n v="1"/>
    <n v="2.65"/>
    <n v="2"/>
    <n v="1"/>
    <s v="Home"/>
    <n v="0.16999999999999993"/>
    <n v="0"/>
    <n v="-0.40999999999999992"/>
    <s v="Draw"/>
    <n v="2"/>
    <s v="Huddersfield Town-2"/>
    <n v="5"/>
    <s v="Huddersfield Town-5"/>
  </r>
  <r>
    <s v="L1_0053"/>
    <x v="7"/>
    <x v="16"/>
    <s v="Oxford United"/>
    <n v="1.03"/>
    <n v="2.31"/>
    <n v="0"/>
    <n v="4"/>
    <n v="3.34"/>
    <n v="4"/>
    <n v="1"/>
    <s v="Home"/>
    <n v="-1.28"/>
    <n v="-4"/>
    <n v="-1.03"/>
    <s v="Loss"/>
    <n v="2"/>
    <s v="Leicester City-2"/>
    <n v="5"/>
    <s v="Leicester City-5"/>
  </r>
  <r>
    <s v="L1_0054"/>
    <x v="7"/>
    <x v="17"/>
    <s v="Leyton Orient"/>
    <n v="2.21"/>
    <n v="0.56000000000000005"/>
    <n v="1"/>
    <n v="1"/>
    <n v="2.77"/>
    <n v="2"/>
    <n v="1"/>
    <s v="Home"/>
    <n v="1.65"/>
    <n v="0"/>
    <n v="-1.21"/>
    <s v="Draw"/>
    <n v="2"/>
    <s v="Luton Town-2"/>
    <n v="5"/>
    <s v="Luton Town-5"/>
  </r>
  <r>
    <s v="L1_0055"/>
    <x v="7"/>
    <x v="19"/>
    <s v="Sheffield Wednesday"/>
    <n v="1.97"/>
    <n v="1.36"/>
    <n v="1"/>
    <n v="2"/>
    <n v="3.33"/>
    <n v="3"/>
    <n v="1"/>
    <s v="Home"/>
    <n v="0.60999999999999988"/>
    <n v="-1"/>
    <n v="-0.97"/>
    <s v="Loss"/>
    <n v="2"/>
    <s v="Peterborough United-2"/>
    <n v="5"/>
    <s v="Peterborough United-5"/>
  </r>
  <r>
    <s v="L1_0056"/>
    <x v="7"/>
    <x v="11"/>
    <s v="Blackpool"/>
    <n v="3.5"/>
    <n v="0.51"/>
    <n v="3"/>
    <n v="1"/>
    <n v="4.01"/>
    <n v="4"/>
    <n v="1"/>
    <s v="Home"/>
    <n v="2.99"/>
    <n v="2"/>
    <n v="-0.5"/>
    <s v="Win"/>
    <n v="2"/>
    <s v="Reading-2"/>
    <n v="4"/>
    <s v="Reading-4"/>
  </r>
  <r>
    <s v="L1_0057"/>
    <x v="7"/>
    <x v="22"/>
    <s v="Stockport County"/>
    <n v="0.73"/>
    <n v="2.15"/>
    <n v="0"/>
    <n v="4"/>
    <n v="2.88"/>
    <n v="4"/>
    <n v="1"/>
    <s v="Home"/>
    <n v="-1.42"/>
    <n v="-4"/>
    <n v="-0.73"/>
    <s v="Loss"/>
    <n v="2"/>
    <s v="Wigan Athletic-2"/>
    <n v="5"/>
    <s v="Wigan Athletic-5"/>
  </r>
  <r>
    <s v="L1_0058"/>
    <x v="7"/>
    <x v="23"/>
    <s v="Milton Keynes Dons"/>
    <n v="0.89"/>
    <n v="1.65"/>
    <n v="3"/>
    <n v="3"/>
    <n v="2.54"/>
    <n v="6"/>
    <n v="1"/>
    <s v="Home"/>
    <n v="-0.7599999999999999"/>
    <n v="0"/>
    <n v="2.11"/>
    <s v="Draw"/>
    <n v="2"/>
    <s v="Wycombe Wanderers-2"/>
    <n v="5"/>
    <s v="Wycombe Wanderers-5"/>
  </r>
  <r>
    <s v="L1_0059"/>
    <x v="8"/>
    <x v="14"/>
    <s v="AFC Wimbledon"/>
    <n v="0.55000000000000004"/>
    <n v="1.22"/>
    <n v="0"/>
    <n v="2"/>
    <n v="1.77"/>
    <n v="2"/>
    <n v="1"/>
    <s v="Home"/>
    <n v="-0.66999999999999993"/>
    <n v="-2"/>
    <n v="-0.55000000000000004"/>
    <s v="Loss"/>
    <n v="2"/>
    <s v="Bromley-2"/>
    <n v="5"/>
    <s v="Bromley-5"/>
  </r>
  <r>
    <s v="L1_0060"/>
    <x v="9"/>
    <x v="9"/>
    <s v="Reading"/>
    <m/>
    <m/>
    <m/>
    <m/>
    <m/>
    <m/>
    <n v="1"/>
    <s v="Home"/>
    <m/>
    <m/>
    <m/>
    <m/>
    <s v=""/>
    <s v="Oxford United-"/>
    <s v=""/>
    <s v="Oxford United-"/>
  </r>
  <r>
    <s v="L1_0061"/>
    <x v="10"/>
    <x v="20"/>
    <s v="Luton Town"/>
    <n v="1.31"/>
    <n v="0.89"/>
    <n v="2"/>
    <n v="1"/>
    <n v="2.2000000000000002"/>
    <n v="3"/>
    <n v="1"/>
    <s v="Home"/>
    <n v="0.42000000000000004"/>
    <n v="1"/>
    <n v="0.69"/>
    <s v="Win"/>
    <n v="1"/>
    <s v="Stevenage-1"/>
    <n v="6"/>
    <s v="Stevenage-6"/>
  </r>
  <r>
    <s v="L1_0062"/>
    <x v="11"/>
    <x v="13"/>
    <s v="Doncaster Rovers"/>
    <n v="0.81"/>
    <n v="2.41"/>
    <n v="1"/>
    <n v="0"/>
    <n v="3.22"/>
    <n v="1"/>
    <n v="1"/>
    <s v="Home"/>
    <n v="-1.6"/>
    <n v="1"/>
    <n v="0.18999999999999995"/>
    <s v="Win"/>
    <n v="1"/>
    <s v="AFC Wimbledon-1"/>
    <n v="6"/>
    <s v="AFC Wimbledon-6"/>
  </r>
  <r>
    <s v="L1_0063"/>
    <x v="11"/>
    <x v="1"/>
    <s v="Bromley"/>
    <n v="1.17"/>
    <n v="1.38"/>
    <n v="2"/>
    <n v="2"/>
    <n v="2.5499999999999998"/>
    <n v="4"/>
    <n v="1"/>
    <s v="Home"/>
    <n v="-0.20999999999999996"/>
    <n v="0"/>
    <n v="0.83000000000000007"/>
    <s v="Draw"/>
    <n v="1"/>
    <s v="Blackpool-1"/>
    <n v="6"/>
    <s v="Blackpool-6"/>
  </r>
  <r>
    <s v="L1_0064"/>
    <x v="11"/>
    <x v="4"/>
    <s v="Reading"/>
    <n v="0.94"/>
    <n v="1.99"/>
    <n v="2"/>
    <n v="1"/>
    <n v="2.9299999999999997"/>
    <n v="3"/>
    <n v="1"/>
    <s v="Home"/>
    <n v="-1.05"/>
    <n v="1"/>
    <n v="1.06"/>
    <s v="Win"/>
    <n v="1"/>
    <s v="Cambridge United-1"/>
    <n v="6"/>
    <s v="Cambridge United-6"/>
  </r>
  <r>
    <s v="L1_0065"/>
    <x v="11"/>
    <x v="6"/>
    <s v="Wycombe Wanderers"/>
    <n v="0.88"/>
    <n v="1.1599999999999999"/>
    <n v="2"/>
    <n v="3"/>
    <n v="2.04"/>
    <n v="5"/>
    <n v="1"/>
    <s v="Home"/>
    <n v="-0.27999999999999992"/>
    <n v="-1"/>
    <n v="1.1200000000000001"/>
    <s v="Loss"/>
    <n v="1"/>
    <s v="Leyton Orient-1"/>
    <n v="6"/>
    <s v="Leyton Orient-6"/>
  </r>
  <r>
    <s v="L1_0066"/>
    <x v="11"/>
    <x v="7"/>
    <s v="Huddersfield Town"/>
    <n v="0.86"/>
    <n v="1.36"/>
    <n v="0"/>
    <n v="0"/>
    <n v="2.2200000000000002"/>
    <n v="0"/>
    <n v="1"/>
    <s v="Home"/>
    <n v="-0.50000000000000011"/>
    <n v="0"/>
    <n v="-0.86"/>
    <s v="Draw"/>
    <n v="1"/>
    <s v="Mansfield Town-1"/>
    <n v="6"/>
    <s v="Mansfield Town-6"/>
  </r>
  <r>
    <s v="L1_0067"/>
    <x v="11"/>
    <x v="18"/>
    <s v="Peterborough United"/>
    <n v="1.24"/>
    <n v="1.21"/>
    <n v="1"/>
    <n v="1"/>
    <n v="2.4500000000000002"/>
    <n v="2"/>
    <n v="1"/>
    <s v="Home"/>
    <n v="3.0000000000000027E-2"/>
    <n v="0"/>
    <n v="-0.24"/>
    <s v="Draw"/>
    <n v="1"/>
    <s v="Milton Keynes Dons-1"/>
    <n v="6"/>
    <s v="Milton Keynes Dons-6"/>
  </r>
  <r>
    <s v="L1_0068"/>
    <x v="11"/>
    <x v="8"/>
    <s v="Bradford City"/>
    <n v="0.49"/>
    <n v="0.5"/>
    <n v="0"/>
    <n v="1"/>
    <n v="0.99"/>
    <n v="1"/>
    <n v="1"/>
    <s v="Home"/>
    <n v="-1.0000000000000009E-2"/>
    <n v="-1"/>
    <n v="-0.49"/>
    <s v="Loss"/>
    <n v="1"/>
    <s v="Notts County-1"/>
    <n v="6"/>
    <s v="Notts County-6"/>
  </r>
  <r>
    <s v="L1_0069"/>
    <x v="11"/>
    <x v="9"/>
    <s v="Burton Albion"/>
    <n v="1.21"/>
    <n v="0.47"/>
    <n v="3"/>
    <n v="0"/>
    <n v="1.68"/>
    <n v="3"/>
    <n v="1"/>
    <s v="Home"/>
    <n v="0.74"/>
    <n v="3"/>
    <n v="1.79"/>
    <s v="Win"/>
    <n v="1"/>
    <s v="Oxford United-1"/>
    <n v="5"/>
    <s v="Oxford United-5"/>
  </r>
  <r>
    <s v="L1_0070"/>
    <x v="11"/>
    <x v="10"/>
    <s v="Barnsley"/>
    <n v="0.99"/>
    <n v="0.77"/>
    <n v="3"/>
    <n v="0"/>
    <n v="1.76"/>
    <n v="3"/>
    <n v="1"/>
    <s v="Home"/>
    <n v="0.21999999999999997"/>
    <n v="3"/>
    <n v="2.0099999999999998"/>
    <s v="Win"/>
    <n v="1"/>
    <s v="Plymouth Argyle-1"/>
    <n v="6"/>
    <s v="Plymouth Argyle-6"/>
  </r>
  <r>
    <s v="L1_0071"/>
    <x v="11"/>
    <x v="12"/>
    <s v="Wigan Athletic"/>
    <n v="0.82"/>
    <n v="1.59"/>
    <n v="0"/>
    <n v="0"/>
    <n v="2.41"/>
    <n v="0"/>
    <n v="1"/>
    <s v="Home"/>
    <n v="-0.77000000000000013"/>
    <n v="0"/>
    <n v="-0.82"/>
    <s v="Draw"/>
    <n v="1"/>
    <s v="Sheffield Wednesday-1"/>
    <n v="6"/>
    <s v="Sheffield Wednesday-6"/>
  </r>
  <r>
    <s v="L1_0072"/>
    <x v="11"/>
    <x v="21"/>
    <s v="Leicester City"/>
    <n v="2.29"/>
    <n v="1.21"/>
    <n v="3"/>
    <n v="4"/>
    <n v="3.5"/>
    <n v="7"/>
    <n v="1"/>
    <s v="Home"/>
    <n v="1.08"/>
    <n v="-1"/>
    <n v="0.71"/>
    <s v="Loss"/>
    <n v="1"/>
    <s v="Stockport County-1"/>
    <n v="6"/>
    <s v="Stockport County-6"/>
  </r>
  <r>
    <s v="L1_0073"/>
    <x v="12"/>
    <x v="13"/>
    <s v="Milton Keynes Dons"/>
    <m/>
    <m/>
    <m/>
    <m/>
    <m/>
    <m/>
    <n v="1"/>
    <s v="Home"/>
    <m/>
    <m/>
    <m/>
    <m/>
    <s v=""/>
    <s v="AFC Wimbledon-"/>
    <s v=""/>
    <s v="AFC Wimbledon-"/>
  </r>
  <r>
    <s v="L1_0074"/>
    <x v="13"/>
    <x v="0"/>
    <s v="Leicester City"/>
    <m/>
    <m/>
    <m/>
    <m/>
    <m/>
    <m/>
    <n v="1"/>
    <s v="Home"/>
    <m/>
    <m/>
    <m/>
    <m/>
    <s v=""/>
    <s v="Barnsley-"/>
    <s v=""/>
    <s v="Barnsley-"/>
  </r>
  <r>
    <s v="L1_0075"/>
    <x v="13"/>
    <x v="1"/>
    <s v="Plymouth Argyle"/>
    <m/>
    <m/>
    <m/>
    <m/>
    <m/>
    <m/>
    <n v="1"/>
    <s v="Home"/>
    <m/>
    <m/>
    <m/>
    <m/>
    <s v=""/>
    <s v="Blackpool-"/>
    <s v=""/>
    <s v="Blackpool-"/>
  </r>
  <r>
    <s v="L1_0076"/>
    <x v="13"/>
    <x v="14"/>
    <s v="Huddersfield Town"/>
    <m/>
    <m/>
    <m/>
    <m/>
    <m/>
    <m/>
    <n v="1"/>
    <s v="Home"/>
    <m/>
    <m/>
    <m/>
    <m/>
    <s v=""/>
    <s v="Bromley-"/>
    <s v=""/>
    <s v="Bromley-"/>
  </r>
  <r>
    <s v="L1_0077"/>
    <x v="13"/>
    <x v="3"/>
    <s v="Mansfield Town"/>
    <m/>
    <m/>
    <m/>
    <m/>
    <m/>
    <m/>
    <n v="1"/>
    <s v="Home"/>
    <m/>
    <m/>
    <m/>
    <m/>
    <s v=""/>
    <s v="Burton Albion-"/>
    <s v=""/>
    <s v="Burton Albion-"/>
  </r>
  <r>
    <s v="L1_0078"/>
    <x v="13"/>
    <x v="6"/>
    <s v="Stevenage"/>
    <m/>
    <m/>
    <m/>
    <m/>
    <m/>
    <m/>
    <n v="1"/>
    <s v="Home"/>
    <m/>
    <m/>
    <m/>
    <m/>
    <s v=""/>
    <s v="Leyton Orient-"/>
    <s v=""/>
    <s v="Leyton Orient-"/>
  </r>
  <r>
    <s v="L1_0079"/>
    <x v="13"/>
    <x v="17"/>
    <s v="Bradford City"/>
    <m/>
    <m/>
    <m/>
    <m/>
    <m/>
    <m/>
    <n v="1"/>
    <s v="Home"/>
    <m/>
    <m/>
    <m/>
    <m/>
    <s v=""/>
    <s v="Luton Town-"/>
    <s v=""/>
    <s v="Luton Town-"/>
  </r>
  <r>
    <s v="L1_0080"/>
    <x v="13"/>
    <x v="9"/>
    <s v="Cambridge United"/>
    <m/>
    <m/>
    <m/>
    <m/>
    <m/>
    <m/>
    <n v="1"/>
    <s v="Home"/>
    <m/>
    <m/>
    <m/>
    <m/>
    <s v=""/>
    <s v="Oxford United-"/>
    <s v=""/>
    <s v="Oxford United-"/>
  </r>
  <r>
    <s v="L1_0081"/>
    <x v="13"/>
    <x v="19"/>
    <s v="Doncaster Rovers"/>
    <m/>
    <m/>
    <m/>
    <m/>
    <m/>
    <m/>
    <n v="1"/>
    <s v="Home"/>
    <m/>
    <m/>
    <m/>
    <m/>
    <s v=""/>
    <s v="Peterborough United-"/>
    <s v=""/>
    <s v="Peterborough United-"/>
  </r>
  <r>
    <s v="L1_0082"/>
    <x v="13"/>
    <x v="11"/>
    <s v="Notts County"/>
    <m/>
    <m/>
    <m/>
    <m/>
    <m/>
    <m/>
    <n v="1"/>
    <s v="Home"/>
    <m/>
    <m/>
    <m/>
    <m/>
    <s v=""/>
    <s v="Reading-"/>
    <s v=""/>
    <s v="Reading-"/>
  </r>
  <r>
    <s v="L1_0083"/>
    <x v="13"/>
    <x v="12"/>
    <s v="Stockport County"/>
    <m/>
    <m/>
    <m/>
    <m/>
    <m/>
    <m/>
    <n v="1"/>
    <s v="Home"/>
    <m/>
    <m/>
    <m/>
    <m/>
    <s v=""/>
    <s v="Sheffield Wednesday-"/>
    <s v=""/>
    <s v="Sheffield Wednesday-"/>
  </r>
  <r>
    <s v="L1_0084"/>
    <x v="13"/>
    <x v="22"/>
    <s v="Wycombe Wanderers"/>
    <m/>
    <m/>
    <m/>
    <m/>
    <m/>
    <m/>
    <n v="1"/>
    <s v="Home"/>
    <m/>
    <m/>
    <m/>
    <m/>
    <s v=""/>
    <s v="Wigan Athletic-"/>
    <s v=""/>
    <s v="Wigan Athletic-"/>
  </r>
  <r>
    <s v="L1_0085"/>
    <x v="14"/>
    <x v="2"/>
    <s v="Barnsley"/>
    <m/>
    <m/>
    <m/>
    <m/>
    <m/>
    <m/>
    <n v="1"/>
    <s v="Home"/>
    <m/>
    <m/>
    <m/>
    <m/>
    <s v=""/>
    <s v="Bradford City-"/>
    <s v=""/>
    <s v="Bradford City-"/>
  </r>
  <r>
    <s v="L1_0086"/>
    <x v="14"/>
    <x v="4"/>
    <s v="AFC Wimbledon"/>
    <m/>
    <m/>
    <m/>
    <m/>
    <m/>
    <m/>
    <n v="1"/>
    <s v="Home"/>
    <m/>
    <m/>
    <m/>
    <m/>
    <s v=""/>
    <s v="Cambridge United-"/>
    <s v=""/>
    <s v="Cambridge United-"/>
  </r>
  <r>
    <s v="L1_0087"/>
    <x v="14"/>
    <x v="15"/>
    <s v="Oxford United"/>
    <m/>
    <m/>
    <m/>
    <m/>
    <m/>
    <m/>
    <n v="1"/>
    <s v="Home"/>
    <m/>
    <m/>
    <m/>
    <m/>
    <s v=""/>
    <s v="Doncaster Rovers-"/>
    <s v=""/>
    <s v="Doncaster Rovers-"/>
  </r>
  <r>
    <s v="L1_0088"/>
    <x v="14"/>
    <x v="5"/>
    <s v="Luton Town"/>
    <m/>
    <m/>
    <m/>
    <m/>
    <m/>
    <m/>
    <n v="1"/>
    <s v="Home"/>
    <m/>
    <m/>
    <m/>
    <m/>
    <s v=""/>
    <s v="Huddersfield Town-"/>
    <s v=""/>
    <s v="Huddersfield Town-"/>
  </r>
  <r>
    <s v="L1_0089"/>
    <x v="14"/>
    <x v="16"/>
    <s v="Wigan Athletic"/>
    <m/>
    <m/>
    <m/>
    <m/>
    <m/>
    <m/>
    <n v="1"/>
    <s v="Home"/>
    <m/>
    <m/>
    <m/>
    <m/>
    <s v=""/>
    <s v="Leicester City-"/>
    <s v=""/>
    <s v="Leicester City-"/>
  </r>
  <r>
    <s v="L1_0090"/>
    <x v="14"/>
    <x v="7"/>
    <s v="Leyton Orient"/>
    <m/>
    <m/>
    <m/>
    <m/>
    <m/>
    <m/>
    <n v="1"/>
    <s v="Home"/>
    <m/>
    <m/>
    <m/>
    <m/>
    <s v=""/>
    <s v="Mansfield Town-"/>
    <s v=""/>
    <s v="Mansfield Town-"/>
  </r>
  <r>
    <s v="L1_0091"/>
    <x v="14"/>
    <x v="18"/>
    <s v="Bromley"/>
    <m/>
    <m/>
    <m/>
    <m/>
    <m/>
    <m/>
    <n v="1"/>
    <s v="Home"/>
    <m/>
    <m/>
    <m/>
    <m/>
    <s v=""/>
    <s v="Milton Keynes Dons-"/>
    <s v=""/>
    <s v="Milton Keynes Dons-"/>
  </r>
  <r>
    <s v="L1_0092"/>
    <x v="14"/>
    <x v="8"/>
    <s v="Blackpool"/>
    <m/>
    <m/>
    <m/>
    <m/>
    <m/>
    <m/>
    <n v="1"/>
    <s v="Home"/>
    <m/>
    <m/>
    <m/>
    <m/>
    <s v=""/>
    <s v="Notts County-"/>
    <s v=""/>
    <s v="Notts County-"/>
  </r>
  <r>
    <s v="L1_0093"/>
    <x v="14"/>
    <x v="10"/>
    <s v="Burton Albion"/>
    <m/>
    <m/>
    <m/>
    <m/>
    <m/>
    <m/>
    <n v="1"/>
    <s v="Home"/>
    <m/>
    <m/>
    <m/>
    <m/>
    <s v=""/>
    <s v="Plymouth Argyle-"/>
    <s v=""/>
    <s v="Plymouth Argyle-"/>
  </r>
  <r>
    <s v="L1_0094"/>
    <x v="14"/>
    <x v="20"/>
    <s v="Sheffield Wednesday"/>
    <m/>
    <m/>
    <m/>
    <m/>
    <m/>
    <m/>
    <n v="1"/>
    <s v="Home"/>
    <m/>
    <m/>
    <m/>
    <m/>
    <s v=""/>
    <s v="Stevenage-"/>
    <s v=""/>
    <s v="Stevenage-"/>
  </r>
  <r>
    <s v="L1_0095"/>
    <x v="14"/>
    <x v="21"/>
    <s v="Peterborough United"/>
    <m/>
    <m/>
    <m/>
    <m/>
    <m/>
    <m/>
    <n v="1"/>
    <s v="Home"/>
    <m/>
    <m/>
    <m/>
    <m/>
    <s v=""/>
    <s v="Stockport County-"/>
    <s v=""/>
    <s v="Stockport County-"/>
  </r>
  <r>
    <s v="L1_0096"/>
    <x v="14"/>
    <x v="23"/>
    <s v="Reading"/>
    <m/>
    <m/>
    <m/>
    <m/>
    <m/>
    <m/>
    <n v="1"/>
    <s v="Home"/>
    <m/>
    <m/>
    <m/>
    <m/>
    <s v=""/>
    <s v="Wycombe Wanderers-"/>
    <s v=""/>
    <s v="Wycombe Wanderers-"/>
  </r>
  <r>
    <s v="L1_0097"/>
    <x v="15"/>
    <x v="13"/>
    <s v="Stevenage"/>
    <m/>
    <m/>
    <m/>
    <m/>
    <m/>
    <m/>
    <n v="1"/>
    <s v="Home"/>
    <m/>
    <m/>
    <m/>
    <m/>
    <s v=""/>
    <s v="AFC Wimbledon-"/>
    <s v=""/>
    <s v="AFC Wimbledon-"/>
  </r>
  <r>
    <s v="L1_0098"/>
    <x v="15"/>
    <x v="0"/>
    <s v="Milton Keynes Dons"/>
    <m/>
    <m/>
    <m/>
    <m/>
    <m/>
    <m/>
    <n v="1"/>
    <s v="Home"/>
    <m/>
    <m/>
    <m/>
    <m/>
    <s v=""/>
    <s v="Barnsley-"/>
    <s v=""/>
    <s v="Barnsley-"/>
  </r>
  <r>
    <s v="L1_0099"/>
    <x v="15"/>
    <x v="1"/>
    <s v="Leicester City"/>
    <m/>
    <m/>
    <m/>
    <m/>
    <m/>
    <m/>
    <n v="1"/>
    <s v="Home"/>
    <m/>
    <m/>
    <m/>
    <m/>
    <s v=""/>
    <s v="Blackpool-"/>
    <s v=""/>
    <s v="Blackpool-"/>
  </r>
  <r>
    <s v="L1_0100"/>
    <x v="15"/>
    <x v="14"/>
    <s v="Wycombe Wanderers"/>
    <m/>
    <m/>
    <m/>
    <m/>
    <m/>
    <m/>
    <n v="1"/>
    <s v="Home"/>
    <m/>
    <m/>
    <m/>
    <m/>
    <s v=""/>
    <s v="Bromley-"/>
    <s v=""/>
    <s v="Bromley-"/>
  </r>
  <r>
    <s v="L1_0101"/>
    <x v="15"/>
    <x v="3"/>
    <s v="Huddersfield Town"/>
    <m/>
    <m/>
    <m/>
    <m/>
    <m/>
    <m/>
    <n v="1"/>
    <s v="Home"/>
    <m/>
    <m/>
    <m/>
    <m/>
    <s v=""/>
    <s v="Burton Albion-"/>
    <s v=""/>
    <s v="Burton Albion-"/>
  </r>
  <r>
    <s v="L1_0102"/>
    <x v="15"/>
    <x v="6"/>
    <s v="Plymouth Argyle"/>
    <m/>
    <m/>
    <m/>
    <m/>
    <m/>
    <m/>
    <n v="1"/>
    <s v="Home"/>
    <m/>
    <m/>
    <m/>
    <m/>
    <s v=""/>
    <s v="Leyton Orient-"/>
    <s v=""/>
    <s v="Leyton Orient-"/>
  </r>
  <r>
    <s v="L1_0103"/>
    <x v="15"/>
    <x v="17"/>
    <s v="Doncaster Rovers"/>
    <m/>
    <m/>
    <m/>
    <m/>
    <m/>
    <m/>
    <n v="1"/>
    <s v="Home"/>
    <m/>
    <m/>
    <m/>
    <m/>
    <s v=""/>
    <s v="Luton Town-"/>
    <s v=""/>
    <s v="Luton Town-"/>
  </r>
  <r>
    <s v="L1_0104"/>
    <x v="15"/>
    <x v="9"/>
    <s v="Stockport County"/>
    <m/>
    <m/>
    <m/>
    <m/>
    <m/>
    <m/>
    <n v="1"/>
    <s v="Home"/>
    <m/>
    <m/>
    <m/>
    <m/>
    <s v=""/>
    <s v="Oxford United-"/>
    <s v=""/>
    <s v="Oxford United-"/>
  </r>
  <r>
    <s v="L1_0105"/>
    <x v="15"/>
    <x v="19"/>
    <s v="Notts County"/>
    <m/>
    <m/>
    <m/>
    <m/>
    <m/>
    <m/>
    <n v="1"/>
    <s v="Home"/>
    <m/>
    <m/>
    <m/>
    <m/>
    <s v=""/>
    <s v="Peterborough United-"/>
    <s v=""/>
    <s v="Peterborough United-"/>
  </r>
  <r>
    <s v="L1_0106"/>
    <x v="15"/>
    <x v="11"/>
    <s v="Bradford City"/>
    <m/>
    <m/>
    <m/>
    <m/>
    <m/>
    <m/>
    <n v="1"/>
    <s v="Home"/>
    <m/>
    <m/>
    <m/>
    <m/>
    <s v=""/>
    <s v="Reading-"/>
    <s v=""/>
    <s v="Reading-"/>
  </r>
  <r>
    <s v="L1_0107"/>
    <x v="15"/>
    <x v="12"/>
    <s v="Cambridge United"/>
    <m/>
    <m/>
    <m/>
    <m/>
    <m/>
    <m/>
    <n v="1"/>
    <s v="Home"/>
    <m/>
    <m/>
    <m/>
    <m/>
    <s v=""/>
    <s v="Sheffield Wednesday-"/>
    <s v=""/>
    <s v="Sheffield Wednesday-"/>
  </r>
  <r>
    <s v="L1_0108"/>
    <x v="15"/>
    <x v="22"/>
    <s v="Mansfield Town"/>
    <m/>
    <m/>
    <m/>
    <m/>
    <m/>
    <m/>
    <n v="1"/>
    <s v="Home"/>
    <m/>
    <m/>
    <m/>
    <m/>
    <s v=""/>
    <s v="Wigan Athletic-"/>
    <s v=""/>
    <s v="Wigan Athletic-"/>
  </r>
  <r>
    <s v="L1_0109"/>
    <x v="16"/>
    <x v="2"/>
    <s v="Leyton Orient"/>
    <m/>
    <m/>
    <m/>
    <m/>
    <m/>
    <m/>
    <n v="1"/>
    <s v="Home"/>
    <m/>
    <m/>
    <m/>
    <m/>
    <s v=""/>
    <s v="Bradford City-"/>
    <s v=""/>
    <s v="Bradford City-"/>
  </r>
  <r>
    <s v="L1_0110"/>
    <x v="16"/>
    <x v="4"/>
    <s v="Blackpool"/>
    <m/>
    <m/>
    <m/>
    <m/>
    <m/>
    <m/>
    <n v="1"/>
    <s v="Home"/>
    <m/>
    <m/>
    <m/>
    <m/>
    <s v=""/>
    <s v="Cambridge United-"/>
    <s v=""/>
    <s v="Cambridge United-"/>
  </r>
  <r>
    <s v="L1_0111"/>
    <x v="16"/>
    <x v="15"/>
    <s v="Burton Albion"/>
    <m/>
    <m/>
    <m/>
    <m/>
    <m/>
    <m/>
    <n v="1"/>
    <s v="Home"/>
    <m/>
    <m/>
    <m/>
    <m/>
    <s v=""/>
    <s v="Doncaster Rovers-"/>
    <s v=""/>
    <s v="Doncaster Rovers-"/>
  </r>
  <r>
    <s v="L1_0112"/>
    <x v="16"/>
    <x v="5"/>
    <s v="Sheffield Wednesday"/>
    <m/>
    <m/>
    <m/>
    <m/>
    <m/>
    <m/>
    <n v="1"/>
    <s v="Home"/>
    <m/>
    <m/>
    <m/>
    <m/>
    <s v=""/>
    <s v="Huddersfield Town-"/>
    <s v=""/>
    <s v="Huddersfield Town-"/>
  </r>
  <r>
    <s v="L1_0113"/>
    <x v="16"/>
    <x v="16"/>
    <s v="Peterborough United"/>
    <m/>
    <m/>
    <m/>
    <m/>
    <m/>
    <m/>
    <n v="1"/>
    <s v="Home"/>
    <m/>
    <m/>
    <m/>
    <m/>
    <s v=""/>
    <s v="Leicester City-"/>
    <s v=""/>
    <s v="Leicester City-"/>
  </r>
  <r>
    <s v="L1_0114"/>
    <x v="16"/>
    <x v="7"/>
    <s v="Bromley"/>
    <m/>
    <m/>
    <m/>
    <m/>
    <m/>
    <m/>
    <n v="1"/>
    <s v="Home"/>
    <m/>
    <m/>
    <m/>
    <m/>
    <s v=""/>
    <s v="Mansfield Town-"/>
    <s v=""/>
    <s v="Mansfield Town-"/>
  </r>
  <r>
    <s v="L1_0115"/>
    <x v="16"/>
    <x v="18"/>
    <s v="Reading"/>
    <m/>
    <m/>
    <m/>
    <m/>
    <m/>
    <m/>
    <n v="1"/>
    <s v="Home"/>
    <m/>
    <m/>
    <m/>
    <m/>
    <s v=""/>
    <s v="Milton Keynes Dons-"/>
    <s v=""/>
    <s v="Milton Keynes Dons-"/>
  </r>
  <r>
    <s v="L1_0116"/>
    <x v="16"/>
    <x v="8"/>
    <s v="Oxford United"/>
    <m/>
    <m/>
    <m/>
    <m/>
    <m/>
    <m/>
    <n v="1"/>
    <s v="Home"/>
    <m/>
    <m/>
    <m/>
    <m/>
    <s v=""/>
    <s v="Notts County-"/>
    <s v=""/>
    <s v="Notts County-"/>
  </r>
  <r>
    <s v="L1_0117"/>
    <x v="16"/>
    <x v="10"/>
    <s v="AFC Wimbledon"/>
    <m/>
    <m/>
    <m/>
    <m/>
    <m/>
    <m/>
    <n v="1"/>
    <s v="Home"/>
    <m/>
    <m/>
    <m/>
    <m/>
    <s v=""/>
    <s v="Plymouth Argyle-"/>
    <s v=""/>
    <s v="Plymouth Argyle-"/>
  </r>
  <r>
    <s v="L1_0118"/>
    <x v="16"/>
    <x v="20"/>
    <s v="Wigan Athletic"/>
    <m/>
    <m/>
    <m/>
    <m/>
    <m/>
    <m/>
    <n v="1"/>
    <s v="Home"/>
    <m/>
    <m/>
    <m/>
    <m/>
    <s v=""/>
    <s v="Stevenage-"/>
    <s v=""/>
    <s v="Stevenage-"/>
  </r>
  <r>
    <s v="L1_0119"/>
    <x v="16"/>
    <x v="21"/>
    <s v="Barnsley"/>
    <m/>
    <m/>
    <m/>
    <m/>
    <m/>
    <m/>
    <n v="1"/>
    <s v="Home"/>
    <m/>
    <m/>
    <m/>
    <m/>
    <s v=""/>
    <s v="Stockport County-"/>
    <s v=""/>
    <s v="Stockport County-"/>
  </r>
  <r>
    <s v="L1_0120"/>
    <x v="16"/>
    <x v="23"/>
    <s v="Luton Town"/>
    <m/>
    <m/>
    <m/>
    <m/>
    <m/>
    <m/>
    <n v="1"/>
    <s v="Home"/>
    <m/>
    <m/>
    <m/>
    <m/>
    <s v=""/>
    <s v="Wycombe Wanderers-"/>
    <s v=""/>
    <s v="Wycombe Wanderers-"/>
  </r>
  <r>
    <s v="L1_0121"/>
    <x v="17"/>
    <x v="7"/>
    <s v="Oxford United"/>
    <m/>
    <m/>
    <m/>
    <m/>
    <m/>
    <m/>
    <n v="1"/>
    <s v="Home"/>
    <m/>
    <m/>
    <m/>
    <m/>
    <s v=""/>
    <s v="Mansfield Town-"/>
    <s v=""/>
    <s v="Mansfield Town-"/>
  </r>
  <r>
    <s v="L1_0122"/>
    <x v="18"/>
    <x v="0"/>
    <s v="Cambridge United"/>
    <m/>
    <m/>
    <m/>
    <m/>
    <m/>
    <m/>
    <n v="1"/>
    <s v="Home"/>
    <m/>
    <m/>
    <m/>
    <m/>
    <s v=""/>
    <s v="Barnsley-"/>
    <s v=""/>
    <s v="Barnsley-"/>
  </r>
  <r>
    <s v="L1_0123"/>
    <x v="18"/>
    <x v="2"/>
    <s v="Stevenage"/>
    <m/>
    <m/>
    <m/>
    <m/>
    <m/>
    <m/>
    <n v="1"/>
    <s v="Home"/>
    <m/>
    <m/>
    <m/>
    <m/>
    <s v=""/>
    <s v="Bradford City-"/>
    <s v=""/>
    <s v="Bradford City-"/>
  </r>
  <r>
    <s v="L1_0124"/>
    <x v="18"/>
    <x v="16"/>
    <s v="Doncaster Rovers"/>
    <m/>
    <m/>
    <m/>
    <m/>
    <m/>
    <m/>
    <n v="1"/>
    <s v="Home"/>
    <m/>
    <m/>
    <m/>
    <m/>
    <s v=""/>
    <s v="Leicester City-"/>
    <s v=""/>
    <s v="Leicester City-"/>
  </r>
  <r>
    <s v="L1_0125"/>
    <x v="18"/>
    <x v="6"/>
    <s v="Blackpool"/>
    <m/>
    <m/>
    <m/>
    <m/>
    <m/>
    <m/>
    <n v="1"/>
    <s v="Home"/>
    <m/>
    <m/>
    <m/>
    <m/>
    <s v=""/>
    <s v="Leyton Orient-"/>
    <s v=""/>
    <s v="Leyton Orient-"/>
  </r>
  <r>
    <s v="L1_0126"/>
    <x v="18"/>
    <x v="18"/>
    <s v="Luton Town"/>
    <m/>
    <m/>
    <m/>
    <m/>
    <m/>
    <m/>
    <n v="1"/>
    <s v="Home"/>
    <m/>
    <m/>
    <m/>
    <m/>
    <s v=""/>
    <s v="Milton Keynes Dons-"/>
    <s v=""/>
    <s v="Milton Keynes Dons-"/>
  </r>
  <r>
    <s v="L1_0127"/>
    <x v="18"/>
    <x v="19"/>
    <s v="Burton Albion"/>
    <m/>
    <m/>
    <m/>
    <m/>
    <m/>
    <m/>
    <n v="1"/>
    <s v="Home"/>
    <m/>
    <m/>
    <m/>
    <m/>
    <s v=""/>
    <s v="Peterborough United-"/>
    <s v=""/>
    <s v="Peterborough United-"/>
  </r>
  <r>
    <s v="L1_0128"/>
    <x v="18"/>
    <x v="10"/>
    <s v="Huddersfield Town"/>
    <m/>
    <m/>
    <m/>
    <m/>
    <m/>
    <m/>
    <n v="1"/>
    <s v="Home"/>
    <m/>
    <m/>
    <m/>
    <m/>
    <s v=""/>
    <s v="Plymouth Argyle-"/>
    <s v=""/>
    <s v="Plymouth Argyle-"/>
  </r>
  <r>
    <s v="L1_0129"/>
    <x v="18"/>
    <x v="12"/>
    <s v="AFC Wimbledon"/>
    <m/>
    <m/>
    <m/>
    <m/>
    <m/>
    <m/>
    <n v="1"/>
    <s v="Home"/>
    <m/>
    <m/>
    <m/>
    <m/>
    <s v=""/>
    <s v="Sheffield Wednesday-"/>
    <s v=""/>
    <s v="Sheffield Wednesday-"/>
  </r>
  <r>
    <s v="L1_0130"/>
    <x v="18"/>
    <x v="21"/>
    <s v="Bromley"/>
    <m/>
    <m/>
    <m/>
    <m/>
    <m/>
    <m/>
    <n v="1"/>
    <s v="Home"/>
    <m/>
    <m/>
    <m/>
    <m/>
    <s v=""/>
    <s v="Stockport County-"/>
    <s v=""/>
    <s v="Stockport County-"/>
  </r>
  <r>
    <s v="L1_0131"/>
    <x v="18"/>
    <x v="22"/>
    <s v="Reading"/>
    <m/>
    <m/>
    <m/>
    <m/>
    <m/>
    <m/>
    <n v="1"/>
    <s v="Home"/>
    <m/>
    <m/>
    <m/>
    <m/>
    <s v=""/>
    <s v="Wigan Athletic-"/>
    <s v=""/>
    <s v="Wigan Athletic-"/>
  </r>
  <r>
    <s v="L1_0132"/>
    <x v="18"/>
    <x v="23"/>
    <s v="Notts County"/>
    <m/>
    <m/>
    <m/>
    <m/>
    <m/>
    <m/>
    <n v="1"/>
    <s v="Home"/>
    <m/>
    <m/>
    <m/>
    <m/>
    <s v=""/>
    <s v="Wycombe Wanderers-"/>
    <s v=""/>
    <s v="Wycombe Wanderers-"/>
  </r>
  <r>
    <s v="L1_0133"/>
    <x v="19"/>
    <x v="13"/>
    <s v="Mansfield Town"/>
    <m/>
    <m/>
    <m/>
    <m/>
    <m/>
    <m/>
    <n v="1"/>
    <s v="Home"/>
    <m/>
    <m/>
    <m/>
    <m/>
    <s v=""/>
    <s v="AFC Wimbledon-"/>
    <s v=""/>
    <s v="AFC Wimbledon-"/>
  </r>
  <r>
    <s v="L1_0134"/>
    <x v="19"/>
    <x v="1"/>
    <s v="Milton Keynes Dons"/>
    <m/>
    <m/>
    <m/>
    <m/>
    <m/>
    <m/>
    <n v="1"/>
    <s v="Home"/>
    <m/>
    <m/>
    <m/>
    <m/>
    <s v=""/>
    <s v="Blackpool-"/>
    <s v=""/>
    <s v="Blackpool-"/>
  </r>
  <r>
    <s v="L1_0135"/>
    <x v="19"/>
    <x v="14"/>
    <s v="Leicester City"/>
    <m/>
    <m/>
    <m/>
    <m/>
    <m/>
    <m/>
    <n v="1"/>
    <s v="Home"/>
    <m/>
    <m/>
    <m/>
    <m/>
    <s v=""/>
    <s v="Bromley-"/>
    <s v=""/>
    <s v="Bromley-"/>
  </r>
  <r>
    <s v="L1_0136"/>
    <x v="19"/>
    <x v="3"/>
    <s v="Bradford City"/>
    <m/>
    <m/>
    <m/>
    <m/>
    <m/>
    <m/>
    <n v="1"/>
    <s v="Home"/>
    <m/>
    <m/>
    <m/>
    <m/>
    <s v=""/>
    <s v="Burton Albion-"/>
    <s v=""/>
    <s v="Burton Albion-"/>
  </r>
  <r>
    <s v="L1_0137"/>
    <x v="19"/>
    <x v="4"/>
    <s v="Wycombe Wanderers"/>
    <m/>
    <m/>
    <m/>
    <m/>
    <m/>
    <m/>
    <n v="1"/>
    <s v="Home"/>
    <m/>
    <m/>
    <m/>
    <m/>
    <s v=""/>
    <s v="Cambridge United-"/>
    <s v=""/>
    <s v="Cambridge United-"/>
  </r>
  <r>
    <s v="L1_0138"/>
    <x v="19"/>
    <x v="15"/>
    <s v="Stockport County"/>
    <m/>
    <m/>
    <m/>
    <m/>
    <m/>
    <m/>
    <n v="1"/>
    <s v="Home"/>
    <m/>
    <m/>
    <m/>
    <m/>
    <s v=""/>
    <s v="Doncaster Rovers-"/>
    <s v=""/>
    <s v="Doncaster Rovers-"/>
  </r>
  <r>
    <s v="L1_0139"/>
    <x v="19"/>
    <x v="5"/>
    <s v="Peterborough United"/>
    <m/>
    <m/>
    <m/>
    <m/>
    <m/>
    <m/>
    <n v="1"/>
    <s v="Home"/>
    <m/>
    <m/>
    <m/>
    <m/>
    <s v=""/>
    <s v="Huddersfield Town-"/>
    <s v=""/>
    <s v="Huddersfield Town-"/>
  </r>
  <r>
    <s v="L1_0140"/>
    <x v="19"/>
    <x v="17"/>
    <s v="Barnsley"/>
    <m/>
    <m/>
    <m/>
    <m/>
    <m/>
    <m/>
    <n v="1"/>
    <s v="Home"/>
    <m/>
    <m/>
    <m/>
    <m/>
    <s v=""/>
    <s v="Luton Town-"/>
    <s v=""/>
    <s v="Luton Town-"/>
  </r>
  <r>
    <s v="L1_0141"/>
    <x v="19"/>
    <x v="8"/>
    <s v="Sheffield Wednesday"/>
    <m/>
    <m/>
    <m/>
    <m/>
    <m/>
    <m/>
    <n v="1"/>
    <s v="Home"/>
    <m/>
    <m/>
    <m/>
    <m/>
    <s v=""/>
    <s v="Notts County-"/>
    <s v=""/>
    <s v="Notts County-"/>
  </r>
  <r>
    <s v="L1_0142"/>
    <x v="19"/>
    <x v="9"/>
    <s v="Wigan Athletic"/>
    <m/>
    <m/>
    <m/>
    <m/>
    <m/>
    <m/>
    <n v="1"/>
    <s v="Home"/>
    <m/>
    <m/>
    <m/>
    <m/>
    <s v=""/>
    <s v="Oxford United-"/>
    <s v=""/>
    <s v="Oxford United-"/>
  </r>
  <r>
    <s v="L1_0143"/>
    <x v="19"/>
    <x v="20"/>
    <s v="Plymouth Argyle"/>
    <m/>
    <m/>
    <m/>
    <m/>
    <m/>
    <m/>
    <n v="1"/>
    <s v="Home"/>
    <m/>
    <m/>
    <m/>
    <m/>
    <s v=""/>
    <s v="Stevenage-"/>
    <s v=""/>
    <s v="Stevenage-"/>
  </r>
  <r>
    <s v="L1_0144"/>
    <x v="20"/>
    <x v="11"/>
    <s v="Leyton Orient"/>
    <m/>
    <m/>
    <m/>
    <m/>
    <m/>
    <m/>
    <n v="1"/>
    <s v="Home"/>
    <m/>
    <m/>
    <m/>
    <m/>
    <s v=""/>
    <s v="Reading-"/>
    <s v=""/>
    <s v="Reading-"/>
  </r>
  <r>
    <s v="L1_0145"/>
    <x v="21"/>
    <x v="13"/>
    <s v="Wycombe Wanderers"/>
    <m/>
    <m/>
    <m/>
    <m/>
    <m/>
    <m/>
    <n v="1"/>
    <s v="Home"/>
    <m/>
    <m/>
    <m/>
    <m/>
    <s v=""/>
    <s v="AFC Wimbledon-"/>
    <s v=""/>
    <s v="AFC Wimbledon-"/>
  </r>
  <r>
    <s v="L1_0146"/>
    <x v="21"/>
    <x v="1"/>
    <s v="Mansfield Town"/>
    <m/>
    <m/>
    <m/>
    <m/>
    <m/>
    <m/>
    <n v="1"/>
    <s v="Home"/>
    <m/>
    <m/>
    <m/>
    <m/>
    <s v=""/>
    <s v="Blackpool-"/>
    <s v=""/>
    <s v="Blackpool-"/>
  </r>
  <r>
    <s v="L1_0147"/>
    <x v="21"/>
    <x v="14"/>
    <s v="Peterborough United"/>
    <m/>
    <m/>
    <m/>
    <m/>
    <m/>
    <m/>
    <n v="1"/>
    <s v="Home"/>
    <m/>
    <m/>
    <m/>
    <m/>
    <s v=""/>
    <s v="Bromley-"/>
    <s v=""/>
    <s v="Bromley-"/>
  </r>
  <r>
    <s v="L1_0148"/>
    <x v="21"/>
    <x v="3"/>
    <s v="Leyton Orient"/>
    <m/>
    <m/>
    <m/>
    <m/>
    <m/>
    <m/>
    <n v="1"/>
    <s v="Home"/>
    <m/>
    <m/>
    <m/>
    <m/>
    <s v=""/>
    <s v="Burton Albion-"/>
    <s v=""/>
    <s v="Burton Albion-"/>
  </r>
  <r>
    <s v="L1_0149"/>
    <x v="21"/>
    <x v="4"/>
    <s v="Plymouth Argyle"/>
    <m/>
    <m/>
    <m/>
    <m/>
    <m/>
    <m/>
    <n v="1"/>
    <s v="Home"/>
    <m/>
    <m/>
    <m/>
    <m/>
    <s v=""/>
    <s v="Cambridge United-"/>
    <s v=""/>
    <s v="Cambridge United-"/>
  </r>
  <r>
    <s v="L1_0150"/>
    <x v="21"/>
    <x v="15"/>
    <s v="Sheffield Wednesday"/>
    <m/>
    <m/>
    <m/>
    <m/>
    <m/>
    <m/>
    <n v="1"/>
    <s v="Home"/>
    <m/>
    <m/>
    <m/>
    <m/>
    <s v=""/>
    <s v="Doncaster Rovers-"/>
    <s v=""/>
    <s v="Doncaster Rovers-"/>
  </r>
  <r>
    <s v="L1_0151"/>
    <x v="21"/>
    <x v="5"/>
    <s v="Wigan Athletic"/>
    <m/>
    <m/>
    <m/>
    <m/>
    <m/>
    <m/>
    <n v="1"/>
    <s v="Home"/>
    <m/>
    <m/>
    <m/>
    <m/>
    <s v=""/>
    <s v="Huddersfield Town-"/>
    <s v=""/>
    <s v="Huddersfield Town-"/>
  </r>
  <r>
    <s v="L1_0152"/>
    <x v="21"/>
    <x v="17"/>
    <s v="Leicester City"/>
    <m/>
    <m/>
    <m/>
    <m/>
    <m/>
    <m/>
    <n v="1"/>
    <s v="Home"/>
    <m/>
    <m/>
    <m/>
    <m/>
    <s v=""/>
    <s v="Luton Town-"/>
    <s v=""/>
    <s v="Luton Town-"/>
  </r>
  <r>
    <s v="L1_0153"/>
    <x v="21"/>
    <x v="8"/>
    <s v="Stockport County"/>
    <m/>
    <m/>
    <m/>
    <m/>
    <m/>
    <m/>
    <n v="1"/>
    <s v="Home"/>
    <m/>
    <m/>
    <m/>
    <m/>
    <s v=""/>
    <s v="Notts County-"/>
    <s v=""/>
    <s v="Notts County-"/>
  </r>
  <r>
    <s v="L1_0154"/>
    <x v="21"/>
    <x v="9"/>
    <s v="Bradford City"/>
    <m/>
    <m/>
    <m/>
    <m/>
    <m/>
    <m/>
    <n v="1"/>
    <s v="Home"/>
    <m/>
    <m/>
    <m/>
    <m/>
    <s v=""/>
    <s v="Oxford United-"/>
    <s v=""/>
    <s v="Oxford United-"/>
  </r>
  <r>
    <s v="L1_0155"/>
    <x v="21"/>
    <x v="11"/>
    <s v="Barnsley"/>
    <m/>
    <m/>
    <m/>
    <m/>
    <m/>
    <m/>
    <n v="1"/>
    <s v="Home"/>
    <m/>
    <m/>
    <m/>
    <m/>
    <s v=""/>
    <s v="Reading-"/>
    <s v=""/>
    <s v="Reading-"/>
  </r>
  <r>
    <s v="L1_0156"/>
    <x v="21"/>
    <x v="20"/>
    <s v="Milton Keynes Dons"/>
    <m/>
    <m/>
    <m/>
    <m/>
    <m/>
    <m/>
    <n v="1"/>
    <s v="Home"/>
    <m/>
    <m/>
    <m/>
    <m/>
    <s v=""/>
    <s v="Stevenage-"/>
    <s v=""/>
    <s v="Stevenage-"/>
  </r>
  <r>
    <s v="L1_0157"/>
    <x v="22"/>
    <x v="0"/>
    <s v="Oxford United"/>
    <m/>
    <m/>
    <m/>
    <m/>
    <m/>
    <m/>
    <n v="1"/>
    <s v="Home"/>
    <m/>
    <m/>
    <m/>
    <m/>
    <s v=""/>
    <s v="Barnsley-"/>
    <s v=""/>
    <s v="Barnsley-"/>
  </r>
  <r>
    <s v="L1_0158"/>
    <x v="22"/>
    <x v="2"/>
    <s v="Huddersfield Town"/>
    <m/>
    <m/>
    <m/>
    <m/>
    <m/>
    <m/>
    <n v="1"/>
    <s v="Home"/>
    <m/>
    <m/>
    <m/>
    <m/>
    <s v=""/>
    <s v="Bradford City-"/>
    <s v=""/>
    <s v="Bradford City-"/>
  </r>
  <r>
    <s v="L1_0159"/>
    <x v="22"/>
    <x v="16"/>
    <s v="Stevenage"/>
    <m/>
    <m/>
    <m/>
    <m/>
    <m/>
    <m/>
    <n v="1"/>
    <s v="Home"/>
    <m/>
    <m/>
    <m/>
    <m/>
    <s v=""/>
    <s v="Leicester City-"/>
    <s v=""/>
    <s v="Leicester City-"/>
  </r>
  <r>
    <s v="L1_0160"/>
    <x v="22"/>
    <x v="6"/>
    <s v="Cambridge United"/>
    <m/>
    <m/>
    <m/>
    <m/>
    <m/>
    <m/>
    <n v="1"/>
    <s v="Home"/>
    <m/>
    <m/>
    <m/>
    <m/>
    <s v=""/>
    <s v="Leyton Orient-"/>
    <s v=""/>
    <s v="Leyton Orient-"/>
  </r>
  <r>
    <s v="L1_0161"/>
    <x v="22"/>
    <x v="7"/>
    <s v="Notts County"/>
    <m/>
    <m/>
    <m/>
    <m/>
    <m/>
    <m/>
    <n v="1"/>
    <s v="Home"/>
    <m/>
    <m/>
    <m/>
    <m/>
    <s v=""/>
    <s v="Mansfield Town-"/>
    <s v=""/>
    <s v="Mansfield Town-"/>
  </r>
  <r>
    <s v="L1_0162"/>
    <x v="22"/>
    <x v="18"/>
    <s v="Doncaster Rovers"/>
    <m/>
    <m/>
    <m/>
    <m/>
    <m/>
    <m/>
    <n v="1"/>
    <s v="Home"/>
    <m/>
    <m/>
    <m/>
    <m/>
    <s v=""/>
    <s v="Milton Keynes Dons-"/>
    <s v=""/>
    <s v="Milton Keynes Dons-"/>
  </r>
  <r>
    <s v="L1_0163"/>
    <x v="22"/>
    <x v="19"/>
    <s v="Luton Town"/>
    <m/>
    <m/>
    <m/>
    <m/>
    <m/>
    <m/>
    <n v="1"/>
    <s v="Home"/>
    <m/>
    <m/>
    <m/>
    <m/>
    <s v=""/>
    <s v="Peterborough United-"/>
    <s v=""/>
    <s v="Peterborough United-"/>
  </r>
  <r>
    <s v="L1_0164"/>
    <x v="22"/>
    <x v="10"/>
    <s v="Reading"/>
    <m/>
    <m/>
    <m/>
    <m/>
    <m/>
    <m/>
    <n v="1"/>
    <s v="Home"/>
    <m/>
    <m/>
    <m/>
    <m/>
    <s v=""/>
    <s v="Plymouth Argyle-"/>
    <s v=""/>
    <s v="Plymouth Argyle-"/>
  </r>
  <r>
    <s v="L1_0165"/>
    <x v="22"/>
    <x v="21"/>
    <s v="AFC Wimbledon"/>
    <m/>
    <m/>
    <m/>
    <m/>
    <m/>
    <m/>
    <n v="1"/>
    <s v="Home"/>
    <m/>
    <m/>
    <m/>
    <m/>
    <s v=""/>
    <s v="Stockport County-"/>
    <s v=""/>
    <s v="Stockport County-"/>
  </r>
  <r>
    <s v="L1_0166"/>
    <x v="22"/>
    <x v="22"/>
    <s v="Bromley"/>
    <m/>
    <m/>
    <m/>
    <m/>
    <m/>
    <m/>
    <n v="1"/>
    <s v="Home"/>
    <m/>
    <m/>
    <m/>
    <m/>
    <s v=""/>
    <s v="Wigan Athletic-"/>
    <s v=""/>
    <s v="Wigan Athletic-"/>
  </r>
  <r>
    <s v="L1_0167"/>
    <x v="22"/>
    <x v="23"/>
    <s v="Burton Albion"/>
    <m/>
    <m/>
    <m/>
    <m/>
    <m/>
    <m/>
    <n v="1"/>
    <s v="Home"/>
    <m/>
    <m/>
    <m/>
    <m/>
    <s v=""/>
    <s v="Wycombe Wanderers-"/>
    <s v=""/>
    <s v="Wycombe Wanderers-"/>
  </r>
  <r>
    <s v="L1_0168"/>
    <x v="23"/>
    <x v="12"/>
    <s v="Blackpool"/>
    <m/>
    <m/>
    <m/>
    <m/>
    <m/>
    <m/>
    <n v="1"/>
    <s v="Home"/>
    <m/>
    <m/>
    <m/>
    <m/>
    <s v=""/>
    <s v="Sheffield Wednesday-"/>
    <s v=""/>
    <s v="Sheffield Wednesday-"/>
  </r>
  <r>
    <s v="L1_0169"/>
    <x v="24"/>
    <x v="13"/>
    <s v="Blackpool"/>
    <m/>
    <m/>
    <m/>
    <m/>
    <m/>
    <m/>
    <n v="1"/>
    <s v="Home"/>
    <m/>
    <m/>
    <m/>
    <m/>
    <s v=""/>
    <s v="AFC Wimbledon-"/>
    <s v=""/>
    <s v="AFC Wimbledon-"/>
  </r>
  <r>
    <s v="L1_0170"/>
    <x v="24"/>
    <x v="14"/>
    <s v="Notts County"/>
    <m/>
    <m/>
    <m/>
    <m/>
    <m/>
    <m/>
    <n v="1"/>
    <s v="Home"/>
    <m/>
    <m/>
    <m/>
    <m/>
    <s v=""/>
    <s v="Bromley-"/>
    <s v=""/>
    <s v="Bromley-"/>
  </r>
  <r>
    <s v="L1_0171"/>
    <x v="24"/>
    <x v="15"/>
    <s v="Leyton Orient"/>
    <m/>
    <m/>
    <m/>
    <m/>
    <m/>
    <m/>
    <n v="1"/>
    <s v="Home"/>
    <m/>
    <m/>
    <m/>
    <m/>
    <s v=""/>
    <s v="Doncaster Rovers-"/>
    <s v=""/>
    <s v="Doncaster Rovers-"/>
  </r>
  <r>
    <s v="L1_0172"/>
    <x v="24"/>
    <x v="16"/>
    <s v="Bradford City"/>
    <m/>
    <m/>
    <m/>
    <m/>
    <m/>
    <m/>
    <n v="1"/>
    <s v="Home"/>
    <m/>
    <m/>
    <m/>
    <m/>
    <s v=""/>
    <s v="Leicester City-"/>
    <s v=""/>
    <s v="Leicester City-"/>
  </r>
  <r>
    <s v="L1_0173"/>
    <x v="24"/>
    <x v="17"/>
    <s v="Cambridge United"/>
    <m/>
    <m/>
    <m/>
    <m/>
    <m/>
    <m/>
    <n v="1"/>
    <s v="Home"/>
    <m/>
    <m/>
    <m/>
    <m/>
    <s v=""/>
    <s v="Luton Town-"/>
    <s v=""/>
    <s v="Luton Town-"/>
  </r>
  <r>
    <s v="L1_0174"/>
    <x v="24"/>
    <x v="18"/>
    <s v="Burton Albion"/>
    <m/>
    <m/>
    <m/>
    <m/>
    <m/>
    <m/>
    <n v="1"/>
    <s v="Home"/>
    <m/>
    <m/>
    <m/>
    <m/>
    <s v=""/>
    <s v="Milton Keynes Dons-"/>
    <s v=""/>
    <s v="Milton Keynes Dons-"/>
  </r>
  <r>
    <s v="L1_0175"/>
    <x v="24"/>
    <x v="19"/>
    <s v="Oxford United"/>
    <m/>
    <m/>
    <m/>
    <m/>
    <m/>
    <m/>
    <n v="1"/>
    <s v="Home"/>
    <m/>
    <m/>
    <m/>
    <m/>
    <s v=""/>
    <s v="Peterborough United-"/>
    <s v=""/>
    <s v="Peterborough United-"/>
  </r>
  <r>
    <s v="L1_0176"/>
    <x v="24"/>
    <x v="12"/>
    <s v="Plymouth Argyle"/>
    <m/>
    <m/>
    <m/>
    <m/>
    <m/>
    <m/>
    <n v="1"/>
    <s v="Home"/>
    <m/>
    <m/>
    <m/>
    <m/>
    <s v=""/>
    <s v="Sheffield Wednesday-"/>
    <s v=""/>
    <s v="Sheffield Wednesday-"/>
  </r>
  <r>
    <s v="L1_0177"/>
    <x v="24"/>
    <x v="20"/>
    <s v="Mansfield Town"/>
    <m/>
    <m/>
    <m/>
    <m/>
    <m/>
    <m/>
    <n v="1"/>
    <s v="Home"/>
    <m/>
    <m/>
    <m/>
    <m/>
    <s v=""/>
    <s v="Stevenage-"/>
    <s v=""/>
    <s v="Stevenage-"/>
  </r>
  <r>
    <s v="L1_0178"/>
    <x v="24"/>
    <x v="21"/>
    <s v="Reading"/>
    <m/>
    <m/>
    <m/>
    <m/>
    <m/>
    <m/>
    <n v="1"/>
    <s v="Home"/>
    <m/>
    <m/>
    <m/>
    <m/>
    <s v=""/>
    <s v="Stockport County-"/>
    <s v=""/>
    <s v="Stockport County-"/>
  </r>
  <r>
    <s v="L1_0179"/>
    <x v="24"/>
    <x v="22"/>
    <s v="Barnsley"/>
    <m/>
    <m/>
    <m/>
    <m/>
    <m/>
    <m/>
    <n v="1"/>
    <s v="Home"/>
    <m/>
    <m/>
    <m/>
    <m/>
    <s v=""/>
    <s v="Wigan Athletic-"/>
    <s v=""/>
    <s v="Wigan Athletic-"/>
  </r>
  <r>
    <s v="L1_0180"/>
    <x v="24"/>
    <x v="23"/>
    <s v="Huddersfield Town"/>
    <m/>
    <m/>
    <m/>
    <m/>
    <m/>
    <m/>
    <n v="1"/>
    <s v="Home"/>
    <m/>
    <m/>
    <m/>
    <m/>
    <s v=""/>
    <s v="Wycombe Wanderers-"/>
    <s v=""/>
    <s v="Wycombe Wanderers-"/>
  </r>
  <r>
    <s v="L1_0181"/>
    <x v="25"/>
    <x v="0"/>
    <s v="Sheffield Wednesday"/>
    <m/>
    <m/>
    <m/>
    <m/>
    <m/>
    <m/>
    <n v="1"/>
    <s v="Home"/>
    <m/>
    <m/>
    <m/>
    <m/>
    <s v=""/>
    <s v="Barnsley-"/>
    <s v=""/>
    <s v="Barnsley-"/>
  </r>
  <r>
    <s v="L1_0182"/>
    <x v="26"/>
    <x v="1"/>
    <s v="Wigan Athletic"/>
    <m/>
    <m/>
    <m/>
    <m/>
    <m/>
    <m/>
    <n v="1"/>
    <s v="Home"/>
    <m/>
    <m/>
    <m/>
    <m/>
    <s v=""/>
    <s v="Blackpool-"/>
    <s v=""/>
    <s v="Blackpool-"/>
  </r>
  <r>
    <s v="L1_0183"/>
    <x v="26"/>
    <x v="2"/>
    <s v="Doncaster Rovers"/>
    <m/>
    <m/>
    <m/>
    <m/>
    <m/>
    <m/>
    <n v="1"/>
    <s v="Home"/>
    <m/>
    <m/>
    <m/>
    <m/>
    <s v=""/>
    <s v="Bradford City-"/>
    <s v=""/>
    <s v="Bradford City-"/>
  </r>
  <r>
    <s v="L1_0184"/>
    <x v="26"/>
    <x v="3"/>
    <s v="Luton Town"/>
    <m/>
    <m/>
    <m/>
    <m/>
    <m/>
    <m/>
    <n v="1"/>
    <s v="Home"/>
    <m/>
    <m/>
    <m/>
    <m/>
    <s v=""/>
    <s v="Burton Albion-"/>
    <s v=""/>
    <s v="Burton Albion-"/>
  </r>
  <r>
    <s v="L1_0185"/>
    <x v="26"/>
    <x v="4"/>
    <s v="Stockport County"/>
    <m/>
    <m/>
    <m/>
    <m/>
    <m/>
    <m/>
    <n v="1"/>
    <s v="Home"/>
    <m/>
    <m/>
    <m/>
    <m/>
    <s v=""/>
    <s v="Cambridge United-"/>
    <s v=""/>
    <s v="Cambridge United-"/>
  </r>
  <r>
    <s v="L1_0186"/>
    <x v="26"/>
    <x v="5"/>
    <s v="Leicester City"/>
    <m/>
    <m/>
    <m/>
    <m/>
    <m/>
    <m/>
    <n v="1"/>
    <s v="Home"/>
    <m/>
    <m/>
    <m/>
    <m/>
    <s v=""/>
    <s v="Huddersfield Town-"/>
    <s v=""/>
    <s v="Huddersfield Town-"/>
  </r>
  <r>
    <s v="L1_0187"/>
    <x v="26"/>
    <x v="6"/>
    <s v="AFC Wimbledon"/>
    <m/>
    <m/>
    <m/>
    <m/>
    <m/>
    <m/>
    <n v="1"/>
    <s v="Home"/>
    <m/>
    <m/>
    <m/>
    <m/>
    <s v=""/>
    <s v="Leyton Orient-"/>
    <s v=""/>
    <s v="Leyton Orient-"/>
  </r>
  <r>
    <s v="L1_0188"/>
    <x v="26"/>
    <x v="7"/>
    <s v="Milton Keynes Dons"/>
    <m/>
    <m/>
    <m/>
    <m/>
    <m/>
    <m/>
    <n v="1"/>
    <s v="Home"/>
    <m/>
    <m/>
    <m/>
    <m/>
    <s v=""/>
    <s v="Mansfield Town-"/>
    <s v=""/>
    <s v="Mansfield Town-"/>
  </r>
  <r>
    <s v="L1_0189"/>
    <x v="26"/>
    <x v="8"/>
    <s v="Stevenage"/>
    <m/>
    <m/>
    <m/>
    <m/>
    <m/>
    <m/>
    <n v="1"/>
    <s v="Home"/>
    <m/>
    <m/>
    <m/>
    <m/>
    <s v=""/>
    <s v="Notts County-"/>
    <s v=""/>
    <s v="Notts County-"/>
  </r>
  <r>
    <s v="L1_0190"/>
    <x v="26"/>
    <x v="9"/>
    <s v="Wycombe Wanderers"/>
    <m/>
    <m/>
    <m/>
    <m/>
    <m/>
    <m/>
    <n v="1"/>
    <s v="Home"/>
    <m/>
    <m/>
    <m/>
    <m/>
    <s v=""/>
    <s v="Oxford United-"/>
    <s v=""/>
    <s v="Oxford United-"/>
  </r>
  <r>
    <s v="L1_0191"/>
    <x v="26"/>
    <x v="10"/>
    <s v="Peterborough United"/>
    <m/>
    <m/>
    <m/>
    <m/>
    <m/>
    <m/>
    <n v="1"/>
    <s v="Home"/>
    <m/>
    <m/>
    <m/>
    <m/>
    <s v=""/>
    <s v="Plymouth Argyle-"/>
    <s v=""/>
    <s v="Plymouth Argyle-"/>
  </r>
  <r>
    <s v="L1_0192"/>
    <x v="26"/>
    <x v="11"/>
    <s v="Bromley"/>
    <m/>
    <m/>
    <m/>
    <m/>
    <m/>
    <m/>
    <n v="1"/>
    <s v="Home"/>
    <m/>
    <m/>
    <m/>
    <m/>
    <s v=""/>
    <s v="Reading-"/>
    <s v=""/>
    <s v="Reading-"/>
  </r>
  <r>
    <s v="L1_0193"/>
    <x v="27"/>
    <x v="15"/>
    <s v="Huddersfield Town"/>
    <m/>
    <m/>
    <m/>
    <m/>
    <m/>
    <m/>
    <n v="1"/>
    <s v="Home"/>
    <m/>
    <m/>
    <m/>
    <m/>
    <s v=""/>
    <s v="Doncaster Rovers-"/>
    <s v=""/>
    <s v="Doncaster Rovers-"/>
  </r>
  <r>
    <s v="L1_0194"/>
    <x v="28"/>
    <x v="13"/>
    <s v="Barnsley"/>
    <m/>
    <m/>
    <m/>
    <m/>
    <m/>
    <m/>
    <n v="1"/>
    <s v="Home"/>
    <m/>
    <m/>
    <m/>
    <m/>
    <s v=""/>
    <s v="AFC Wimbledon-"/>
    <s v=""/>
    <s v="AFC Wimbledon-"/>
  </r>
  <r>
    <s v="L1_0195"/>
    <x v="28"/>
    <x v="14"/>
    <s v="Burton Albion"/>
    <m/>
    <m/>
    <m/>
    <m/>
    <m/>
    <m/>
    <n v="1"/>
    <s v="Home"/>
    <m/>
    <m/>
    <m/>
    <m/>
    <s v=""/>
    <s v="Bromley-"/>
    <s v=""/>
    <s v="Bromley-"/>
  </r>
  <r>
    <s v="L1_0196"/>
    <x v="28"/>
    <x v="16"/>
    <s v="Mansfield Town"/>
    <m/>
    <m/>
    <m/>
    <m/>
    <m/>
    <m/>
    <n v="1"/>
    <s v="Home"/>
    <m/>
    <m/>
    <m/>
    <m/>
    <s v=""/>
    <s v="Leicester City-"/>
    <s v=""/>
    <s v="Leicester City-"/>
  </r>
  <r>
    <s v="L1_0197"/>
    <x v="28"/>
    <x v="17"/>
    <s v="Oxford United"/>
    <m/>
    <m/>
    <m/>
    <m/>
    <m/>
    <m/>
    <n v="1"/>
    <s v="Home"/>
    <m/>
    <m/>
    <m/>
    <m/>
    <s v=""/>
    <s v="Luton Town-"/>
    <s v=""/>
    <s v="Luton Town-"/>
  </r>
  <r>
    <s v="L1_0198"/>
    <x v="28"/>
    <x v="18"/>
    <s v="Notts County"/>
    <m/>
    <m/>
    <m/>
    <m/>
    <m/>
    <m/>
    <n v="1"/>
    <s v="Home"/>
    <m/>
    <m/>
    <m/>
    <m/>
    <s v=""/>
    <s v="Milton Keynes Dons-"/>
    <s v=""/>
    <s v="Milton Keynes Dons-"/>
  </r>
  <r>
    <s v="L1_0199"/>
    <x v="28"/>
    <x v="19"/>
    <s v="Cambridge United"/>
    <m/>
    <m/>
    <m/>
    <m/>
    <m/>
    <m/>
    <n v="1"/>
    <s v="Home"/>
    <m/>
    <m/>
    <m/>
    <m/>
    <s v=""/>
    <s v="Peterborough United-"/>
    <s v=""/>
    <s v="Peterborough United-"/>
  </r>
  <r>
    <s v="L1_0200"/>
    <x v="28"/>
    <x v="12"/>
    <s v="Reading"/>
    <m/>
    <m/>
    <m/>
    <m/>
    <m/>
    <m/>
    <n v="1"/>
    <s v="Home"/>
    <m/>
    <m/>
    <m/>
    <m/>
    <s v=""/>
    <s v="Sheffield Wednesday-"/>
    <s v=""/>
    <s v="Sheffield Wednesday-"/>
  </r>
  <r>
    <s v="L1_0201"/>
    <x v="28"/>
    <x v="20"/>
    <s v="Blackpool"/>
    <m/>
    <m/>
    <m/>
    <m/>
    <m/>
    <m/>
    <n v="1"/>
    <s v="Home"/>
    <m/>
    <m/>
    <m/>
    <m/>
    <s v=""/>
    <s v="Stevenage-"/>
    <s v=""/>
    <s v="Stevenage-"/>
  </r>
  <r>
    <s v="L1_0202"/>
    <x v="28"/>
    <x v="21"/>
    <s v="Leyton Orient"/>
    <m/>
    <m/>
    <m/>
    <m/>
    <m/>
    <m/>
    <n v="1"/>
    <s v="Home"/>
    <m/>
    <m/>
    <m/>
    <m/>
    <s v=""/>
    <s v="Stockport County-"/>
    <s v=""/>
    <s v="Stockport County-"/>
  </r>
  <r>
    <s v="L1_0203"/>
    <x v="28"/>
    <x v="22"/>
    <s v="Plymouth Argyle"/>
    <m/>
    <m/>
    <m/>
    <m/>
    <m/>
    <m/>
    <n v="1"/>
    <s v="Home"/>
    <m/>
    <m/>
    <m/>
    <m/>
    <s v=""/>
    <s v="Wigan Athletic-"/>
    <s v=""/>
    <s v="Wigan Athletic-"/>
  </r>
  <r>
    <s v="L1_0204"/>
    <x v="28"/>
    <x v="23"/>
    <s v="Bradford City"/>
    <m/>
    <m/>
    <m/>
    <m/>
    <m/>
    <m/>
    <n v="1"/>
    <s v="Home"/>
    <m/>
    <m/>
    <m/>
    <m/>
    <s v=""/>
    <s v="Wycombe Wanderers-"/>
    <s v=""/>
    <s v="Wycombe Wanderers-"/>
  </r>
  <r>
    <s v="L1_0205"/>
    <x v="29"/>
    <x v="0"/>
    <s v="Wycombe Wanderers"/>
    <m/>
    <m/>
    <m/>
    <m/>
    <m/>
    <m/>
    <n v="1"/>
    <s v="Home"/>
    <m/>
    <m/>
    <m/>
    <m/>
    <s v=""/>
    <s v="Barnsley-"/>
    <s v=""/>
    <s v="Barnsley-"/>
  </r>
  <r>
    <s v="L1_0206"/>
    <x v="29"/>
    <x v="1"/>
    <s v="Luton Town"/>
    <m/>
    <m/>
    <m/>
    <m/>
    <m/>
    <m/>
    <n v="1"/>
    <s v="Home"/>
    <m/>
    <m/>
    <m/>
    <m/>
    <s v=""/>
    <s v="Blackpool-"/>
    <s v=""/>
    <s v="Blackpool-"/>
  </r>
  <r>
    <s v="L1_0207"/>
    <x v="29"/>
    <x v="2"/>
    <s v="Milton Keynes Dons"/>
    <m/>
    <m/>
    <m/>
    <m/>
    <m/>
    <m/>
    <n v="1"/>
    <s v="Home"/>
    <m/>
    <m/>
    <m/>
    <m/>
    <s v=""/>
    <s v="Bradford City-"/>
    <s v=""/>
    <s v="Bradford City-"/>
  </r>
  <r>
    <s v="L1_0208"/>
    <x v="29"/>
    <x v="3"/>
    <s v="Wigan Athletic"/>
    <m/>
    <m/>
    <m/>
    <m/>
    <m/>
    <m/>
    <n v="1"/>
    <s v="Home"/>
    <m/>
    <m/>
    <m/>
    <m/>
    <s v=""/>
    <s v="Burton Albion-"/>
    <s v=""/>
    <s v="Burton Albion-"/>
  </r>
  <r>
    <s v="L1_0209"/>
    <x v="29"/>
    <x v="4"/>
    <s v="Leicester City"/>
    <m/>
    <m/>
    <m/>
    <m/>
    <m/>
    <m/>
    <n v="1"/>
    <s v="Home"/>
    <m/>
    <m/>
    <m/>
    <m/>
    <s v=""/>
    <s v="Cambridge United-"/>
    <s v=""/>
    <s v="Cambridge United-"/>
  </r>
  <r>
    <s v="L1_0210"/>
    <x v="29"/>
    <x v="5"/>
    <s v="Stevenage"/>
    <m/>
    <m/>
    <m/>
    <m/>
    <m/>
    <m/>
    <n v="1"/>
    <s v="Home"/>
    <m/>
    <m/>
    <m/>
    <m/>
    <s v=""/>
    <s v="Huddersfield Town-"/>
    <s v=""/>
    <s v="Huddersfield Town-"/>
  </r>
  <r>
    <s v="L1_0211"/>
    <x v="29"/>
    <x v="6"/>
    <s v="Peterborough United"/>
    <m/>
    <m/>
    <m/>
    <m/>
    <m/>
    <m/>
    <n v="1"/>
    <s v="Home"/>
    <m/>
    <m/>
    <m/>
    <m/>
    <s v=""/>
    <s v="Leyton Orient-"/>
    <s v=""/>
    <s v="Leyton Orient-"/>
  </r>
  <r>
    <s v="L1_0212"/>
    <x v="29"/>
    <x v="7"/>
    <s v="Stockport County"/>
    <m/>
    <m/>
    <m/>
    <m/>
    <m/>
    <m/>
    <n v="1"/>
    <s v="Home"/>
    <m/>
    <m/>
    <m/>
    <m/>
    <s v=""/>
    <s v="Mansfield Town-"/>
    <s v=""/>
    <s v="Mansfield Town-"/>
  </r>
  <r>
    <s v="L1_0213"/>
    <x v="29"/>
    <x v="8"/>
    <s v="AFC Wimbledon"/>
    <m/>
    <m/>
    <m/>
    <m/>
    <m/>
    <m/>
    <n v="1"/>
    <s v="Home"/>
    <m/>
    <m/>
    <m/>
    <m/>
    <s v=""/>
    <s v="Notts County-"/>
    <s v=""/>
    <s v="Notts County-"/>
  </r>
  <r>
    <s v="L1_0214"/>
    <x v="29"/>
    <x v="9"/>
    <s v="Sheffield Wednesday"/>
    <m/>
    <m/>
    <m/>
    <m/>
    <m/>
    <m/>
    <n v="1"/>
    <s v="Home"/>
    <m/>
    <m/>
    <m/>
    <m/>
    <s v=""/>
    <s v="Oxford United-"/>
    <s v=""/>
    <s v="Oxford United-"/>
  </r>
  <r>
    <s v="L1_0215"/>
    <x v="29"/>
    <x v="10"/>
    <s v="Bromley"/>
    <m/>
    <m/>
    <m/>
    <m/>
    <m/>
    <m/>
    <n v="1"/>
    <s v="Home"/>
    <m/>
    <m/>
    <m/>
    <m/>
    <s v=""/>
    <s v="Plymouth Argyle-"/>
    <s v=""/>
    <s v="Plymouth Argyle-"/>
  </r>
  <r>
    <s v="L1_0216"/>
    <x v="29"/>
    <x v="11"/>
    <s v="Doncaster Rovers"/>
    <m/>
    <m/>
    <m/>
    <m/>
    <m/>
    <m/>
    <n v="1"/>
    <s v="Home"/>
    <m/>
    <m/>
    <m/>
    <m/>
    <s v=""/>
    <s v="Reading-"/>
    <s v=""/>
    <s v="Reading-"/>
  </r>
  <r>
    <s v="L1_0217"/>
    <x v="30"/>
    <x v="16"/>
    <s v="Sheffield Wednesday"/>
    <m/>
    <m/>
    <m/>
    <m/>
    <m/>
    <m/>
    <n v="1"/>
    <s v="Home"/>
    <m/>
    <m/>
    <m/>
    <m/>
    <s v=""/>
    <s v="Leicester City-"/>
    <s v=""/>
    <s v="Leicester City-"/>
  </r>
  <r>
    <s v="L1_0218"/>
    <x v="31"/>
    <x v="2"/>
    <s v="AFC Wimbledon"/>
    <m/>
    <m/>
    <m/>
    <m/>
    <m/>
    <m/>
    <n v="1"/>
    <s v="Home"/>
    <m/>
    <m/>
    <m/>
    <m/>
    <s v=""/>
    <s v="Bradford City-"/>
    <s v=""/>
    <s v="Bradford City-"/>
  </r>
  <r>
    <s v="L1_0219"/>
    <x v="31"/>
    <x v="3"/>
    <s v="Reading"/>
    <m/>
    <m/>
    <m/>
    <m/>
    <m/>
    <m/>
    <n v="1"/>
    <s v="Home"/>
    <m/>
    <m/>
    <m/>
    <m/>
    <s v=""/>
    <s v="Burton Albion-"/>
    <s v=""/>
    <s v="Burton Albion-"/>
  </r>
  <r>
    <s v="L1_0220"/>
    <x v="31"/>
    <x v="15"/>
    <s v="Bromley"/>
    <m/>
    <m/>
    <m/>
    <m/>
    <m/>
    <m/>
    <n v="1"/>
    <s v="Home"/>
    <m/>
    <m/>
    <m/>
    <m/>
    <s v=""/>
    <s v="Doncaster Rovers-"/>
    <s v=""/>
    <s v="Doncaster Rovers-"/>
  </r>
  <r>
    <s v="L1_0221"/>
    <x v="31"/>
    <x v="5"/>
    <s v="Leyton Orient"/>
    <m/>
    <m/>
    <m/>
    <m/>
    <m/>
    <m/>
    <n v="1"/>
    <s v="Home"/>
    <m/>
    <m/>
    <m/>
    <m/>
    <s v=""/>
    <s v="Huddersfield Town-"/>
    <s v=""/>
    <s v="Huddersfield Town-"/>
  </r>
  <r>
    <s v="L1_0222"/>
    <x v="31"/>
    <x v="17"/>
    <s v="Wigan Athletic"/>
    <m/>
    <m/>
    <m/>
    <m/>
    <m/>
    <m/>
    <n v="1"/>
    <s v="Home"/>
    <m/>
    <m/>
    <m/>
    <m/>
    <s v=""/>
    <s v="Luton Town-"/>
    <s v=""/>
    <s v="Luton Town-"/>
  </r>
  <r>
    <s v="L1_0223"/>
    <x v="31"/>
    <x v="7"/>
    <s v="Wycombe Wanderers"/>
    <m/>
    <m/>
    <m/>
    <m/>
    <m/>
    <m/>
    <n v="1"/>
    <s v="Home"/>
    <m/>
    <m/>
    <m/>
    <m/>
    <s v=""/>
    <s v="Mansfield Town-"/>
    <s v=""/>
    <s v="Mansfield Town-"/>
  </r>
  <r>
    <s v="L1_0224"/>
    <x v="31"/>
    <x v="18"/>
    <s v="Cambridge United"/>
    <m/>
    <m/>
    <m/>
    <m/>
    <m/>
    <m/>
    <n v="1"/>
    <s v="Home"/>
    <m/>
    <m/>
    <m/>
    <m/>
    <s v=""/>
    <s v="Milton Keynes Dons-"/>
    <s v=""/>
    <s v="Milton Keynes Dons-"/>
  </r>
  <r>
    <s v="L1_0225"/>
    <x v="31"/>
    <x v="8"/>
    <s v="Plymouth Argyle"/>
    <m/>
    <m/>
    <m/>
    <m/>
    <m/>
    <m/>
    <n v="1"/>
    <s v="Home"/>
    <m/>
    <m/>
    <m/>
    <m/>
    <s v=""/>
    <s v="Notts County-"/>
    <s v=""/>
    <s v="Notts County-"/>
  </r>
  <r>
    <s v="L1_0226"/>
    <x v="31"/>
    <x v="9"/>
    <s v="Blackpool"/>
    <m/>
    <m/>
    <m/>
    <m/>
    <m/>
    <m/>
    <n v="1"/>
    <s v="Home"/>
    <m/>
    <m/>
    <m/>
    <m/>
    <s v=""/>
    <s v="Oxford United-"/>
    <s v=""/>
    <s v="Oxford United-"/>
  </r>
  <r>
    <s v="L1_0227"/>
    <x v="31"/>
    <x v="19"/>
    <s v="Barnsley"/>
    <m/>
    <m/>
    <m/>
    <m/>
    <m/>
    <m/>
    <n v="1"/>
    <s v="Home"/>
    <m/>
    <m/>
    <m/>
    <m/>
    <s v=""/>
    <s v="Peterborough United-"/>
    <s v=""/>
    <s v="Peterborough United-"/>
  </r>
  <r>
    <s v="L1_0228"/>
    <x v="31"/>
    <x v="20"/>
    <s v="Stockport County"/>
    <m/>
    <m/>
    <m/>
    <m/>
    <m/>
    <m/>
    <n v="1"/>
    <s v="Home"/>
    <m/>
    <m/>
    <m/>
    <m/>
    <s v=""/>
    <s v="Stevenage-"/>
    <s v=""/>
    <s v="Stevenage-"/>
  </r>
  <r>
    <s v="L1_0229"/>
    <x v="32"/>
    <x v="4"/>
    <s v="Stevenage"/>
    <m/>
    <m/>
    <m/>
    <m/>
    <m/>
    <m/>
    <n v="1"/>
    <s v="Home"/>
    <m/>
    <m/>
    <m/>
    <m/>
    <s v=""/>
    <s v="Cambridge United-"/>
    <s v=""/>
    <s v="Cambridge United-"/>
  </r>
  <r>
    <s v="L1_0230"/>
    <x v="33"/>
    <x v="13"/>
    <s v="Oxford United"/>
    <m/>
    <m/>
    <m/>
    <m/>
    <m/>
    <m/>
    <n v="1"/>
    <s v="Home"/>
    <m/>
    <m/>
    <m/>
    <m/>
    <s v=""/>
    <s v="AFC Wimbledon-"/>
    <s v=""/>
    <s v="AFC Wimbledon-"/>
  </r>
  <r>
    <s v="L1_0231"/>
    <x v="33"/>
    <x v="0"/>
    <s v="Huddersfield Town"/>
    <m/>
    <m/>
    <m/>
    <m/>
    <m/>
    <m/>
    <n v="1"/>
    <s v="Home"/>
    <m/>
    <m/>
    <m/>
    <m/>
    <s v=""/>
    <s v="Barnsley-"/>
    <s v=""/>
    <s v="Barnsley-"/>
  </r>
  <r>
    <s v="L1_0232"/>
    <x v="33"/>
    <x v="1"/>
    <s v="Burton Albion"/>
    <m/>
    <m/>
    <m/>
    <m/>
    <m/>
    <m/>
    <n v="1"/>
    <s v="Home"/>
    <m/>
    <m/>
    <m/>
    <m/>
    <s v=""/>
    <s v="Blackpool-"/>
    <s v=""/>
    <s v="Blackpool-"/>
  </r>
  <r>
    <s v="L1_0233"/>
    <x v="33"/>
    <x v="14"/>
    <s v="Bradford City"/>
    <m/>
    <m/>
    <m/>
    <m/>
    <m/>
    <m/>
    <n v="1"/>
    <s v="Home"/>
    <m/>
    <m/>
    <m/>
    <m/>
    <s v=""/>
    <s v="Bromley-"/>
    <s v=""/>
    <s v="Bromley-"/>
  </r>
  <r>
    <s v="L1_0234"/>
    <x v="33"/>
    <x v="6"/>
    <s v="Notts County"/>
    <m/>
    <m/>
    <m/>
    <m/>
    <m/>
    <m/>
    <n v="1"/>
    <s v="Home"/>
    <m/>
    <m/>
    <m/>
    <m/>
    <s v=""/>
    <s v="Leyton Orient-"/>
    <s v=""/>
    <s v="Leyton Orient-"/>
  </r>
  <r>
    <s v="L1_0235"/>
    <x v="33"/>
    <x v="10"/>
    <s v="Mansfield Town"/>
    <m/>
    <m/>
    <m/>
    <m/>
    <m/>
    <m/>
    <n v="1"/>
    <s v="Home"/>
    <m/>
    <m/>
    <m/>
    <m/>
    <s v=""/>
    <s v="Plymouth Argyle-"/>
    <s v=""/>
    <s v="Plymouth Argyle-"/>
  </r>
  <r>
    <s v="L1_0236"/>
    <x v="33"/>
    <x v="11"/>
    <s v="Leicester City"/>
    <m/>
    <m/>
    <m/>
    <m/>
    <m/>
    <m/>
    <n v="1"/>
    <s v="Home"/>
    <m/>
    <m/>
    <m/>
    <m/>
    <s v=""/>
    <s v="Reading-"/>
    <s v=""/>
    <s v="Reading-"/>
  </r>
  <r>
    <s v="L1_0237"/>
    <x v="33"/>
    <x v="12"/>
    <s v="Luton Town"/>
    <m/>
    <m/>
    <m/>
    <m/>
    <m/>
    <m/>
    <n v="1"/>
    <s v="Home"/>
    <m/>
    <m/>
    <m/>
    <m/>
    <s v=""/>
    <s v="Sheffield Wednesday-"/>
    <s v=""/>
    <s v="Sheffield Wednesday-"/>
  </r>
  <r>
    <s v="L1_0238"/>
    <x v="33"/>
    <x v="21"/>
    <s v="Milton Keynes Dons"/>
    <m/>
    <m/>
    <m/>
    <m/>
    <m/>
    <m/>
    <n v="1"/>
    <s v="Home"/>
    <m/>
    <m/>
    <m/>
    <m/>
    <s v=""/>
    <s v="Stockport County-"/>
    <s v=""/>
    <s v="Stockport County-"/>
  </r>
  <r>
    <s v="L1_0239"/>
    <x v="33"/>
    <x v="22"/>
    <s v="Peterborough United"/>
    <m/>
    <m/>
    <m/>
    <m/>
    <m/>
    <m/>
    <n v="1"/>
    <s v="Home"/>
    <m/>
    <m/>
    <m/>
    <m/>
    <s v=""/>
    <s v="Wigan Athletic-"/>
    <s v=""/>
    <s v="Wigan Athletic-"/>
  </r>
  <r>
    <s v="L1_0240"/>
    <x v="33"/>
    <x v="23"/>
    <s v="Doncaster Rovers"/>
    <m/>
    <m/>
    <m/>
    <m/>
    <m/>
    <m/>
    <n v="1"/>
    <s v="Home"/>
    <m/>
    <m/>
    <m/>
    <m/>
    <s v=""/>
    <s v="Wycombe Wanderers-"/>
    <s v=""/>
    <s v="Wycombe Wanderers-"/>
  </r>
  <r>
    <s v="L1_0241"/>
    <x v="34"/>
    <x v="2"/>
    <s v="Stockport County"/>
    <m/>
    <m/>
    <m/>
    <m/>
    <m/>
    <m/>
    <n v="1"/>
    <s v="Home"/>
    <m/>
    <m/>
    <m/>
    <m/>
    <s v=""/>
    <s v="Bradford City-"/>
    <s v=""/>
    <s v="Bradford City-"/>
  </r>
  <r>
    <s v="L1_0242"/>
    <x v="34"/>
    <x v="3"/>
    <s v="Sheffield Wednesday"/>
    <m/>
    <m/>
    <m/>
    <m/>
    <m/>
    <m/>
    <n v="1"/>
    <s v="Home"/>
    <m/>
    <m/>
    <m/>
    <m/>
    <s v=""/>
    <s v="Burton Albion-"/>
    <s v=""/>
    <s v="Burton Albion-"/>
  </r>
  <r>
    <s v="L1_0243"/>
    <x v="34"/>
    <x v="15"/>
    <s v="Wigan Athletic"/>
    <m/>
    <m/>
    <m/>
    <m/>
    <m/>
    <m/>
    <n v="1"/>
    <s v="Home"/>
    <m/>
    <m/>
    <m/>
    <m/>
    <s v=""/>
    <s v="Doncaster Rovers-"/>
    <s v=""/>
    <s v="Doncaster Rovers-"/>
  </r>
  <r>
    <s v="L1_0244"/>
    <x v="34"/>
    <x v="5"/>
    <s v="Blackpool"/>
    <m/>
    <m/>
    <m/>
    <m/>
    <m/>
    <m/>
    <n v="1"/>
    <s v="Home"/>
    <m/>
    <m/>
    <m/>
    <m/>
    <s v=""/>
    <s v="Huddersfield Town-"/>
    <s v=""/>
    <s v="Huddersfield Town-"/>
  </r>
  <r>
    <s v="L1_0245"/>
    <x v="34"/>
    <x v="16"/>
    <s v="AFC Wimbledon"/>
    <m/>
    <m/>
    <m/>
    <m/>
    <m/>
    <m/>
    <n v="1"/>
    <s v="Home"/>
    <m/>
    <m/>
    <m/>
    <m/>
    <s v=""/>
    <s v="Leicester City-"/>
    <s v=""/>
    <s v="Leicester City-"/>
  </r>
  <r>
    <s v="L1_0246"/>
    <x v="34"/>
    <x v="17"/>
    <s v="Bromley"/>
    <m/>
    <m/>
    <m/>
    <m/>
    <m/>
    <m/>
    <n v="1"/>
    <s v="Home"/>
    <m/>
    <m/>
    <m/>
    <m/>
    <s v=""/>
    <s v="Luton Town-"/>
    <s v=""/>
    <s v="Luton Town-"/>
  </r>
  <r>
    <s v="L1_0247"/>
    <x v="34"/>
    <x v="7"/>
    <s v="Barnsley"/>
    <m/>
    <m/>
    <m/>
    <m/>
    <m/>
    <m/>
    <n v="1"/>
    <s v="Home"/>
    <m/>
    <m/>
    <m/>
    <m/>
    <s v=""/>
    <s v="Mansfield Town-"/>
    <s v=""/>
    <s v="Mansfield Town-"/>
  </r>
  <r>
    <s v="L1_0248"/>
    <x v="34"/>
    <x v="18"/>
    <s v="Leyton Orient"/>
    <m/>
    <m/>
    <m/>
    <m/>
    <m/>
    <m/>
    <n v="1"/>
    <s v="Home"/>
    <m/>
    <m/>
    <m/>
    <m/>
    <s v=""/>
    <s v="Milton Keynes Dons-"/>
    <s v=""/>
    <s v="Milton Keynes Dons-"/>
  </r>
  <r>
    <s v="L1_0249"/>
    <x v="34"/>
    <x v="8"/>
    <s v="Cambridge United"/>
    <m/>
    <m/>
    <m/>
    <m/>
    <m/>
    <m/>
    <n v="1"/>
    <s v="Home"/>
    <m/>
    <m/>
    <m/>
    <m/>
    <s v=""/>
    <s v="Notts County-"/>
    <s v=""/>
    <s v="Notts County-"/>
  </r>
  <r>
    <s v="L1_0250"/>
    <x v="34"/>
    <x v="9"/>
    <s v="Plymouth Argyle"/>
    <m/>
    <m/>
    <m/>
    <m/>
    <m/>
    <m/>
    <n v="1"/>
    <s v="Home"/>
    <m/>
    <m/>
    <m/>
    <m/>
    <s v=""/>
    <s v="Oxford United-"/>
    <s v=""/>
    <s v="Oxford United-"/>
  </r>
  <r>
    <s v="L1_0251"/>
    <x v="34"/>
    <x v="19"/>
    <s v="Wycombe Wanderers"/>
    <m/>
    <m/>
    <m/>
    <m/>
    <m/>
    <m/>
    <n v="1"/>
    <s v="Home"/>
    <m/>
    <m/>
    <m/>
    <m/>
    <s v=""/>
    <s v="Peterborough United-"/>
    <s v=""/>
    <s v="Peterborough United-"/>
  </r>
  <r>
    <s v="L1_0252"/>
    <x v="34"/>
    <x v="20"/>
    <s v="Reading"/>
    <m/>
    <m/>
    <m/>
    <m/>
    <m/>
    <m/>
    <n v="1"/>
    <s v="Home"/>
    <m/>
    <m/>
    <m/>
    <m/>
    <s v=""/>
    <s v="Stevenage-"/>
    <s v=""/>
    <s v="Stevenage-"/>
  </r>
  <r>
    <s v="L1_0253"/>
    <x v="35"/>
    <x v="13"/>
    <s v="Luton Town"/>
    <m/>
    <m/>
    <m/>
    <m/>
    <m/>
    <m/>
    <n v="1"/>
    <s v="Home"/>
    <m/>
    <m/>
    <m/>
    <m/>
    <s v=""/>
    <s v="AFC Wimbledon-"/>
    <s v=""/>
    <s v="AFC Wimbledon-"/>
  </r>
  <r>
    <s v="L1_0254"/>
    <x v="35"/>
    <x v="0"/>
    <s v="Burton Albion"/>
    <m/>
    <m/>
    <m/>
    <m/>
    <m/>
    <m/>
    <n v="1"/>
    <s v="Home"/>
    <m/>
    <m/>
    <m/>
    <m/>
    <s v=""/>
    <s v="Barnsley-"/>
    <s v=""/>
    <s v="Barnsley-"/>
  </r>
  <r>
    <s v="L1_0255"/>
    <x v="35"/>
    <x v="1"/>
    <s v="Bradford City"/>
    <m/>
    <m/>
    <m/>
    <m/>
    <m/>
    <m/>
    <n v="1"/>
    <s v="Home"/>
    <m/>
    <m/>
    <m/>
    <m/>
    <s v=""/>
    <s v="Blackpool-"/>
    <s v=""/>
    <s v="Blackpool-"/>
  </r>
  <r>
    <s v="L1_0256"/>
    <x v="35"/>
    <x v="14"/>
    <s v="Oxford United"/>
    <m/>
    <m/>
    <m/>
    <m/>
    <m/>
    <m/>
    <n v="1"/>
    <s v="Home"/>
    <m/>
    <m/>
    <m/>
    <m/>
    <s v=""/>
    <s v="Bromley-"/>
    <s v=""/>
    <s v="Bromley-"/>
  </r>
  <r>
    <s v="L1_0257"/>
    <x v="35"/>
    <x v="4"/>
    <s v="Doncaster Rovers"/>
    <m/>
    <m/>
    <m/>
    <m/>
    <m/>
    <m/>
    <n v="1"/>
    <s v="Home"/>
    <m/>
    <m/>
    <m/>
    <m/>
    <s v=""/>
    <s v="Cambridge United-"/>
    <s v=""/>
    <s v="Cambridge United-"/>
  </r>
  <r>
    <s v="L1_0258"/>
    <x v="35"/>
    <x v="6"/>
    <s v="Leicester City"/>
    <m/>
    <m/>
    <m/>
    <m/>
    <m/>
    <m/>
    <n v="1"/>
    <s v="Home"/>
    <m/>
    <m/>
    <m/>
    <m/>
    <s v=""/>
    <s v="Leyton Orient-"/>
    <s v=""/>
    <s v="Leyton Orient-"/>
  </r>
  <r>
    <s v="L1_0259"/>
    <x v="35"/>
    <x v="10"/>
    <s v="Milton Keynes Dons"/>
    <m/>
    <m/>
    <m/>
    <m/>
    <m/>
    <m/>
    <n v="1"/>
    <s v="Home"/>
    <m/>
    <m/>
    <m/>
    <m/>
    <s v=""/>
    <s v="Plymouth Argyle-"/>
    <s v=""/>
    <s v="Plymouth Argyle-"/>
  </r>
  <r>
    <s v="L1_0260"/>
    <x v="35"/>
    <x v="11"/>
    <s v="Peterborough United"/>
    <m/>
    <m/>
    <m/>
    <m/>
    <m/>
    <m/>
    <n v="1"/>
    <s v="Home"/>
    <m/>
    <m/>
    <m/>
    <m/>
    <s v=""/>
    <s v="Reading-"/>
    <s v=""/>
    <s v="Reading-"/>
  </r>
  <r>
    <s v="L1_0261"/>
    <x v="35"/>
    <x v="12"/>
    <s v="Mansfield Town"/>
    <m/>
    <m/>
    <m/>
    <m/>
    <m/>
    <m/>
    <n v="1"/>
    <s v="Home"/>
    <m/>
    <m/>
    <m/>
    <m/>
    <s v=""/>
    <s v="Sheffield Wednesday-"/>
    <s v=""/>
    <s v="Sheffield Wednesday-"/>
  </r>
  <r>
    <s v="L1_0262"/>
    <x v="35"/>
    <x v="21"/>
    <s v="Huddersfield Town"/>
    <m/>
    <m/>
    <m/>
    <m/>
    <m/>
    <m/>
    <n v="1"/>
    <s v="Home"/>
    <m/>
    <m/>
    <m/>
    <m/>
    <s v=""/>
    <s v="Stockport County-"/>
    <s v=""/>
    <s v="Stockport County-"/>
  </r>
  <r>
    <s v="L1_0263"/>
    <x v="35"/>
    <x v="22"/>
    <s v="Notts County"/>
    <m/>
    <m/>
    <m/>
    <m/>
    <m/>
    <m/>
    <n v="1"/>
    <s v="Home"/>
    <m/>
    <m/>
    <m/>
    <m/>
    <s v=""/>
    <s v="Wigan Athletic-"/>
    <s v=""/>
    <s v="Wigan Athletic-"/>
  </r>
  <r>
    <s v="L1_0264"/>
    <x v="35"/>
    <x v="23"/>
    <s v="Stevenage"/>
    <m/>
    <m/>
    <m/>
    <m/>
    <m/>
    <m/>
    <n v="1"/>
    <s v="Home"/>
    <m/>
    <m/>
    <m/>
    <m/>
    <s v=""/>
    <s v="Wycombe Wanderers-"/>
    <s v=""/>
    <s v="Wycombe Wanderers-"/>
  </r>
  <r>
    <s v="L1_0265"/>
    <x v="36"/>
    <x v="13"/>
    <s v="Peterborough United"/>
    <m/>
    <m/>
    <m/>
    <m/>
    <m/>
    <m/>
    <n v="1"/>
    <s v="Home"/>
    <m/>
    <m/>
    <m/>
    <m/>
    <s v=""/>
    <s v="AFC Wimbledon-"/>
    <s v=""/>
    <s v="AFC Wimbledon-"/>
  </r>
  <r>
    <s v="L1_0266"/>
    <x v="36"/>
    <x v="0"/>
    <s v="Notts County"/>
    <m/>
    <m/>
    <m/>
    <m/>
    <m/>
    <m/>
    <n v="1"/>
    <s v="Home"/>
    <m/>
    <m/>
    <m/>
    <m/>
    <s v=""/>
    <s v="Barnsley-"/>
    <s v=""/>
    <s v="Barnsley-"/>
  </r>
  <r>
    <s v="L1_0267"/>
    <x v="36"/>
    <x v="1"/>
    <s v="Doncaster Rovers"/>
    <m/>
    <m/>
    <m/>
    <m/>
    <m/>
    <m/>
    <n v="1"/>
    <s v="Home"/>
    <m/>
    <m/>
    <m/>
    <m/>
    <s v=""/>
    <s v="Blackpool-"/>
    <s v=""/>
    <s v="Blackpool-"/>
  </r>
  <r>
    <s v="L1_0268"/>
    <x v="36"/>
    <x v="14"/>
    <s v="Stevenage"/>
    <m/>
    <m/>
    <m/>
    <m/>
    <m/>
    <m/>
    <n v="1"/>
    <s v="Home"/>
    <m/>
    <m/>
    <m/>
    <m/>
    <s v=""/>
    <s v="Bromley-"/>
    <s v=""/>
    <s v="Bromley-"/>
  </r>
  <r>
    <s v="L1_0269"/>
    <x v="36"/>
    <x v="6"/>
    <s v="Oxford United"/>
    <m/>
    <m/>
    <m/>
    <m/>
    <m/>
    <m/>
    <n v="1"/>
    <s v="Home"/>
    <m/>
    <m/>
    <m/>
    <m/>
    <s v=""/>
    <s v="Leyton Orient-"/>
    <s v=""/>
    <s v="Leyton Orient-"/>
  </r>
  <r>
    <s v="L1_0270"/>
    <x v="36"/>
    <x v="11"/>
    <s v="Milton Keynes Dons"/>
    <m/>
    <m/>
    <m/>
    <m/>
    <m/>
    <m/>
    <n v="1"/>
    <s v="Home"/>
    <m/>
    <m/>
    <m/>
    <m/>
    <s v=""/>
    <s v="Reading-"/>
    <s v=""/>
    <s v="Reading-"/>
  </r>
  <r>
    <s v="L1_0271"/>
    <x v="36"/>
    <x v="12"/>
    <s v="Huddersfield Town"/>
    <m/>
    <m/>
    <m/>
    <m/>
    <m/>
    <m/>
    <n v="1"/>
    <s v="Home"/>
    <m/>
    <m/>
    <m/>
    <m/>
    <s v=""/>
    <s v="Sheffield Wednesday-"/>
    <s v=""/>
    <s v="Sheffield Wednesday-"/>
  </r>
  <r>
    <s v="L1_0272"/>
    <x v="36"/>
    <x v="22"/>
    <s v="Bradford City"/>
    <m/>
    <m/>
    <m/>
    <m/>
    <m/>
    <m/>
    <n v="1"/>
    <s v="Home"/>
    <m/>
    <m/>
    <m/>
    <m/>
    <s v=""/>
    <s v="Wigan Athletic-"/>
    <s v=""/>
    <s v="Wigan Athletic-"/>
  </r>
  <r>
    <s v="L1_0273"/>
    <x v="36"/>
    <x v="23"/>
    <s v="Leicester City"/>
    <m/>
    <m/>
    <m/>
    <m/>
    <m/>
    <m/>
    <n v="1"/>
    <s v="Home"/>
    <m/>
    <m/>
    <m/>
    <m/>
    <s v=""/>
    <s v="Wycombe Wanderers-"/>
    <s v=""/>
    <s v="Wycombe Wanderers-"/>
  </r>
  <r>
    <s v="L1_0274"/>
    <x v="37"/>
    <x v="4"/>
    <s v="Mansfield Town"/>
    <m/>
    <m/>
    <m/>
    <m/>
    <m/>
    <m/>
    <n v="1"/>
    <s v="Home"/>
    <m/>
    <m/>
    <m/>
    <m/>
    <s v=""/>
    <s v="Cambridge United-"/>
    <s v=""/>
    <s v="Cambridge United-"/>
  </r>
  <r>
    <s v="L1_0275"/>
    <x v="37"/>
    <x v="10"/>
    <s v="Luton Town"/>
    <m/>
    <m/>
    <m/>
    <m/>
    <m/>
    <m/>
    <n v="1"/>
    <s v="Home"/>
    <m/>
    <m/>
    <m/>
    <m/>
    <s v=""/>
    <s v="Plymouth Argyle-"/>
    <s v=""/>
    <s v="Plymouth Argyle-"/>
  </r>
  <r>
    <s v="L1_0276"/>
    <x v="37"/>
    <x v="21"/>
    <s v="Burton Albion"/>
    <m/>
    <m/>
    <m/>
    <m/>
    <m/>
    <m/>
    <n v="1"/>
    <s v="Home"/>
    <m/>
    <m/>
    <m/>
    <m/>
    <s v=""/>
    <s v="Stockport County-"/>
    <s v=""/>
    <s v="Stockport County-"/>
  </r>
  <r>
    <s v="L1_0277"/>
    <x v="38"/>
    <x v="3"/>
    <s v="Blackpool"/>
    <m/>
    <m/>
    <m/>
    <m/>
    <m/>
    <m/>
    <n v="1"/>
    <s v="Home"/>
    <m/>
    <m/>
    <m/>
    <m/>
    <s v=""/>
    <s v="Burton Albion-"/>
    <s v=""/>
    <s v="Burton Albion-"/>
  </r>
  <r>
    <s v="L1_0278"/>
    <x v="39"/>
    <x v="2"/>
    <s v="Bromley"/>
    <m/>
    <m/>
    <m/>
    <m/>
    <m/>
    <m/>
    <n v="1"/>
    <s v="Home"/>
    <m/>
    <m/>
    <m/>
    <m/>
    <s v=""/>
    <s v="Bradford City-"/>
    <s v=""/>
    <s v="Bradford City-"/>
  </r>
  <r>
    <s v="L1_0279"/>
    <x v="39"/>
    <x v="15"/>
    <s v="Wycombe Wanderers"/>
    <m/>
    <m/>
    <m/>
    <m/>
    <m/>
    <m/>
    <n v="1"/>
    <s v="Home"/>
    <m/>
    <m/>
    <m/>
    <m/>
    <s v=""/>
    <s v="Doncaster Rovers-"/>
    <s v=""/>
    <s v="Doncaster Rovers-"/>
  </r>
  <r>
    <s v="L1_0280"/>
    <x v="39"/>
    <x v="5"/>
    <s v="Barnsley"/>
    <m/>
    <m/>
    <m/>
    <m/>
    <m/>
    <m/>
    <n v="1"/>
    <s v="Home"/>
    <m/>
    <m/>
    <m/>
    <m/>
    <s v=""/>
    <s v="Huddersfield Town-"/>
    <s v=""/>
    <s v="Huddersfield Town-"/>
  </r>
  <r>
    <s v="L1_0281"/>
    <x v="39"/>
    <x v="16"/>
    <s v="Reading"/>
    <m/>
    <m/>
    <m/>
    <m/>
    <m/>
    <m/>
    <n v="1"/>
    <s v="Home"/>
    <m/>
    <m/>
    <m/>
    <m/>
    <s v=""/>
    <s v="Leicester City-"/>
    <s v=""/>
    <s v="Leicester City-"/>
  </r>
  <r>
    <s v="L1_0282"/>
    <x v="39"/>
    <x v="17"/>
    <s v="Sheffield Wednesday"/>
    <m/>
    <m/>
    <m/>
    <m/>
    <m/>
    <m/>
    <n v="1"/>
    <s v="Home"/>
    <m/>
    <m/>
    <m/>
    <m/>
    <s v=""/>
    <s v="Luton Town-"/>
    <s v=""/>
    <s v="Luton Town-"/>
  </r>
  <r>
    <s v="L1_0283"/>
    <x v="39"/>
    <x v="7"/>
    <s v="Plymouth Argyle"/>
    <m/>
    <m/>
    <m/>
    <m/>
    <m/>
    <m/>
    <n v="1"/>
    <s v="Home"/>
    <m/>
    <m/>
    <m/>
    <m/>
    <s v=""/>
    <s v="Mansfield Town-"/>
    <s v=""/>
    <s v="Mansfield Town-"/>
  </r>
  <r>
    <s v="L1_0284"/>
    <x v="39"/>
    <x v="18"/>
    <s v="Stockport County"/>
    <m/>
    <m/>
    <m/>
    <m/>
    <m/>
    <m/>
    <n v="1"/>
    <s v="Home"/>
    <m/>
    <m/>
    <m/>
    <m/>
    <s v=""/>
    <s v="Milton Keynes Dons-"/>
    <s v=""/>
    <s v="Milton Keynes Dons-"/>
  </r>
  <r>
    <s v="L1_0285"/>
    <x v="39"/>
    <x v="8"/>
    <s v="Leyton Orient"/>
    <m/>
    <m/>
    <m/>
    <m/>
    <m/>
    <m/>
    <n v="1"/>
    <s v="Home"/>
    <m/>
    <m/>
    <m/>
    <m/>
    <s v=""/>
    <s v="Notts County-"/>
    <s v=""/>
    <s v="Notts County-"/>
  </r>
  <r>
    <s v="L1_0286"/>
    <x v="39"/>
    <x v="9"/>
    <s v="AFC Wimbledon"/>
    <m/>
    <m/>
    <m/>
    <m/>
    <m/>
    <m/>
    <n v="1"/>
    <s v="Home"/>
    <m/>
    <m/>
    <m/>
    <m/>
    <s v=""/>
    <s v="Oxford United-"/>
    <s v=""/>
    <s v="Oxford United-"/>
  </r>
  <r>
    <s v="L1_0287"/>
    <x v="39"/>
    <x v="19"/>
    <s v="Wigan Athletic"/>
    <m/>
    <m/>
    <m/>
    <m/>
    <m/>
    <m/>
    <n v="1"/>
    <s v="Home"/>
    <m/>
    <m/>
    <m/>
    <m/>
    <s v=""/>
    <s v="Peterborough United-"/>
    <s v=""/>
    <s v="Peterborough United-"/>
  </r>
  <r>
    <s v="L1_0288"/>
    <x v="39"/>
    <x v="20"/>
    <s v="Cambridge United"/>
    <m/>
    <m/>
    <m/>
    <m/>
    <m/>
    <m/>
    <n v="1"/>
    <s v="Home"/>
    <m/>
    <m/>
    <m/>
    <m/>
    <s v=""/>
    <s v="Stevenage-"/>
    <s v=""/>
    <s v="Stevenage-"/>
  </r>
  <r>
    <s v="L1_0289"/>
    <x v="40"/>
    <x v="13"/>
    <s v="Sheffield Wednesday"/>
    <m/>
    <m/>
    <m/>
    <m/>
    <m/>
    <m/>
    <n v="1"/>
    <s v="Home"/>
    <m/>
    <m/>
    <m/>
    <m/>
    <s v=""/>
    <s v="AFC Wimbledon-"/>
    <s v=""/>
    <s v="AFC Wimbledon-"/>
  </r>
  <r>
    <s v="L1_0290"/>
    <x v="40"/>
    <x v="1"/>
    <s v="Leyton Orient"/>
    <m/>
    <m/>
    <m/>
    <m/>
    <m/>
    <m/>
    <n v="1"/>
    <s v="Home"/>
    <m/>
    <m/>
    <m/>
    <m/>
    <s v=""/>
    <s v="Blackpool-"/>
    <s v=""/>
    <s v="Blackpool-"/>
  </r>
  <r>
    <s v="L1_0291"/>
    <x v="40"/>
    <x v="14"/>
    <s v="Stockport County"/>
    <m/>
    <m/>
    <m/>
    <m/>
    <m/>
    <m/>
    <n v="1"/>
    <s v="Home"/>
    <m/>
    <m/>
    <m/>
    <m/>
    <s v=""/>
    <s v="Bromley-"/>
    <s v=""/>
    <s v="Bromley-"/>
  </r>
  <r>
    <s v="L1_0292"/>
    <x v="40"/>
    <x v="3"/>
    <s v="Peterborough United"/>
    <m/>
    <m/>
    <m/>
    <m/>
    <m/>
    <m/>
    <n v="1"/>
    <s v="Home"/>
    <m/>
    <m/>
    <m/>
    <m/>
    <s v=""/>
    <s v="Burton Albion-"/>
    <s v=""/>
    <s v="Burton Albion-"/>
  </r>
  <r>
    <s v="L1_0293"/>
    <x v="40"/>
    <x v="4"/>
    <s v="Barnsley"/>
    <m/>
    <m/>
    <m/>
    <m/>
    <m/>
    <m/>
    <n v="1"/>
    <s v="Home"/>
    <m/>
    <m/>
    <m/>
    <m/>
    <s v=""/>
    <s v="Cambridge United-"/>
    <s v=""/>
    <s v="Cambridge United-"/>
  </r>
  <r>
    <s v="L1_0294"/>
    <x v="40"/>
    <x v="15"/>
    <s v="Leicester City"/>
    <m/>
    <m/>
    <m/>
    <m/>
    <m/>
    <m/>
    <n v="1"/>
    <s v="Home"/>
    <m/>
    <m/>
    <m/>
    <m/>
    <s v=""/>
    <s v="Doncaster Rovers-"/>
    <s v=""/>
    <s v="Doncaster Rovers-"/>
  </r>
  <r>
    <s v="L1_0295"/>
    <x v="40"/>
    <x v="5"/>
    <s v="Plymouth Argyle"/>
    <m/>
    <m/>
    <m/>
    <m/>
    <m/>
    <m/>
    <n v="1"/>
    <s v="Home"/>
    <m/>
    <m/>
    <m/>
    <m/>
    <s v=""/>
    <s v="Huddersfield Town-"/>
    <s v=""/>
    <s v="Huddersfield Town-"/>
  </r>
  <r>
    <s v="L1_0296"/>
    <x v="40"/>
    <x v="17"/>
    <s v="Milton Keynes Dons"/>
    <m/>
    <m/>
    <m/>
    <m/>
    <m/>
    <m/>
    <n v="1"/>
    <s v="Home"/>
    <m/>
    <m/>
    <m/>
    <m/>
    <s v=""/>
    <s v="Luton Town-"/>
    <s v=""/>
    <s v="Luton Town-"/>
  </r>
  <r>
    <s v="L1_0297"/>
    <x v="40"/>
    <x v="8"/>
    <s v="Wycombe Wanderers"/>
    <m/>
    <m/>
    <m/>
    <m/>
    <m/>
    <m/>
    <n v="1"/>
    <s v="Home"/>
    <m/>
    <m/>
    <m/>
    <m/>
    <s v=""/>
    <s v="Notts County-"/>
    <s v=""/>
    <s v="Notts County-"/>
  </r>
  <r>
    <s v="L1_0298"/>
    <x v="40"/>
    <x v="9"/>
    <s v="Mansfield Town"/>
    <m/>
    <m/>
    <m/>
    <m/>
    <m/>
    <m/>
    <n v="1"/>
    <s v="Home"/>
    <m/>
    <m/>
    <m/>
    <m/>
    <s v=""/>
    <s v="Oxford United-"/>
    <s v=""/>
    <s v="Oxford United-"/>
  </r>
  <r>
    <s v="L1_0299"/>
    <x v="40"/>
    <x v="11"/>
    <s v="Wigan Athletic"/>
    <m/>
    <m/>
    <m/>
    <m/>
    <m/>
    <m/>
    <n v="1"/>
    <s v="Home"/>
    <m/>
    <m/>
    <m/>
    <m/>
    <s v=""/>
    <s v="Reading-"/>
    <s v=""/>
    <s v="Reading-"/>
  </r>
  <r>
    <s v="L1_0300"/>
    <x v="40"/>
    <x v="20"/>
    <s v="Bradford City"/>
    <m/>
    <m/>
    <m/>
    <m/>
    <m/>
    <m/>
    <n v="1"/>
    <s v="Home"/>
    <m/>
    <m/>
    <m/>
    <m/>
    <s v=""/>
    <s v="Stevenage-"/>
    <s v=""/>
    <s v="Stevenage-"/>
  </r>
  <r>
    <s v="L1_0301"/>
    <x v="41"/>
    <x v="0"/>
    <s v="Luton Town"/>
    <m/>
    <m/>
    <m/>
    <m/>
    <m/>
    <m/>
    <n v="1"/>
    <s v="Home"/>
    <m/>
    <m/>
    <m/>
    <m/>
    <s v=""/>
    <s v="Barnsley-"/>
    <s v=""/>
    <s v="Barnsley-"/>
  </r>
  <r>
    <s v="L1_0302"/>
    <x v="41"/>
    <x v="2"/>
    <s v="Burton Albion"/>
    <m/>
    <m/>
    <m/>
    <m/>
    <m/>
    <m/>
    <n v="1"/>
    <s v="Home"/>
    <m/>
    <m/>
    <m/>
    <m/>
    <s v=""/>
    <s v="Bradford City-"/>
    <s v=""/>
    <s v="Bradford City-"/>
  </r>
  <r>
    <s v="L1_0303"/>
    <x v="41"/>
    <x v="16"/>
    <s v="Bromley"/>
    <m/>
    <m/>
    <m/>
    <m/>
    <m/>
    <m/>
    <n v="1"/>
    <s v="Home"/>
    <m/>
    <m/>
    <m/>
    <m/>
    <s v=""/>
    <s v="Leicester City-"/>
    <s v=""/>
    <s v="Leicester City-"/>
  </r>
  <r>
    <s v="L1_0304"/>
    <x v="41"/>
    <x v="6"/>
    <s v="Reading"/>
    <m/>
    <m/>
    <m/>
    <m/>
    <m/>
    <m/>
    <n v="1"/>
    <s v="Home"/>
    <m/>
    <m/>
    <m/>
    <m/>
    <s v=""/>
    <s v="Leyton Orient-"/>
    <s v=""/>
    <s v="Leyton Orient-"/>
  </r>
  <r>
    <s v="L1_0305"/>
    <x v="41"/>
    <x v="7"/>
    <s v="AFC Wimbledon"/>
    <m/>
    <m/>
    <m/>
    <m/>
    <m/>
    <m/>
    <n v="1"/>
    <s v="Home"/>
    <m/>
    <m/>
    <m/>
    <m/>
    <s v=""/>
    <s v="Mansfield Town-"/>
    <s v=""/>
    <s v="Mansfield Town-"/>
  </r>
  <r>
    <s v="L1_0306"/>
    <x v="41"/>
    <x v="18"/>
    <s v="Blackpool"/>
    <m/>
    <m/>
    <m/>
    <m/>
    <m/>
    <m/>
    <n v="1"/>
    <s v="Home"/>
    <m/>
    <m/>
    <m/>
    <m/>
    <s v=""/>
    <s v="Milton Keynes Dons-"/>
    <s v=""/>
    <s v="Milton Keynes Dons-"/>
  </r>
  <r>
    <s v="L1_0307"/>
    <x v="41"/>
    <x v="19"/>
    <s v="Huddersfield Town"/>
    <m/>
    <m/>
    <m/>
    <m/>
    <m/>
    <m/>
    <n v="1"/>
    <s v="Home"/>
    <m/>
    <m/>
    <m/>
    <m/>
    <s v=""/>
    <s v="Peterborough United-"/>
    <s v=""/>
    <s v="Peterborough United-"/>
  </r>
  <r>
    <s v="L1_0308"/>
    <x v="41"/>
    <x v="10"/>
    <s v="Stevenage"/>
    <m/>
    <m/>
    <m/>
    <m/>
    <m/>
    <m/>
    <n v="1"/>
    <s v="Home"/>
    <m/>
    <m/>
    <m/>
    <m/>
    <s v=""/>
    <s v="Plymouth Argyle-"/>
    <s v=""/>
    <s v="Plymouth Argyle-"/>
  </r>
  <r>
    <s v="L1_0309"/>
    <x v="41"/>
    <x v="12"/>
    <s v="Notts County"/>
    <m/>
    <m/>
    <m/>
    <m/>
    <m/>
    <m/>
    <n v="1"/>
    <s v="Home"/>
    <m/>
    <m/>
    <m/>
    <m/>
    <s v=""/>
    <s v="Sheffield Wednesday-"/>
    <s v=""/>
    <s v="Sheffield Wednesday-"/>
  </r>
  <r>
    <s v="L1_0310"/>
    <x v="41"/>
    <x v="21"/>
    <s v="Doncaster Rovers"/>
    <m/>
    <m/>
    <m/>
    <m/>
    <m/>
    <m/>
    <n v="1"/>
    <s v="Home"/>
    <m/>
    <m/>
    <m/>
    <m/>
    <s v=""/>
    <s v="Stockport County-"/>
    <s v=""/>
    <s v="Stockport County-"/>
  </r>
  <r>
    <s v="L1_0311"/>
    <x v="41"/>
    <x v="22"/>
    <s v="Oxford United"/>
    <m/>
    <m/>
    <m/>
    <m/>
    <m/>
    <m/>
    <n v="1"/>
    <s v="Home"/>
    <m/>
    <m/>
    <m/>
    <m/>
    <s v=""/>
    <s v="Wigan Athletic-"/>
    <s v=""/>
    <s v="Wigan Athletic-"/>
  </r>
  <r>
    <s v="L1_0312"/>
    <x v="41"/>
    <x v="23"/>
    <s v="Cambridge United"/>
    <m/>
    <m/>
    <m/>
    <m/>
    <m/>
    <m/>
    <n v="1"/>
    <s v="Home"/>
    <m/>
    <m/>
    <m/>
    <m/>
    <s v=""/>
    <s v="Wycombe Wanderers-"/>
    <s v=""/>
    <s v="Wycombe Wanderers-"/>
  </r>
  <r>
    <s v="L1_0313"/>
    <x v="42"/>
    <x v="0"/>
    <s v="Reading"/>
    <m/>
    <m/>
    <m/>
    <m/>
    <m/>
    <m/>
    <n v="1"/>
    <s v="Home"/>
    <m/>
    <m/>
    <m/>
    <m/>
    <s v=""/>
    <s v="Barnsley-"/>
    <s v=""/>
    <s v="Barnsley-"/>
  </r>
  <r>
    <s v="L1_0314"/>
    <x v="42"/>
    <x v="2"/>
    <s v="Oxford United"/>
    <m/>
    <m/>
    <m/>
    <m/>
    <m/>
    <m/>
    <n v="1"/>
    <s v="Home"/>
    <m/>
    <m/>
    <m/>
    <m/>
    <s v=""/>
    <s v="Bradford City-"/>
    <s v=""/>
    <s v="Bradford City-"/>
  </r>
  <r>
    <s v="L1_0315"/>
    <x v="42"/>
    <x v="16"/>
    <s v="Luton Town"/>
    <m/>
    <m/>
    <m/>
    <m/>
    <m/>
    <m/>
    <n v="1"/>
    <s v="Home"/>
    <m/>
    <m/>
    <m/>
    <m/>
    <s v=""/>
    <s v="Leicester City-"/>
    <s v=""/>
    <s v="Leicester City-"/>
  </r>
  <r>
    <s v="L1_0316"/>
    <x v="42"/>
    <x v="6"/>
    <s v="Burton Albion"/>
    <m/>
    <m/>
    <m/>
    <m/>
    <m/>
    <m/>
    <n v="1"/>
    <s v="Home"/>
    <m/>
    <m/>
    <m/>
    <m/>
    <s v=""/>
    <s v="Leyton Orient-"/>
    <s v=""/>
    <s v="Leyton Orient-"/>
  </r>
  <r>
    <s v="L1_0317"/>
    <x v="42"/>
    <x v="7"/>
    <s v="Blackpool"/>
    <m/>
    <m/>
    <m/>
    <m/>
    <m/>
    <m/>
    <n v="1"/>
    <s v="Home"/>
    <m/>
    <m/>
    <m/>
    <m/>
    <s v=""/>
    <s v="Mansfield Town-"/>
    <s v=""/>
    <s v="Mansfield Town-"/>
  </r>
  <r>
    <s v="L1_0318"/>
    <x v="42"/>
    <x v="18"/>
    <s v="Stevenage"/>
    <m/>
    <m/>
    <m/>
    <m/>
    <m/>
    <m/>
    <n v="1"/>
    <s v="Home"/>
    <m/>
    <m/>
    <m/>
    <m/>
    <s v=""/>
    <s v="Milton Keynes Dons-"/>
    <s v=""/>
    <s v="Milton Keynes Dons-"/>
  </r>
  <r>
    <s v="L1_0319"/>
    <x v="42"/>
    <x v="19"/>
    <s v="Bromley"/>
    <m/>
    <m/>
    <m/>
    <m/>
    <m/>
    <m/>
    <n v="1"/>
    <s v="Home"/>
    <m/>
    <m/>
    <m/>
    <m/>
    <s v=""/>
    <s v="Peterborough United-"/>
    <s v=""/>
    <s v="Peterborough United-"/>
  </r>
  <r>
    <s v="L1_0320"/>
    <x v="42"/>
    <x v="10"/>
    <s v="Cambridge United"/>
    <m/>
    <m/>
    <m/>
    <m/>
    <m/>
    <m/>
    <n v="1"/>
    <s v="Home"/>
    <m/>
    <m/>
    <m/>
    <m/>
    <s v=""/>
    <s v="Plymouth Argyle-"/>
    <s v=""/>
    <s v="Plymouth Argyle-"/>
  </r>
  <r>
    <s v="L1_0321"/>
    <x v="42"/>
    <x v="12"/>
    <s v="Doncaster Rovers"/>
    <m/>
    <m/>
    <m/>
    <m/>
    <m/>
    <m/>
    <n v="1"/>
    <s v="Home"/>
    <m/>
    <m/>
    <m/>
    <m/>
    <s v=""/>
    <s v="Sheffield Wednesday-"/>
    <s v=""/>
    <s v="Sheffield Wednesday-"/>
  </r>
  <r>
    <s v="L1_0322"/>
    <x v="42"/>
    <x v="21"/>
    <s v="Notts County"/>
    <m/>
    <m/>
    <m/>
    <m/>
    <m/>
    <m/>
    <n v="1"/>
    <s v="Home"/>
    <m/>
    <m/>
    <m/>
    <m/>
    <s v=""/>
    <s v="Stockport County-"/>
    <s v=""/>
    <s v="Stockport County-"/>
  </r>
  <r>
    <s v="L1_0323"/>
    <x v="42"/>
    <x v="22"/>
    <s v="Huddersfield Town"/>
    <m/>
    <m/>
    <m/>
    <m/>
    <m/>
    <m/>
    <n v="1"/>
    <s v="Home"/>
    <m/>
    <m/>
    <m/>
    <m/>
    <s v=""/>
    <s v="Wigan Athletic-"/>
    <s v=""/>
    <s v="Wigan Athletic-"/>
  </r>
  <r>
    <s v="L1_0324"/>
    <x v="42"/>
    <x v="23"/>
    <s v="AFC Wimbledon"/>
    <m/>
    <m/>
    <m/>
    <m/>
    <m/>
    <m/>
    <n v="1"/>
    <s v="Home"/>
    <m/>
    <m/>
    <m/>
    <m/>
    <s v=""/>
    <s v="Wycombe Wanderers-"/>
    <s v=""/>
    <s v="Wycombe Wanderers-"/>
  </r>
  <r>
    <s v="L1_0325"/>
    <x v="43"/>
    <x v="13"/>
    <s v="Stockport County"/>
    <m/>
    <m/>
    <m/>
    <m/>
    <m/>
    <m/>
    <n v="1"/>
    <s v="Home"/>
    <m/>
    <m/>
    <m/>
    <m/>
    <s v=""/>
    <s v="AFC Wimbledon-"/>
    <s v=""/>
    <s v="AFC Wimbledon-"/>
  </r>
  <r>
    <s v="L1_0326"/>
    <x v="43"/>
    <x v="1"/>
    <s v="Sheffield Wednesday"/>
    <m/>
    <m/>
    <m/>
    <m/>
    <m/>
    <m/>
    <n v="1"/>
    <s v="Home"/>
    <m/>
    <m/>
    <m/>
    <m/>
    <s v=""/>
    <s v="Blackpool-"/>
    <s v=""/>
    <s v="Blackpool-"/>
  </r>
  <r>
    <s v="L1_0327"/>
    <x v="43"/>
    <x v="14"/>
    <s v="Wigan Athletic"/>
    <m/>
    <m/>
    <m/>
    <m/>
    <m/>
    <m/>
    <n v="1"/>
    <s v="Home"/>
    <m/>
    <m/>
    <m/>
    <m/>
    <s v=""/>
    <s v="Bromley-"/>
    <s v=""/>
    <s v="Bromley-"/>
  </r>
  <r>
    <s v="L1_0328"/>
    <x v="43"/>
    <x v="3"/>
    <s v="Wycombe Wanderers"/>
    <m/>
    <m/>
    <m/>
    <m/>
    <m/>
    <m/>
    <n v="1"/>
    <s v="Home"/>
    <m/>
    <m/>
    <m/>
    <m/>
    <s v=""/>
    <s v="Burton Albion-"/>
    <s v=""/>
    <s v="Burton Albion-"/>
  </r>
  <r>
    <s v="L1_0329"/>
    <x v="43"/>
    <x v="4"/>
    <s v="Leyton Orient"/>
    <m/>
    <m/>
    <m/>
    <m/>
    <m/>
    <m/>
    <n v="1"/>
    <s v="Home"/>
    <m/>
    <m/>
    <m/>
    <m/>
    <s v=""/>
    <s v="Cambridge United-"/>
    <s v=""/>
    <s v="Cambridge United-"/>
  </r>
  <r>
    <s v="L1_0330"/>
    <x v="43"/>
    <x v="15"/>
    <s v="Milton Keynes Dons"/>
    <m/>
    <m/>
    <m/>
    <m/>
    <m/>
    <m/>
    <n v="1"/>
    <s v="Home"/>
    <m/>
    <m/>
    <m/>
    <m/>
    <s v=""/>
    <s v="Doncaster Rovers-"/>
    <s v=""/>
    <s v="Doncaster Rovers-"/>
  </r>
  <r>
    <s v="L1_0331"/>
    <x v="43"/>
    <x v="5"/>
    <s v="Bradford City"/>
    <m/>
    <m/>
    <m/>
    <m/>
    <m/>
    <m/>
    <n v="1"/>
    <s v="Home"/>
    <m/>
    <m/>
    <m/>
    <m/>
    <s v=""/>
    <s v="Huddersfield Town-"/>
    <s v=""/>
    <s v="Huddersfield Town-"/>
  </r>
  <r>
    <s v="L1_0332"/>
    <x v="43"/>
    <x v="17"/>
    <s v="Peterborough United"/>
    <m/>
    <m/>
    <m/>
    <m/>
    <m/>
    <m/>
    <n v="1"/>
    <s v="Home"/>
    <m/>
    <m/>
    <m/>
    <m/>
    <s v=""/>
    <s v="Luton Town-"/>
    <s v=""/>
    <s v="Luton Town-"/>
  </r>
  <r>
    <s v="L1_0333"/>
    <x v="43"/>
    <x v="8"/>
    <s v="Mansfield Town"/>
    <m/>
    <m/>
    <m/>
    <m/>
    <m/>
    <m/>
    <n v="1"/>
    <s v="Home"/>
    <m/>
    <m/>
    <m/>
    <m/>
    <s v=""/>
    <s v="Notts County-"/>
    <s v=""/>
    <s v="Notts County-"/>
  </r>
  <r>
    <s v="L1_0334"/>
    <x v="43"/>
    <x v="9"/>
    <s v="Barnsley"/>
    <m/>
    <m/>
    <m/>
    <m/>
    <m/>
    <m/>
    <n v="1"/>
    <s v="Home"/>
    <m/>
    <m/>
    <m/>
    <m/>
    <s v=""/>
    <s v="Oxford United-"/>
    <s v=""/>
    <s v="Oxford United-"/>
  </r>
  <r>
    <s v="L1_0335"/>
    <x v="43"/>
    <x v="11"/>
    <s v="Plymouth Argyle"/>
    <m/>
    <m/>
    <m/>
    <m/>
    <m/>
    <m/>
    <n v="1"/>
    <s v="Home"/>
    <m/>
    <m/>
    <m/>
    <m/>
    <s v=""/>
    <s v="Reading-"/>
    <s v=""/>
    <s v="Reading-"/>
  </r>
  <r>
    <s v="L1_0336"/>
    <x v="43"/>
    <x v="20"/>
    <s v="Leicester City"/>
    <m/>
    <m/>
    <m/>
    <m/>
    <m/>
    <m/>
    <n v="1"/>
    <s v="Home"/>
    <m/>
    <m/>
    <m/>
    <m/>
    <s v=""/>
    <s v="Stevenage-"/>
    <s v=""/>
    <s v="Stevenage-"/>
  </r>
  <r>
    <s v="L1_0337"/>
    <x v="44"/>
    <x v="0"/>
    <s v="Leyton Orient"/>
    <m/>
    <m/>
    <m/>
    <m/>
    <m/>
    <m/>
    <n v="1"/>
    <s v="Home"/>
    <m/>
    <m/>
    <m/>
    <m/>
    <s v=""/>
    <s v="Barnsley-"/>
    <s v=""/>
    <s v="Barnsley-"/>
  </r>
  <r>
    <s v="L1_0338"/>
    <x v="44"/>
    <x v="2"/>
    <s v="Plymouth Argyle"/>
    <m/>
    <m/>
    <m/>
    <m/>
    <m/>
    <m/>
    <n v="1"/>
    <s v="Home"/>
    <m/>
    <m/>
    <m/>
    <m/>
    <s v=""/>
    <s v="Bradford City-"/>
    <s v=""/>
    <s v="Bradford City-"/>
  </r>
  <r>
    <s v="L1_0339"/>
    <x v="44"/>
    <x v="14"/>
    <s v="Sheffield Wednesday"/>
    <m/>
    <m/>
    <m/>
    <m/>
    <m/>
    <m/>
    <n v="1"/>
    <s v="Home"/>
    <m/>
    <m/>
    <m/>
    <m/>
    <s v=""/>
    <s v="Bromley-"/>
    <s v=""/>
    <s v="Bromley-"/>
  </r>
  <r>
    <s v="L1_0340"/>
    <x v="44"/>
    <x v="3"/>
    <s v="Notts County"/>
    <m/>
    <m/>
    <m/>
    <m/>
    <m/>
    <m/>
    <n v="1"/>
    <s v="Home"/>
    <m/>
    <m/>
    <m/>
    <m/>
    <s v=""/>
    <s v="Burton Albion-"/>
    <s v=""/>
    <s v="Burton Albion-"/>
  </r>
  <r>
    <s v="L1_0341"/>
    <x v="44"/>
    <x v="15"/>
    <s v="Stevenage"/>
    <m/>
    <m/>
    <m/>
    <m/>
    <m/>
    <m/>
    <n v="1"/>
    <s v="Home"/>
    <m/>
    <m/>
    <m/>
    <m/>
    <s v=""/>
    <s v="Doncaster Rovers-"/>
    <s v=""/>
    <s v="Doncaster Rovers-"/>
  </r>
  <r>
    <s v="L1_0342"/>
    <x v="44"/>
    <x v="5"/>
    <s v="Cambridge United"/>
    <m/>
    <m/>
    <m/>
    <m/>
    <m/>
    <m/>
    <n v="1"/>
    <s v="Home"/>
    <m/>
    <m/>
    <m/>
    <m/>
    <s v=""/>
    <s v="Huddersfield Town-"/>
    <s v=""/>
    <s v="Huddersfield Town-"/>
  </r>
  <r>
    <s v="L1_0343"/>
    <x v="44"/>
    <x v="16"/>
    <s v="Milton Keynes Dons"/>
    <m/>
    <m/>
    <m/>
    <m/>
    <m/>
    <m/>
    <n v="1"/>
    <s v="Home"/>
    <m/>
    <m/>
    <m/>
    <m/>
    <s v=""/>
    <s v="Leicester City-"/>
    <s v=""/>
    <s v="Leicester City-"/>
  </r>
  <r>
    <s v="L1_0344"/>
    <x v="44"/>
    <x v="17"/>
    <s v="Mansfield Town"/>
    <m/>
    <m/>
    <m/>
    <m/>
    <m/>
    <m/>
    <n v="1"/>
    <s v="Home"/>
    <m/>
    <m/>
    <m/>
    <m/>
    <s v=""/>
    <s v="Luton Town-"/>
    <s v=""/>
    <s v="Luton Town-"/>
  </r>
  <r>
    <s v="L1_0345"/>
    <x v="44"/>
    <x v="19"/>
    <s v="Blackpool"/>
    <m/>
    <m/>
    <m/>
    <m/>
    <m/>
    <m/>
    <n v="1"/>
    <s v="Home"/>
    <m/>
    <m/>
    <m/>
    <m/>
    <s v=""/>
    <s v="Peterborough United-"/>
    <s v=""/>
    <s v="Peterborough United-"/>
  </r>
  <r>
    <s v="L1_0346"/>
    <x v="44"/>
    <x v="11"/>
    <s v="Oxford United"/>
    <m/>
    <m/>
    <m/>
    <m/>
    <m/>
    <m/>
    <n v="1"/>
    <s v="Home"/>
    <m/>
    <m/>
    <m/>
    <m/>
    <s v=""/>
    <s v="Reading-"/>
    <s v=""/>
    <s v="Reading-"/>
  </r>
  <r>
    <s v="L1_0347"/>
    <x v="44"/>
    <x v="22"/>
    <s v="AFC Wimbledon"/>
    <m/>
    <m/>
    <m/>
    <m/>
    <m/>
    <m/>
    <n v="1"/>
    <s v="Home"/>
    <m/>
    <m/>
    <m/>
    <m/>
    <s v=""/>
    <s v="Wigan Athletic-"/>
    <s v=""/>
    <s v="Wigan Athletic-"/>
  </r>
  <r>
    <s v="L1_0348"/>
    <x v="44"/>
    <x v="23"/>
    <s v="Stockport County"/>
    <m/>
    <m/>
    <m/>
    <m/>
    <m/>
    <m/>
    <n v="1"/>
    <s v="Home"/>
    <m/>
    <m/>
    <m/>
    <m/>
    <s v=""/>
    <s v="Wycombe Wanderers-"/>
    <s v=""/>
    <s v="Wycombe Wanderers-"/>
  </r>
  <r>
    <s v="L1_0349"/>
    <x v="45"/>
    <x v="13"/>
    <s v="Burton Albion"/>
    <m/>
    <m/>
    <m/>
    <m/>
    <m/>
    <m/>
    <n v="1"/>
    <s v="Home"/>
    <m/>
    <m/>
    <m/>
    <m/>
    <s v=""/>
    <s v="AFC Wimbledon-"/>
    <s v=""/>
    <s v="AFC Wimbledon-"/>
  </r>
  <r>
    <s v="L1_0350"/>
    <x v="45"/>
    <x v="1"/>
    <s v="Barnsley"/>
    <m/>
    <m/>
    <m/>
    <m/>
    <m/>
    <m/>
    <n v="1"/>
    <s v="Home"/>
    <m/>
    <m/>
    <m/>
    <m/>
    <s v=""/>
    <s v="Blackpool-"/>
    <s v=""/>
    <s v="Blackpool-"/>
  </r>
  <r>
    <s v="L1_0351"/>
    <x v="45"/>
    <x v="4"/>
    <s v="Bradford City"/>
    <m/>
    <m/>
    <m/>
    <m/>
    <m/>
    <m/>
    <n v="1"/>
    <s v="Home"/>
    <m/>
    <m/>
    <m/>
    <m/>
    <s v=""/>
    <s v="Cambridge United-"/>
    <s v=""/>
    <s v="Cambridge United-"/>
  </r>
  <r>
    <s v="L1_0352"/>
    <x v="45"/>
    <x v="6"/>
    <s v="Bromley"/>
    <m/>
    <m/>
    <m/>
    <m/>
    <m/>
    <m/>
    <n v="1"/>
    <s v="Home"/>
    <m/>
    <m/>
    <m/>
    <m/>
    <s v=""/>
    <s v="Leyton Orient-"/>
    <s v=""/>
    <s v="Leyton Orient-"/>
  </r>
  <r>
    <s v="L1_0353"/>
    <x v="45"/>
    <x v="7"/>
    <s v="Reading"/>
    <m/>
    <m/>
    <m/>
    <m/>
    <m/>
    <m/>
    <n v="1"/>
    <s v="Home"/>
    <m/>
    <m/>
    <m/>
    <m/>
    <s v=""/>
    <s v="Mansfield Town-"/>
    <s v=""/>
    <s v="Mansfield Town-"/>
  </r>
  <r>
    <s v="L1_0354"/>
    <x v="45"/>
    <x v="18"/>
    <s v="Wigan Athletic"/>
    <m/>
    <m/>
    <m/>
    <m/>
    <m/>
    <m/>
    <n v="1"/>
    <s v="Home"/>
    <m/>
    <m/>
    <m/>
    <m/>
    <s v=""/>
    <s v="Milton Keynes Dons-"/>
    <s v=""/>
    <s v="Milton Keynes Dons-"/>
  </r>
  <r>
    <s v="L1_0355"/>
    <x v="45"/>
    <x v="8"/>
    <s v="Doncaster Rovers"/>
    <m/>
    <m/>
    <m/>
    <m/>
    <m/>
    <m/>
    <n v="1"/>
    <s v="Home"/>
    <m/>
    <m/>
    <m/>
    <m/>
    <s v=""/>
    <s v="Notts County-"/>
    <s v=""/>
    <s v="Notts County-"/>
  </r>
  <r>
    <s v="L1_0356"/>
    <x v="45"/>
    <x v="9"/>
    <s v="Huddersfield Town"/>
    <m/>
    <m/>
    <m/>
    <m/>
    <m/>
    <m/>
    <n v="1"/>
    <s v="Home"/>
    <m/>
    <m/>
    <m/>
    <m/>
    <s v=""/>
    <s v="Oxford United-"/>
    <s v=""/>
    <s v="Oxford United-"/>
  </r>
  <r>
    <s v="L1_0357"/>
    <x v="45"/>
    <x v="10"/>
    <s v="Leicester City"/>
    <m/>
    <m/>
    <m/>
    <m/>
    <m/>
    <m/>
    <n v="1"/>
    <s v="Home"/>
    <m/>
    <m/>
    <m/>
    <m/>
    <s v=""/>
    <s v="Plymouth Argyle-"/>
    <s v=""/>
    <s v="Plymouth Argyle-"/>
  </r>
  <r>
    <s v="L1_0358"/>
    <x v="45"/>
    <x v="12"/>
    <s v="Wycombe Wanderers"/>
    <m/>
    <m/>
    <m/>
    <m/>
    <m/>
    <m/>
    <n v="1"/>
    <s v="Home"/>
    <m/>
    <m/>
    <m/>
    <m/>
    <s v=""/>
    <s v="Sheffield Wednesday-"/>
    <s v=""/>
    <s v="Sheffield Wednesday-"/>
  </r>
  <r>
    <s v="L1_0359"/>
    <x v="45"/>
    <x v="20"/>
    <s v="Peterborough United"/>
    <m/>
    <m/>
    <m/>
    <m/>
    <m/>
    <m/>
    <n v="1"/>
    <s v="Home"/>
    <m/>
    <m/>
    <m/>
    <m/>
    <s v=""/>
    <s v="Stevenage-"/>
    <s v=""/>
    <s v="Stevenage-"/>
  </r>
  <r>
    <s v="L1_0360"/>
    <x v="45"/>
    <x v="21"/>
    <s v="Luton Town"/>
    <m/>
    <m/>
    <m/>
    <m/>
    <m/>
    <m/>
    <n v="1"/>
    <s v="Home"/>
    <m/>
    <m/>
    <m/>
    <m/>
    <s v=""/>
    <s v="Stockport County-"/>
    <s v=""/>
    <s v="Stockport County-"/>
  </r>
  <r>
    <s v="L1_0361"/>
    <x v="46"/>
    <x v="13"/>
    <s v="Bromley"/>
    <m/>
    <m/>
    <m/>
    <m/>
    <m/>
    <m/>
    <n v="1"/>
    <s v="Home"/>
    <m/>
    <m/>
    <m/>
    <m/>
    <s v=""/>
    <s v="AFC Wimbledon-"/>
    <s v=""/>
    <s v="AFC Wimbledon-"/>
  </r>
  <r>
    <s v="L1_0362"/>
    <x v="46"/>
    <x v="1"/>
    <s v="Reading"/>
    <m/>
    <m/>
    <m/>
    <m/>
    <m/>
    <m/>
    <n v="1"/>
    <s v="Home"/>
    <m/>
    <m/>
    <m/>
    <m/>
    <s v=""/>
    <s v="Blackpool-"/>
    <s v=""/>
    <s v="Blackpool-"/>
  </r>
  <r>
    <s v="L1_0363"/>
    <x v="46"/>
    <x v="4"/>
    <s v="Burton Albion"/>
    <m/>
    <m/>
    <m/>
    <m/>
    <m/>
    <m/>
    <n v="1"/>
    <s v="Home"/>
    <m/>
    <m/>
    <m/>
    <m/>
    <s v=""/>
    <s v="Cambridge United-"/>
    <s v=""/>
    <s v="Cambridge United-"/>
  </r>
  <r>
    <s v="L1_0364"/>
    <x v="46"/>
    <x v="6"/>
    <s v="Luton Town"/>
    <m/>
    <m/>
    <m/>
    <m/>
    <m/>
    <m/>
    <n v="1"/>
    <s v="Home"/>
    <m/>
    <m/>
    <m/>
    <m/>
    <s v=""/>
    <s v="Leyton Orient-"/>
    <s v=""/>
    <s v="Leyton Orient-"/>
  </r>
  <r>
    <s v="L1_0365"/>
    <x v="46"/>
    <x v="7"/>
    <s v="Bradford City"/>
    <m/>
    <m/>
    <m/>
    <m/>
    <m/>
    <m/>
    <n v="1"/>
    <s v="Home"/>
    <m/>
    <m/>
    <m/>
    <m/>
    <s v=""/>
    <s v="Mansfield Town-"/>
    <s v=""/>
    <s v="Mansfield Town-"/>
  </r>
  <r>
    <s v="L1_0366"/>
    <x v="46"/>
    <x v="18"/>
    <s v="Wycombe Wanderers"/>
    <m/>
    <m/>
    <m/>
    <m/>
    <m/>
    <m/>
    <n v="1"/>
    <s v="Home"/>
    <m/>
    <m/>
    <m/>
    <m/>
    <s v=""/>
    <s v="Milton Keynes Dons-"/>
    <s v=""/>
    <s v="Milton Keynes Dons-"/>
  </r>
  <r>
    <s v="L1_0367"/>
    <x v="46"/>
    <x v="8"/>
    <s v="Huddersfield Town"/>
    <m/>
    <m/>
    <m/>
    <m/>
    <m/>
    <m/>
    <n v="1"/>
    <s v="Home"/>
    <m/>
    <m/>
    <m/>
    <m/>
    <s v=""/>
    <s v="Notts County-"/>
    <s v=""/>
    <s v="Notts County-"/>
  </r>
  <r>
    <s v="L1_0368"/>
    <x v="46"/>
    <x v="9"/>
    <s v="Leicester City"/>
    <m/>
    <m/>
    <m/>
    <m/>
    <m/>
    <m/>
    <n v="1"/>
    <s v="Home"/>
    <m/>
    <m/>
    <m/>
    <m/>
    <s v=""/>
    <s v="Oxford United-"/>
    <s v=""/>
    <s v="Oxford United-"/>
  </r>
  <r>
    <s v="L1_0369"/>
    <x v="46"/>
    <x v="10"/>
    <s v="Doncaster Rovers"/>
    <m/>
    <m/>
    <m/>
    <m/>
    <m/>
    <m/>
    <n v="1"/>
    <s v="Home"/>
    <m/>
    <m/>
    <m/>
    <m/>
    <s v=""/>
    <s v="Plymouth Argyle-"/>
    <s v=""/>
    <s v="Plymouth Argyle-"/>
  </r>
  <r>
    <s v="L1_0370"/>
    <x v="46"/>
    <x v="12"/>
    <s v="Peterborough United"/>
    <m/>
    <m/>
    <m/>
    <m/>
    <m/>
    <m/>
    <n v="1"/>
    <s v="Home"/>
    <m/>
    <m/>
    <m/>
    <m/>
    <s v=""/>
    <s v="Sheffield Wednesday-"/>
    <s v=""/>
    <s v="Sheffield Wednesday-"/>
  </r>
  <r>
    <s v="L1_0371"/>
    <x v="46"/>
    <x v="20"/>
    <s v="Barnsley"/>
    <m/>
    <m/>
    <m/>
    <m/>
    <m/>
    <m/>
    <n v="1"/>
    <s v="Home"/>
    <m/>
    <m/>
    <m/>
    <m/>
    <s v=""/>
    <s v="Stevenage-"/>
    <s v=""/>
    <s v="Stevenage-"/>
  </r>
  <r>
    <s v="L1_0372"/>
    <x v="46"/>
    <x v="21"/>
    <s v="Wigan Athletic"/>
    <m/>
    <m/>
    <m/>
    <m/>
    <m/>
    <m/>
    <n v="1"/>
    <s v="Home"/>
    <m/>
    <m/>
    <m/>
    <m/>
    <s v=""/>
    <s v="Stockport County-"/>
    <s v=""/>
    <s v="Stockport County-"/>
  </r>
  <r>
    <s v="L1_0373"/>
    <x v="47"/>
    <x v="0"/>
    <s v="Plymouth Argyle"/>
    <m/>
    <m/>
    <m/>
    <m/>
    <m/>
    <m/>
    <n v="1"/>
    <s v="Home"/>
    <m/>
    <m/>
    <m/>
    <m/>
    <s v=""/>
    <s v="Barnsley-"/>
    <s v=""/>
    <s v="Barnsley-"/>
  </r>
  <r>
    <s v="L1_0374"/>
    <x v="47"/>
    <x v="2"/>
    <s v="Notts County"/>
    <m/>
    <m/>
    <m/>
    <m/>
    <m/>
    <m/>
    <n v="1"/>
    <s v="Home"/>
    <m/>
    <m/>
    <m/>
    <m/>
    <s v=""/>
    <s v="Bradford City-"/>
    <s v=""/>
    <s v="Bradford City-"/>
  </r>
  <r>
    <s v="L1_0375"/>
    <x v="47"/>
    <x v="14"/>
    <s v="Blackpool"/>
    <m/>
    <m/>
    <m/>
    <m/>
    <m/>
    <m/>
    <n v="1"/>
    <s v="Home"/>
    <m/>
    <m/>
    <m/>
    <m/>
    <s v=""/>
    <s v="Bromley-"/>
    <s v=""/>
    <s v="Bromley-"/>
  </r>
  <r>
    <s v="L1_0376"/>
    <x v="47"/>
    <x v="3"/>
    <s v="Oxford United"/>
    <m/>
    <m/>
    <m/>
    <m/>
    <m/>
    <m/>
    <n v="1"/>
    <s v="Home"/>
    <m/>
    <m/>
    <m/>
    <m/>
    <s v=""/>
    <s v="Burton Albion-"/>
    <s v=""/>
    <s v="Burton Albion-"/>
  </r>
  <r>
    <s v="L1_0377"/>
    <x v="47"/>
    <x v="15"/>
    <s v="AFC Wimbledon"/>
    <m/>
    <m/>
    <m/>
    <m/>
    <m/>
    <m/>
    <n v="1"/>
    <s v="Home"/>
    <m/>
    <m/>
    <m/>
    <m/>
    <s v=""/>
    <s v="Doncaster Rovers-"/>
    <s v=""/>
    <s v="Doncaster Rovers-"/>
  </r>
  <r>
    <s v="L1_0378"/>
    <x v="47"/>
    <x v="5"/>
    <s v="Mansfield Town"/>
    <m/>
    <m/>
    <m/>
    <m/>
    <m/>
    <m/>
    <n v="1"/>
    <s v="Home"/>
    <m/>
    <m/>
    <m/>
    <m/>
    <s v=""/>
    <s v="Huddersfield Town-"/>
    <s v=""/>
    <s v="Huddersfield Town-"/>
  </r>
  <r>
    <s v="L1_0379"/>
    <x v="47"/>
    <x v="16"/>
    <s v="Stockport County"/>
    <m/>
    <m/>
    <m/>
    <m/>
    <m/>
    <m/>
    <n v="1"/>
    <s v="Home"/>
    <m/>
    <m/>
    <m/>
    <m/>
    <s v=""/>
    <s v="Leicester City-"/>
    <s v=""/>
    <s v="Leicester City-"/>
  </r>
  <r>
    <s v="L1_0380"/>
    <x v="47"/>
    <x v="17"/>
    <s v="Stevenage"/>
    <m/>
    <m/>
    <m/>
    <m/>
    <m/>
    <m/>
    <n v="1"/>
    <s v="Home"/>
    <m/>
    <m/>
    <m/>
    <m/>
    <s v=""/>
    <s v="Luton Town-"/>
    <s v=""/>
    <s v="Luton Town-"/>
  </r>
  <r>
    <s v="L1_0381"/>
    <x v="47"/>
    <x v="19"/>
    <s v="Milton Keynes Dons"/>
    <m/>
    <m/>
    <m/>
    <m/>
    <m/>
    <m/>
    <n v="1"/>
    <s v="Home"/>
    <m/>
    <m/>
    <m/>
    <m/>
    <s v=""/>
    <s v="Peterborough United-"/>
    <s v=""/>
    <s v="Peterborough United-"/>
  </r>
  <r>
    <s v="L1_0382"/>
    <x v="47"/>
    <x v="11"/>
    <s v="Cambridge United"/>
    <m/>
    <m/>
    <m/>
    <m/>
    <m/>
    <m/>
    <n v="1"/>
    <s v="Home"/>
    <m/>
    <m/>
    <m/>
    <m/>
    <s v=""/>
    <s v="Reading-"/>
    <s v=""/>
    <s v="Reading-"/>
  </r>
  <r>
    <s v="L1_0383"/>
    <x v="47"/>
    <x v="22"/>
    <s v="Sheffield Wednesday"/>
    <m/>
    <m/>
    <m/>
    <m/>
    <m/>
    <m/>
    <n v="1"/>
    <s v="Home"/>
    <m/>
    <m/>
    <m/>
    <m/>
    <s v=""/>
    <s v="Wigan Athletic-"/>
    <s v=""/>
    <s v="Wigan Athletic-"/>
  </r>
  <r>
    <s v="L1_0384"/>
    <x v="47"/>
    <x v="23"/>
    <s v="Leyton Orient"/>
    <m/>
    <m/>
    <m/>
    <m/>
    <m/>
    <m/>
    <n v="1"/>
    <s v="Home"/>
    <m/>
    <m/>
    <m/>
    <m/>
    <s v=""/>
    <s v="Wycombe Wanderers-"/>
    <s v=""/>
    <s v="Wycombe Wanderers-"/>
  </r>
  <r>
    <s v="L1_0385"/>
    <x v="48"/>
    <x v="0"/>
    <s v="Wigan Athletic"/>
    <m/>
    <m/>
    <m/>
    <m/>
    <m/>
    <m/>
    <n v="1"/>
    <s v="Home"/>
    <m/>
    <m/>
    <m/>
    <m/>
    <s v=""/>
    <s v="Barnsley-"/>
    <s v=""/>
    <s v="Barnsley-"/>
  </r>
  <r>
    <s v="L1_0386"/>
    <x v="48"/>
    <x v="1"/>
    <s v="AFC Wimbledon"/>
    <m/>
    <m/>
    <m/>
    <m/>
    <m/>
    <m/>
    <n v="1"/>
    <s v="Home"/>
    <m/>
    <m/>
    <m/>
    <m/>
    <s v=""/>
    <s v="Blackpool-"/>
    <s v=""/>
    <s v="Blackpool-"/>
  </r>
  <r>
    <s v="L1_0387"/>
    <x v="48"/>
    <x v="2"/>
    <s v="Leicester City"/>
    <m/>
    <m/>
    <m/>
    <m/>
    <m/>
    <m/>
    <n v="1"/>
    <s v="Home"/>
    <m/>
    <m/>
    <m/>
    <m/>
    <s v=""/>
    <s v="Bradford City-"/>
    <s v=""/>
    <s v="Bradford City-"/>
  </r>
  <r>
    <s v="L1_0388"/>
    <x v="48"/>
    <x v="3"/>
    <s v="Milton Keynes Dons"/>
    <m/>
    <m/>
    <m/>
    <m/>
    <m/>
    <m/>
    <n v="1"/>
    <s v="Home"/>
    <m/>
    <m/>
    <m/>
    <m/>
    <s v=""/>
    <s v="Burton Albion-"/>
    <s v=""/>
    <s v="Burton Albion-"/>
  </r>
  <r>
    <s v="L1_0389"/>
    <x v="48"/>
    <x v="4"/>
    <s v="Peterborough United"/>
    <m/>
    <m/>
    <m/>
    <m/>
    <m/>
    <m/>
    <n v="1"/>
    <s v="Home"/>
    <m/>
    <m/>
    <m/>
    <m/>
    <s v=""/>
    <s v="Cambridge United-"/>
    <s v=""/>
    <s v="Cambridge United-"/>
  </r>
  <r>
    <s v="L1_0390"/>
    <x v="48"/>
    <x v="5"/>
    <s v="Wycombe Wanderers"/>
    <m/>
    <m/>
    <m/>
    <m/>
    <m/>
    <m/>
    <n v="1"/>
    <s v="Home"/>
    <m/>
    <m/>
    <m/>
    <m/>
    <s v=""/>
    <s v="Huddersfield Town-"/>
    <s v=""/>
    <s v="Huddersfield Town-"/>
  </r>
  <r>
    <s v="L1_0391"/>
    <x v="48"/>
    <x v="6"/>
    <s v="Doncaster Rovers"/>
    <m/>
    <m/>
    <m/>
    <m/>
    <m/>
    <m/>
    <n v="1"/>
    <s v="Home"/>
    <m/>
    <m/>
    <m/>
    <m/>
    <s v=""/>
    <s v="Leyton Orient-"/>
    <s v=""/>
    <s v="Leyton Orient-"/>
  </r>
  <r>
    <s v="L1_0392"/>
    <x v="48"/>
    <x v="7"/>
    <s v="Stevenage"/>
    <m/>
    <m/>
    <m/>
    <m/>
    <m/>
    <m/>
    <n v="1"/>
    <s v="Home"/>
    <m/>
    <m/>
    <m/>
    <m/>
    <s v=""/>
    <s v="Mansfield Town-"/>
    <s v=""/>
    <s v="Mansfield Town-"/>
  </r>
  <r>
    <s v="L1_0393"/>
    <x v="48"/>
    <x v="8"/>
    <s v="Bromley"/>
    <m/>
    <m/>
    <m/>
    <m/>
    <m/>
    <m/>
    <n v="1"/>
    <s v="Home"/>
    <m/>
    <m/>
    <m/>
    <m/>
    <s v=""/>
    <s v="Notts County-"/>
    <s v=""/>
    <s v="Notts County-"/>
  </r>
  <r>
    <s v="L1_0394"/>
    <x v="48"/>
    <x v="9"/>
    <s v="Luton Town"/>
    <m/>
    <m/>
    <m/>
    <m/>
    <m/>
    <m/>
    <n v="1"/>
    <s v="Home"/>
    <m/>
    <m/>
    <m/>
    <m/>
    <s v=""/>
    <s v="Oxford United-"/>
    <s v=""/>
    <s v="Oxford United-"/>
  </r>
  <r>
    <s v="L1_0395"/>
    <x v="48"/>
    <x v="10"/>
    <s v="Sheffield Wednesday"/>
    <m/>
    <m/>
    <m/>
    <m/>
    <m/>
    <m/>
    <n v="1"/>
    <s v="Home"/>
    <m/>
    <m/>
    <m/>
    <m/>
    <s v=""/>
    <s v="Plymouth Argyle-"/>
    <s v=""/>
    <s v="Plymouth Argyle-"/>
  </r>
  <r>
    <s v="L1_0396"/>
    <x v="48"/>
    <x v="11"/>
    <s v="Stockport County"/>
    <m/>
    <m/>
    <m/>
    <m/>
    <m/>
    <m/>
    <n v="1"/>
    <s v="Home"/>
    <m/>
    <m/>
    <m/>
    <m/>
    <s v=""/>
    <s v="Reading-"/>
    <s v=""/>
    <s v="Reading-"/>
  </r>
  <r>
    <s v="L1_0397"/>
    <x v="49"/>
    <x v="13"/>
    <s v="Huddersfield Town"/>
    <m/>
    <m/>
    <m/>
    <m/>
    <m/>
    <m/>
    <n v="1"/>
    <s v="Home"/>
    <m/>
    <m/>
    <m/>
    <m/>
    <s v=""/>
    <s v="AFC Wimbledon-"/>
    <s v=""/>
    <s v="AFC Wimbledon-"/>
  </r>
  <r>
    <s v="L1_0398"/>
    <x v="49"/>
    <x v="14"/>
    <s v="Barnsley"/>
    <m/>
    <m/>
    <m/>
    <m/>
    <m/>
    <m/>
    <n v="1"/>
    <s v="Home"/>
    <m/>
    <m/>
    <m/>
    <m/>
    <s v=""/>
    <s v="Bromley-"/>
    <s v=""/>
    <s v="Bromley-"/>
  </r>
  <r>
    <s v="L1_0399"/>
    <x v="49"/>
    <x v="15"/>
    <s v="Mansfield Town"/>
    <m/>
    <m/>
    <m/>
    <m/>
    <m/>
    <m/>
    <n v="1"/>
    <s v="Home"/>
    <m/>
    <m/>
    <m/>
    <m/>
    <s v=""/>
    <s v="Doncaster Rovers-"/>
    <s v=""/>
    <s v="Doncaster Rovers-"/>
  </r>
  <r>
    <s v="L1_0400"/>
    <x v="49"/>
    <x v="16"/>
    <s v="Notts County"/>
    <m/>
    <m/>
    <m/>
    <m/>
    <m/>
    <m/>
    <n v="1"/>
    <s v="Home"/>
    <m/>
    <m/>
    <m/>
    <m/>
    <s v=""/>
    <s v="Leicester City-"/>
    <s v=""/>
    <s v="Leicester City-"/>
  </r>
  <r>
    <s v="L1_0401"/>
    <x v="49"/>
    <x v="17"/>
    <s v="Reading"/>
    <m/>
    <m/>
    <m/>
    <m/>
    <m/>
    <m/>
    <n v="1"/>
    <s v="Home"/>
    <m/>
    <m/>
    <m/>
    <m/>
    <s v=""/>
    <s v="Luton Town-"/>
    <s v=""/>
    <s v="Luton Town-"/>
  </r>
  <r>
    <s v="L1_0402"/>
    <x v="49"/>
    <x v="18"/>
    <s v="Oxford United"/>
    <m/>
    <m/>
    <m/>
    <m/>
    <m/>
    <m/>
    <n v="1"/>
    <s v="Home"/>
    <m/>
    <m/>
    <m/>
    <m/>
    <s v=""/>
    <s v="Milton Keynes Dons-"/>
    <s v=""/>
    <s v="Milton Keynes Dons-"/>
  </r>
  <r>
    <s v="L1_0403"/>
    <x v="49"/>
    <x v="19"/>
    <s v="Bradford City"/>
    <m/>
    <m/>
    <m/>
    <m/>
    <m/>
    <m/>
    <n v="1"/>
    <s v="Home"/>
    <m/>
    <m/>
    <m/>
    <m/>
    <s v=""/>
    <s v="Peterborough United-"/>
    <s v=""/>
    <s v="Peterborough United-"/>
  </r>
  <r>
    <s v="L1_0404"/>
    <x v="49"/>
    <x v="12"/>
    <s v="Leyton Orient"/>
    <m/>
    <m/>
    <m/>
    <m/>
    <m/>
    <m/>
    <n v="1"/>
    <s v="Home"/>
    <m/>
    <m/>
    <m/>
    <m/>
    <s v=""/>
    <s v="Sheffield Wednesday-"/>
    <s v=""/>
    <s v="Sheffield Wednesday-"/>
  </r>
  <r>
    <s v="L1_0405"/>
    <x v="49"/>
    <x v="20"/>
    <s v="Burton Albion"/>
    <m/>
    <m/>
    <m/>
    <m/>
    <m/>
    <m/>
    <n v="1"/>
    <s v="Home"/>
    <m/>
    <m/>
    <m/>
    <m/>
    <s v=""/>
    <s v="Stevenage-"/>
    <s v=""/>
    <s v="Stevenage-"/>
  </r>
  <r>
    <s v="L1_0406"/>
    <x v="49"/>
    <x v="21"/>
    <s v="Plymouth Argyle"/>
    <m/>
    <m/>
    <m/>
    <m/>
    <m/>
    <m/>
    <n v="1"/>
    <s v="Home"/>
    <m/>
    <m/>
    <m/>
    <m/>
    <s v=""/>
    <s v="Stockport County-"/>
    <s v=""/>
    <s v="Stockport County-"/>
  </r>
  <r>
    <s v="L1_0407"/>
    <x v="49"/>
    <x v="22"/>
    <s v="Cambridge United"/>
    <m/>
    <m/>
    <m/>
    <m/>
    <m/>
    <m/>
    <n v="1"/>
    <s v="Home"/>
    <m/>
    <m/>
    <m/>
    <m/>
    <s v=""/>
    <s v="Wigan Athletic-"/>
    <s v=""/>
    <s v="Wigan Athletic-"/>
  </r>
  <r>
    <s v="L1_0408"/>
    <x v="49"/>
    <x v="23"/>
    <s v="Blackpool"/>
    <m/>
    <m/>
    <m/>
    <m/>
    <m/>
    <m/>
    <n v="1"/>
    <s v="Home"/>
    <m/>
    <m/>
    <m/>
    <m/>
    <s v=""/>
    <s v="Wycombe Wanderers-"/>
    <s v=""/>
    <s v="Wycombe Wanderers-"/>
  </r>
  <r>
    <s v="L1_0409"/>
    <x v="50"/>
    <x v="0"/>
    <s v="Doncaster Rovers"/>
    <m/>
    <m/>
    <m/>
    <m/>
    <m/>
    <m/>
    <n v="1"/>
    <s v="Home"/>
    <m/>
    <m/>
    <m/>
    <m/>
    <s v=""/>
    <s v="Barnsley-"/>
    <s v=""/>
    <s v="Barnsley-"/>
  </r>
  <r>
    <s v="L1_0410"/>
    <x v="50"/>
    <x v="1"/>
    <s v="Stockport County"/>
    <m/>
    <m/>
    <m/>
    <m/>
    <m/>
    <m/>
    <n v="1"/>
    <s v="Home"/>
    <m/>
    <m/>
    <m/>
    <m/>
    <s v=""/>
    <s v="Blackpool-"/>
    <s v=""/>
    <s v="Blackpool-"/>
  </r>
  <r>
    <s v="L1_0411"/>
    <x v="50"/>
    <x v="2"/>
    <s v="Sheffield Wednesday"/>
    <m/>
    <m/>
    <m/>
    <m/>
    <m/>
    <m/>
    <n v="1"/>
    <s v="Home"/>
    <m/>
    <m/>
    <m/>
    <m/>
    <s v=""/>
    <s v="Bradford City-"/>
    <s v=""/>
    <s v="Bradford City-"/>
  </r>
  <r>
    <s v="L1_0412"/>
    <x v="50"/>
    <x v="3"/>
    <s v="Leicester City"/>
    <m/>
    <m/>
    <m/>
    <m/>
    <m/>
    <m/>
    <n v="1"/>
    <s v="Home"/>
    <m/>
    <m/>
    <m/>
    <m/>
    <s v=""/>
    <s v="Burton Albion-"/>
    <s v=""/>
    <s v="Burton Albion-"/>
  </r>
  <r>
    <s v="L1_0413"/>
    <x v="50"/>
    <x v="4"/>
    <s v="Bromley"/>
    <m/>
    <m/>
    <m/>
    <m/>
    <m/>
    <m/>
    <n v="1"/>
    <s v="Home"/>
    <m/>
    <m/>
    <m/>
    <m/>
    <s v=""/>
    <s v="Cambridge United-"/>
    <s v=""/>
    <s v="Cambridge United-"/>
  </r>
  <r>
    <s v="L1_0414"/>
    <x v="50"/>
    <x v="5"/>
    <s v="Milton Keynes Dons"/>
    <m/>
    <m/>
    <m/>
    <m/>
    <m/>
    <m/>
    <n v="1"/>
    <s v="Home"/>
    <m/>
    <m/>
    <m/>
    <m/>
    <s v=""/>
    <s v="Huddersfield Town-"/>
    <s v=""/>
    <s v="Huddersfield Town-"/>
  </r>
  <r>
    <s v="L1_0415"/>
    <x v="50"/>
    <x v="6"/>
    <s v="Wigan Athletic"/>
    <m/>
    <m/>
    <m/>
    <m/>
    <m/>
    <m/>
    <n v="1"/>
    <s v="Home"/>
    <m/>
    <m/>
    <m/>
    <m/>
    <s v=""/>
    <s v="Leyton Orient-"/>
    <s v=""/>
    <s v="Leyton Orient-"/>
  </r>
  <r>
    <s v="L1_0416"/>
    <x v="50"/>
    <x v="7"/>
    <s v="Peterborough United"/>
    <m/>
    <m/>
    <m/>
    <m/>
    <m/>
    <m/>
    <n v="1"/>
    <s v="Home"/>
    <m/>
    <m/>
    <m/>
    <m/>
    <s v=""/>
    <s v="Mansfield Town-"/>
    <s v=""/>
    <s v="Mansfield Town-"/>
  </r>
  <r>
    <s v="L1_0417"/>
    <x v="50"/>
    <x v="8"/>
    <s v="Luton Town"/>
    <m/>
    <m/>
    <m/>
    <m/>
    <m/>
    <m/>
    <n v="1"/>
    <s v="Home"/>
    <m/>
    <m/>
    <m/>
    <m/>
    <s v=""/>
    <s v="Notts County-"/>
    <s v=""/>
    <s v="Notts County-"/>
  </r>
  <r>
    <s v="L1_0418"/>
    <x v="50"/>
    <x v="9"/>
    <s v="Stevenage"/>
    <m/>
    <m/>
    <m/>
    <m/>
    <m/>
    <m/>
    <n v="1"/>
    <s v="Home"/>
    <m/>
    <m/>
    <m/>
    <m/>
    <s v=""/>
    <s v="Oxford United-"/>
    <s v=""/>
    <s v="Oxford United-"/>
  </r>
  <r>
    <s v="L1_0419"/>
    <x v="50"/>
    <x v="10"/>
    <s v="Wycombe Wanderers"/>
    <m/>
    <m/>
    <m/>
    <m/>
    <m/>
    <m/>
    <n v="1"/>
    <s v="Home"/>
    <m/>
    <m/>
    <m/>
    <m/>
    <s v=""/>
    <s v="Plymouth Argyle-"/>
    <s v=""/>
    <s v="Plymouth Argyle-"/>
  </r>
  <r>
    <s v="L1_0420"/>
    <x v="50"/>
    <x v="11"/>
    <s v="AFC Wimbledon"/>
    <m/>
    <m/>
    <m/>
    <m/>
    <m/>
    <m/>
    <n v="1"/>
    <s v="Home"/>
    <m/>
    <m/>
    <m/>
    <m/>
    <s v=""/>
    <s v="Reading-"/>
    <s v=""/>
    <s v="Reading-"/>
  </r>
  <r>
    <s v="L1_0421"/>
    <x v="51"/>
    <x v="13"/>
    <s v="Leyton Orient"/>
    <m/>
    <m/>
    <m/>
    <m/>
    <m/>
    <m/>
    <n v="1"/>
    <s v="Home"/>
    <m/>
    <m/>
    <m/>
    <m/>
    <s v=""/>
    <s v="AFC Wimbledon-"/>
    <s v=""/>
    <s v="AFC Wimbledon-"/>
  </r>
  <r>
    <s v="L1_0422"/>
    <x v="51"/>
    <x v="14"/>
    <s v="Reading"/>
    <m/>
    <m/>
    <m/>
    <m/>
    <m/>
    <m/>
    <n v="1"/>
    <s v="Home"/>
    <m/>
    <m/>
    <m/>
    <m/>
    <s v=""/>
    <s v="Bromley-"/>
    <s v=""/>
    <s v="Bromley-"/>
  </r>
  <r>
    <s v="L1_0423"/>
    <x v="51"/>
    <x v="15"/>
    <s v="Bradford City"/>
    <m/>
    <m/>
    <m/>
    <m/>
    <m/>
    <m/>
    <n v="1"/>
    <s v="Home"/>
    <m/>
    <m/>
    <m/>
    <m/>
    <s v=""/>
    <s v="Doncaster Rovers-"/>
    <s v=""/>
    <s v="Doncaster Rovers-"/>
  </r>
  <r>
    <s v="L1_0424"/>
    <x v="51"/>
    <x v="16"/>
    <s v="Huddersfield Town"/>
    <m/>
    <m/>
    <m/>
    <m/>
    <m/>
    <m/>
    <n v="1"/>
    <s v="Home"/>
    <m/>
    <m/>
    <m/>
    <m/>
    <s v=""/>
    <s v="Leicester City-"/>
    <s v=""/>
    <s v="Leicester City-"/>
  </r>
  <r>
    <s v="L1_0425"/>
    <x v="51"/>
    <x v="17"/>
    <s v="Burton Albion"/>
    <m/>
    <m/>
    <m/>
    <m/>
    <m/>
    <m/>
    <n v="1"/>
    <s v="Home"/>
    <m/>
    <m/>
    <m/>
    <m/>
    <s v=""/>
    <s v="Luton Town-"/>
    <s v=""/>
    <s v="Luton Town-"/>
  </r>
  <r>
    <s v="L1_0426"/>
    <x v="51"/>
    <x v="18"/>
    <s v="Mansfield Town"/>
    <m/>
    <m/>
    <m/>
    <m/>
    <m/>
    <m/>
    <n v="1"/>
    <s v="Home"/>
    <m/>
    <m/>
    <m/>
    <m/>
    <s v=""/>
    <s v="Milton Keynes Dons-"/>
    <s v=""/>
    <s v="Milton Keynes Dons-"/>
  </r>
  <r>
    <s v="L1_0427"/>
    <x v="51"/>
    <x v="19"/>
    <s v="Plymouth Argyle"/>
    <m/>
    <m/>
    <m/>
    <m/>
    <m/>
    <m/>
    <n v="1"/>
    <s v="Home"/>
    <m/>
    <m/>
    <m/>
    <m/>
    <s v=""/>
    <s v="Peterborough United-"/>
    <s v=""/>
    <s v="Peterborough United-"/>
  </r>
  <r>
    <s v="L1_0428"/>
    <x v="51"/>
    <x v="12"/>
    <s v="Barnsley"/>
    <m/>
    <m/>
    <m/>
    <m/>
    <m/>
    <m/>
    <n v="1"/>
    <s v="Home"/>
    <m/>
    <m/>
    <m/>
    <m/>
    <s v=""/>
    <s v="Sheffield Wednesday-"/>
    <s v=""/>
    <s v="Sheffield Wednesday-"/>
  </r>
  <r>
    <s v="L1_0429"/>
    <x v="51"/>
    <x v="20"/>
    <s v="Notts County"/>
    <m/>
    <m/>
    <m/>
    <m/>
    <m/>
    <m/>
    <n v="1"/>
    <s v="Home"/>
    <m/>
    <m/>
    <m/>
    <m/>
    <s v=""/>
    <s v="Stevenage-"/>
    <s v=""/>
    <s v="Stevenage-"/>
  </r>
  <r>
    <s v="L1_0430"/>
    <x v="51"/>
    <x v="21"/>
    <s v="Cambridge United"/>
    <m/>
    <m/>
    <m/>
    <m/>
    <m/>
    <m/>
    <n v="1"/>
    <s v="Home"/>
    <m/>
    <m/>
    <m/>
    <m/>
    <s v=""/>
    <s v="Stockport County-"/>
    <s v=""/>
    <s v="Stockport County-"/>
  </r>
  <r>
    <s v="L1_0431"/>
    <x v="51"/>
    <x v="22"/>
    <s v="Blackpool"/>
    <m/>
    <m/>
    <m/>
    <m/>
    <m/>
    <m/>
    <n v="1"/>
    <s v="Home"/>
    <m/>
    <m/>
    <m/>
    <m/>
    <s v=""/>
    <s v="Wigan Athletic-"/>
    <s v=""/>
    <s v="Wigan Athletic-"/>
  </r>
  <r>
    <s v="L1_0432"/>
    <x v="51"/>
    <x v="23"/>
    <s v="Oxford United"/>
    <m/>
    <m/>
    <m/>
    <m/>
    <m/>
    <m/>
    <n v="1"/>
    <s v="Home"/>
    <m/>
    <m/>
    <m/>
    <m/>
    <s v=""/>
    <s v="Wycombe Wanderers-"/>
    <s v=""/>
    <s v="Wycombe Wanderers-"/>
  </r>
  <r>
    <s v="L1_0433"/>
    <x v="52"/>
    <x v="2"/>
    <s v="Wigan Athletic"/>
    <m/>
    <m/>
    <m/>
    <m/>
    <m/>
    <m/>
    <n v="1"/>
    <s v="Home"/>
    <m/>
    <m/>
    <m/>
    <m/>
    <s v=""/>
    <s v="Bradford City-"/>
    <s v=""/>
    <s v="Bradford City-"/>
  </r>
  <r>
    <s v="L1_0434"/>
    <x v="52"/>
    <x v="3"/>
    <s v="Stockport County"/>
    <m/>
    <m/>
    <m/>
    <m/>
    <m/>
    <m/>
    <n v="1"/>
    <s v="Home"/>
    <m/>
    <m/>
    <m/>
    <m/>
    <s v=""/>
    <s v="Burton Albion-"/>
    <s v=""/>
    <s v="Burton Albion-"/>
  </r>
  <r>
    <s v="L1_0435"/>
    <x v="52"/>
    <x v="15"/>
    <s v="Blackpool"/>
    <m/>
    <m/>
    <m/>
    <m/>
    <m/>
    <m/>
    <n v="1"/>
    <s v="Home"/>
    <m/>
    <m/>
    <m/>
    <m/>
    <s v=""/>
    <s v="Doncaster Rovers-"/>
    <s v=""/>
    <s v="Doncaster Rovers-"/>
  </r>
  <r>
    <s v="L1_0436"/>
    <x v="52"/>
    <x v="5"/>
    <s v="Reading"/>
    <m/>
    <m/>
    <m/>
    <m/>
    <m/>
    <m/>
    <n v="1"/>
    <s v="Home"/>
    <m/>
    <m/>
    <m/>
    <m/>
    <s v=""/>
    <s v="Huddersfield Town-"/>
    <s v=""/>
    <s v="Huddersfield Town-"/>
  </r>
  <r>
    <s v="L1_0437"/>
    <x v="52"/>
    <x v="16"/>
    <s v="Wycombe Wanderers"/>
    <m/>
    <m/>
    <m/>
    <m/>
    <m/>
    <m/>
    <n v="1"/>
    <s v="Home"/>
    <m/>
    <m/>
    <m/>
    <m/>
    <s v=""/>
    <s v="Leicester City-"/>
    <s v=""/>
    <s v="Leicester City-"/>
  </r>
  <r>
    <s v="L1_0438"/>
    <x v="52"/>
    <x v="17"/>
    <s v="Plymouth Argyle"/>
    <m/>
    <m/>
    <m/>
    <m/>
    <m/>
    <m/>
    <n v="1"/>
    <s v="Home"/>
    <m/>
    <m/>
    <m/>
    <m/>
    <s v=""/>
    <s v="Luton Town-"/>
    <s v=""/>
    <s v="Luton Town-"/>
  </r>
  <r>
    <s v="L1_0439"/>
    <x v="52"/>
    <x v="7"/>
    <s v="Cambridge United"/>
    <m/>
    <m/>
    <m/>
    <m/>
    <m/>
    <m/>
    <n v="1"/>
    <s v="Home"/>
    <m/>
    <m/>
    <m/>
    <m/>
    <s v=""/>
    <s v="Mansfield Town-"/>
    <s v=""/>
    <s v="Mansfield Town-"/>
  </r>
  <r>
    <s v="L1_0440"/>
    <x v="52"/>
    <x v="18"/>
    <s v="Sheffield Wednesday"/>
    <m/>
    <m/>
    <m/>
    <m/>
    <m/>
    <m/>
    <n v="1"/>
    <s v="Home"/>
    <m/>
    <m/>
    <m/>
    <m/>
    <s v=""/>
    <s v="Milton Keynes Dons-"/>
    <s v=""/>
    <s v="Milton Keynes Dons-"/>
  </r>
  <r>
    <s v="L1_0441"/>
    <x v="52"/>
    <x v="8"/>
    <s v="Barnsley"/>
    <m/>
    <m/>
    <m/>
    <m/>
    <m/>
    <m/>
    <n v="1"/>
    <s v="Home"/>
    <m/>
    <m/>
    <m/>
    <m/>
    <s v=""/>
    <s v="Notts County-"/>
    <s v=""/>
    <s v="Notts County-"/>
  </r>
  <r>
    <s v="L1_0442"/>
    <x v="52"/>
    <x v="9"/>
    <s v="Leyton Orient"/>
    <m/>
    <m/>
    <m/>
    <m/>
    <m/>
    <m/>
    <n v="1"/>
    <s v="Home"/>
    <m/>
    <m/>
    <m/>
    <m/>
    <s v=""/>
    <s v="Oxford United-"/>
    <s v=""/>
    <s v="Oxford United-"/>
  </r>
  <r>
    <s v="L1_0443"/>
    <x v="52"/>
    <x v="19"/>
    <s v="AFC Wimbledon"/>
    <m/>
    <m/>
    <m/>
    <m/>
    <m/>
    <m/>
    <n v="1"/>
    <s v="Home"/>
    <m/>
    <m/>
    <m/>
    <m/>
    <s v=""/>
    <s v="Peterborough United-"/>
    <s v=""/>
    <s v="Peterborough United-"/>
  </r>
  <r>
    <s v="L1_0444"/>
    <x v="52"/>
    <x v="20"/>
    <s v="Bromley"/>
    <m/>
    <m/>
    <m/>
    <m/>
    <m/>
    <m/>
    <n v="1"/>
    <s v="Home"/>
    <m/>
    <m/>
    <m/>
    <m/>
    <s v=""/>
    <s v="Stevenage-"/>
    <s v=""/>
    <s v="Stevenage-"/>
  </r>
  <r>
    <s v="L1_0445"/>
    <x v="53"/>
    <x v="13"/>
    <s v="Leicester City"/>
    <m/>
    <m/>
    <m/>
    <m/>
    <m/>
    <m/>
    <n v="1"/>
    <s v="Home"/>
    <m/>
    <m/>
    <m/>
    <m/>
    <s v=""/>
    <s v="AFC Wimbledon-"/>
    <s v=""/>
    <s v="AFC Wimbledon-"/>
  </r>
  <r>
    <s v="L1_0446"/>
    <x v="53"/>
    <x v="0"/>
    <s v="Mansfield Town"/>
    <m/>
    <m/>
    <m/>
    <m/>
    <m/>
    <m/>
    <n v="1"/>
    <s v="Home"/>
    <m/>
    <m/>
    <m/>
    <m/>
    <s v=""/>
    <s v="Barnsley-"/>
    <s v=""/>
    <s v="Barnsley-"/>
  </r>
  <r>
    <s v="L1_0447"/>
    <x v="53"/>
    <x v="1"/>
    <s v="Oxford United"/>
    <m/>
    <m/>
    <m/>
    <m/>
    <m/>
    <m/>
    <n v="1"/>
    <s v="Home"/>
    <m/>
    <m/>
    <m/>
    <m/>
    <s v=""/>
    <s v="Blackpool-"/>
    <s v=""/>
    <s v="Blackpool-"/>
  </r>
  <r>
    <s v="L1_0448"/>
    <x v="53"/>
    <x v="14"/>
    <s v="Doncaster Rovers"/>
    <m/>
    <m/>
    <m/>
    <m/>
    <m/>
    <m/>
    <n v="1"/>
    <s v="Home"/>
    <m/>
    <m/>
    <m/>
    <m/>
    <s v=""/>
    <s v="Bromley-"/>
    <s v=""/>
    <s v="Bromley-"/>
  </r>
  <r>
    <s v="L1_0449"/>
    <x v="53"/>
    <x v="4"/>
    <s v="Milton Keynes Dons"/>
    <m/>
    <m/>
    <m/>
    <m/>
    <m/>
    <m/>
    <n v="1"/>
    <s v="Home"/>
    <m/>
    <m/>
    <m/>
    <m/>
    <s v=""/>
    <s v="Cambridge United-"/>
    <s v=""/>
    <s v="Cambridge United-"/>
  </r>
  <r>
    <s v="L1_0450"/>
    <x v="53"/>
    <x v="6"/>
    <s v="Huddersfield Town"/>
    <m/>
    <m/>
    <m/>
    <m/>
    <m/>
    <m/>
    <n v="1"/>
    <s v="Home"/>
    <m/>
    <m/>
    <m/>
    <m/>
    <s v=""/>
    <s v="Leyton Orient-"/>
    <s v=""/>
    <s v="Leyton Orient-"/>
  </r>
  <r>
    <s v="L1_0451"/>
    <x v="53"/>
    <x v="10"/>
    <s v="Notts County"/>
    <m/>
    <m/>
    <m/>
    <m/>
    <m/>
    <m/>
    <n v="1"/>
    <s v="Home"/>
    <m/>
    <m/>
    <m/>
    <m/>
    <s v=""/>
    <s v="Plymouth Argyle-"/>
    <s v=""/>
    <s v="Plymouth Argyle-"/>
  </r>
  <r>
    <s v="L1_0452"/>
    <x v="53"/>
    <x v="11"/>
    <s v="Stevenage"/>
    <m/>
    <m/>
    <m/>
    <m/>
    <m/>
    <m/>
    <n v="1"/>
    <s v="Home"/>
    <m/>
    <m/>
    <m/>
    <m/>
    <s v=""/>
    <s v="Reading-"/>
    <s v=""/>
    <s v="Reading-"/>
  </r>
  <r>
    <s v="L1_0453"/>
    <x v="53"/>
    <x v="12"/>
    <s v="Burton Albion"/>
    <m/>
    <m/>
    <m/>
    <m/>
    <m/>
    <m/>
    <n v="1"/>
    <s v="Home"/>
    <m/>
    <m/>
    <m/>
    <m/>
    <s v=""/>
    <s v="Sheffield Wednesday-"/>
    <s v=""/>
    <s v="Sheffield Wednesday-"/>
  </r>
  <r>
    <s v="L1_0454"/>
    <x v="53"/>
    <x v="21"/>
    <s v="Bradford City"/>
    <m/>
    <m/>
    <m/>
    <m/>
    <m/>
    <m/>
    <n v="1"/>
    <s v="Home"/>
    <m/>
    <m/>
    <m/>
    <m/>
    <s v=""/>
    <s v="Stockport County-"/>
    <s v=""/>
    <s v="Stockport County-"/>
  </r>
  <r>
    <s v="L1_0455"/>
    <x v="53"/>
    <x v="22"/>
    <s v="Luton Town"/>
    <m/>
    <m/>
    <m/>
    <m/>
    <m/>
    <m/>
    <n v="1"/>
    <s v="Home"/>
    <m/>
    <m/>
    <m/>
    <m/>
    <s v=""/>
    <s v="Wigan Athletic-"/>
    <s v=""/>
    <s v="Wigan Athletic-"/>
  </r>
  <r>
    <s v="L1_0456"/>
    <x v="53"/>
    <x v="23"/>
    <s v="Peterborough United"/>
    <m/>
    <m/>
    <m/>
    <m/>
    <m/>
    <m/>
    <n v="1"/>
    <s v="Home"/>
    <m/>
    <m/>
    <m/>
    <m/>
    <s v=""/>
    <s v="Wycombe Wanderers-"/>
    <s v=""/>
    <s v="Wycombe Wanderers-"/>
  </r>
  <r>
    <s v="L1_0457"/>
    <x v="54"/>
    <x v="2"/>
    <s v="Blackpool"/>
    <m/>
    <m/>
    <m/>
    <m/>
    <m/>
    <m/>
    <n v="1"/>
    <s v="Home"/>
    <m/>
    <m/>
    <m/>
    <m/>
    <s v=""/>
    <s v="Bradford City-"/>
    <s v=""/>
    <s v="Bradford City-"/>
  </r>
  <r>
    <s v="L1_0458"/>
    <x v="54"/>
    <x v="3"/>
    <s v="Barnsley"/>
    <m/>
    <m/>
    <m/>
    <m/>
    <m/>
    <m/>
    <n v="1"/>
    <s v="Home"/>
    <m/>
    <m/>
    <m/>
    <m/>
    <s v=""/>
    <s v="Burton Albion-"/>
    <s v=""/>
    <s v="Burton Albion-"/>
  </r>
  <r>
    <s v="L1_0459"/>
    <x v="54"/>
    <x v="15"/>
    <s v="Cambridge United"/>
    <m/>
    <m/>
    <m/>
    <m/>
    <m/>
    <m/>
    <n v="1"/>
    <s v="Home"/>
    <m/>
    <m/>
    <m/>
    <m/>
    <s v=""/>
    <s v="Doncaster Rovers-"/>
    <s v=""/>
    <s v="Doncaster Rovers-"/>
  </r>
  <r>
    <s v="L1_0460"/>
    <x v="54"/>
    <x v="5"/>
    <s v="Stockport County"/>
    <m/>
    <m/>
    <m/>
    <m/>
    <m/>
    <m/>
    <n v="1"/>
    <s v="Home"/>
    <m/>
    <m/>
    <m/>
    <m/>
    <s v=""/>
    <s v="Huddersfield Town-"/>
    <s v=""/>
    <s v="Huddersfield Town-"/>
  </r>
  <r>
    <s v="L1_0461"/>
    <x v="54"/>
    <x v="16"/>
    <s v="Leyton Orient"/>
    <m/>
    <m/>
    <m/>
    <m/>
    <m/>
    <m/>
    <n v="1"/>
    <s v="Home"/>
    <m/>
    <m/>
    <m/>
    <m/>
    <s v=""/>
    <s v="Leicester City-"/>
    <s v=""/>
    <s v="Leicester City-"/>
  </r>
  <r>
    <s v="L1_0462"/>
    <x v="54"/>
    <x v="17"/>
    <s v="AFC Wimbledon"/>
    <m/>
    <m/>
    <m/>
    <m/>
    <m/>
    <m/>
    <n v="1"/>
    <s v="Home"/>
    <m/>
    <m/>
    <m/>
    <m/>
    <s v=""/>
    <s v="Luton Town-"/>
    <s v=""/>
    <s v="Luton Town-"/>
  </r>
  <r>
    <s v="L1_0463"/>
    <x v="54"/>
    <x v="7"/>
    <s v="Sheffield Wednesday"/>
    <m/>
    <m/>
    <m/>
    <m/>
    <m/>
    <m/>
    <n v="1"/>
    <s v="Home"/>
    <m/>
    <m/>
    <m/>
    <m/>
    <s v=""/>
    <s v="Mansfield Town-"/>
    <s v=""/>
    <s v="Mansfield Town-"/>
  </r>
  <r>
    <s v="L1_0464"/>
    <x v="54"/>
    <x v="18"/>
    <s v="Plymouth Argyle"/>
    <m/>
    <m/>
    <m/>
    <m/>
    <m/>
    <m/>
    <n v="1"/>
    <s v="Home"/>
    <m/>
    <m/>
    <m/>
    <m/>
    <s v=""/>
    <s v="Milton Keynes Dons-"/>
    <s v=""/>
    <s v="Milton Keynes Dons-"/>
  </r>
  <r>
    <s v="L1_0465"/>
    <x v="54"/>
    <x v="8"/>
    <s v="Wigan Athletic"/>
    <m/>
    <m/>
    <m/>
    <m/>
    <m/>
    <m/>
    <n v="1"/>
    <s v="Home"/>
    <m/>
    <m/>
    <m/>
    <m/>
    <s v=""/>
    <s v="Notts County-"/>
    <s v=""/>
    <s v="Notts County-"/>
  </r>
  <r>
    <s v="L1_0466"/>
    <x v="54"/>
    <x v="9"/>
    <s v="Bromley"/>
    <m/>
    <m/>
    <m/>
    <m/>
    <m/>
    <m/>
    <n v="1"/>
    <s v="Home"/>
    <m/>
    <m/>
    <m/>
    <m/>
    <s v=""/>
    <s v="Oxford United-"/>
    <s v=""/>
    <s v="Oxford United-"/>
  </r>
  <r>
    <s v="L1_0467"/>
    <x v="54"/>
    <x v="19"/>
    <s v="Reading"/>
    <m/>
    <m/>
    <m/>
    <m/>
    <m/>
    <m/>
    <n v="1"/>
    <s v="Home"/>
    <m/>
    <m/>
    <m/>
    <m/>
    <s v=""/>
    <s v="Peterborough United-"/>
    <s v=""/>
    <s v="Peterborough United-"/>
  </r>
  <r>
    <s v="L1_0468"/>
    <x v="54"/>
    <x v="20"/>
    <s v="Wycombe Wanderers"/>
    <m/>
    <m/>
    <m/>
    <m/>
    <m/>
    <m/>
    <n v="1"/>
    <s v="Home"/>
    <m/>
    <m/>
    <m/>
    <m/>
    <s v=""/>
    <s v="Stevenage-"/>
    <s v=""/>
    <s v="Stevenage-"/>
  </r>
  <r>
    <s v="L1_0469"/>
    <x v="55"/>
    <x v="13"/>
    <s v="Bradford City"/>
    <m/>
    <m/>
    <m/>
    <m/>
    <m/>
    <m/>
    <n v="1"/>
    <s v="Home"/>
    <m/>
    <m/>
    <m/>
    <m/>
    <s v=""/>
    <s v="AFC Wimbledon-"/>
    <s v=""/>
    <s v="AFC Wimbledon-"/>
  </r>
  <r>
    <s v="L1_0470"/>
    <x v="55"/>
    <x v="0"/>
    <s v="Peterborough United"/>
    <m/>
    <m/>
    <m/>
    <m/>
    <m/>
    <m/>
    <n v="1"/>
    <s v="Home"/>
    <m/>
    <m/>
    <m/>
    <m/>
    <s v=""/>
    <s v="Barnsley-"/>
    <s v=""/>
    <s v="Barnsley-"/>
  </r>
  <r>
    <s v="L1_0471"/>
    <x v="55"/>
    <x v="1"/>
    <s v="Huddersfield Town"/>
    <m/>
    <m/>
    <m/>
    <m/>
    <m/>
    <m/>
    <n v="1"/>
    <s v="Home"/>
    <m/>
    <m/>
    <m/>
    <m/>
    <s v=""/>
    <s v="Blackpool-"/>
    <s v=""/>
    <s v="Blackpool-"/>
  </r>
  <r>
    <s v="L1_0472"/>
    <x v="55"/>
    <x v="14"/>
    <s v="Luton Town"/>
    <m/>
    <m/>
    <m/>
    <m/>
    <m/>
    <m/>
    <n v="1"/>
    <s v="Home"/>
    <m/>
    <m/>
    <m/>
    <m/>
    <s v=""/>
    <s v="Bromley-"/>
    <s v=""/>
    <s v="Bromley-"/>
  </r>
  <r>
    <s v="L1_0473"/>
    <x v="55"/>
    <x v="4"/>
    <s v="Notts County"/>
    <m/>
    <m/>
    <m/>
    <m/>
    <m/>
    <m/>
    <n v="1"/>
    <s v="Home"/>
    <m/>
    <m/>
    <m/>
    <m/>
    <s v=""/>
    <s v="Cambridge United-"/>
    <s v=""/>
    <s v="Cambridge United-"/>
  </r>
  <r>
    <s v="L1_0474"/>
    <x v="55"/>
    <x v="6"/>
    <s v="Milton Keynes Dons"/>
    <m/>
    <m/>
    <m/>
    <m/>
    <m/>
    <m/>
    <n v="1"/>
    <s v="Home"/>
    <m/>
    <m/>
    <m/>
    <m/>
    <s v=""/>
    <s v="Leyton Orient-"/>
    <s v=""/>
    <s v="Leyton Orient-"/>
  </r>
  <r>
    <s v="L1_0475"/>
    <x v="55"/>
    <x v="10"/>
    <s v="Oxford United"/>
    <m/>
    <m/>
    <m/>
    <m/>
    <m/>
    <m/>
    <n v="1"/>
    <s v="Home"/>
    <m/>
    <m/>
    <m/>
    <m/>
    <s v=""/>
    <s v="Plymouth Argyle-"/>
    <s v=""/>
    <s v="Plymouth Argyle-"/>
  </r>
  <r>
    <s v="L1_0476"/>
    <x v="55"/>
    <x v="11"/>
    <s v="Burton Albion"/>
    <m/>
    <m/>
    <m/>
    <m/>
    <m/>
    <m/>
    <n v="1"/>
    <s v="Home"/>
    <m/>
    <m/>
    <m/>
    <m/>
    <s v=""/>
    <s v="Reading-"/>
    <s v=""/>
    <s v="Reading-"/>
  </r>
  <r>
    <s v="L1_0477"/>
    <x v="55"/>
    <x v="12"/>
    <s v="Leicester City"/>
    <m/>
    <m/>
    <m/>
    <m/>
    <m/>
    <m/>
    <n v="1"/>
    <s v="Home"/>
    <m/>
    <m/>
    <m/>
    <m/>
    <s v=""/>
    <s v="Sheffield Wednesday-"/>
    <s v=""/>
    <s v="Sheffield Wednesday-"/>
  </r>
  <r>
    <s v="L1_0478"/>
    <x v="55"/>
    <x v="21"/>
    <s v="Stevenage"/>
    <m/>
    <m/>
    <m/>
    <m/>
    <m/>
    <m/>
    <n v="1"/>
    <s v="Home"/>
    <m/>
    <m/>
    <m/>
    <m/>
    <s v=""/>
    <s v="Stockport County-"/>
    <s v=""/>
    <s v="Stockport County-"/>
  </r>
  <r>
    <s v="L1_0479"/>
    <x v="55"/>
    <x v="22"/>
    <s v="Doncaster Rovers"/>
    <m/>
    <m/>
    <m/>
    <m/>
    <m/>
    <m/>
    <n v="1"/>
    <s v="Home"/>
    <m/>
    <m/>
    <m/>
    <m/>
    <s v=""/>
    <s v="Wigan Athletic-"/>
    <s v=""/>
    <s v="Wigan Athletic-"/>
  </r>
  <r>
    <s v="L1_0480"/>
    <x v="55"/>
    <x v="23"/>
    <s v="Mansfield Town"/>
    <m/>
    <m/>
    <m/>
    <m/>
    <m/>
    <m/>
    <n v="1"/>
    <s v="Home"/>
    <m/>
    <m/>
    <m/>
    <m/>
    <s v=""/>
    <s v="Wycombe Wanderers-"/>
    <s v=""/>
    <s v="Wycombe Wanderers-"/>
  </r>
  <r>
    <s v="L1_0481"/>
    <x v="56"/>
    <x v="13"/>
    <s v="Cambridge United"/>
    <m/>
    <m/>
    <m/>
    <m/>
    <m/>
    <m/>
    <n v="1"/>
    <s v="Home"/>
    <m/>
    <m/>
    <m/>
    <m/>
    <s v=""/>
    <s v="AFC Wimbledon-"/>
    <s v=""/>
    <s v="AFC Wimbledon-"/>
  </r>
  <r>
    <s v="L1_0482"/>
    <x v="56"/>
    <x v="0"/>
    <s v="Bradford City"/>
    <m/>
    <m/>
    <m/>
    <m/>
    <m/>
    <m/>
    <n v="1"/>
    <s v="Home"/>
    <m/>
    <m/>
    <m/>
    <m/>
    <s v=""/>
    <s v="Barnsley-"/>
    <s v=""/>
    <s v="Barnsley-"/>
  </r>
  <r>
    <s v="L1_0483"/>
    <x v="56"/>
    <x v="1"/>
    <s v="Notts County"/>
    <m/>
    <m/>
    <m/>
    <m/>
    <m/>
    <m/>
    <n v="1"/>
    <s v="Home"/>
    <m/>
    <m/>
    <m/>
    <m/>
    <s v=""/>
    <s v="Blackpool-"/>
    <s v=""/>
    <s v="Blackpool-"/>
  </r>
  <r>
    <s v="L1_0484"/>
    <x v="56"/>
    <x v="14"/>
    <s v="Milton Keynes Dons"/>
    <m/>
    <m/>
    <m/>
    <m/>
    <m/>
    <m/>
    <n v="1"/>
    <s v="Home"/>
    <m/>
    <m/>
    <m/>
    <m/>
    <s v=""/>
    <s v="Bromley-"/>
    <s v=""/>
    <s v="Bromley-"/>
  </r>
  <r>
    <s v="L1_0485"/>
    <x v="56"/>
    <x v="3"/>
    <s v="Plymouth Argyle"/>
    <m/>
    <m/>
    <m/>
    <m/>
    <m/>
    <m/>
    <n v="1"/>
    <s v="Home"/>
    <m/>
    <m/>
    <m/>
    <m/>
    <s v=""/>
    <s v="Burton Albion-"/>
    <s v=""/>
    <s v="Burton Albion-"/>
  </r>
  <r>
    <s v="L1_0486"/>
    <x v="56"/>
    <x v="6"/>
    <s v="Mansfield Town"/>
    <m/>
    <m/>
    <m/>
    <m/>
    <m/>
    <m/>
    <n v="1"/>
    <s v="Home"/>
    <m/>
    <m/>
    <m/>
    <m/>
    <s v=""/>
    <s v="Leyton Orient-"/>
    <s v=""/>
    <s v="Leyton Orient-"/>
  </r>
  <r>
    <s v="L1_0487"/>
    <x v="56"/>
    <x v="17"/>
    <s v="Huddersfield Town"/>
    <m/>
    <m/>
    <m/>
    <m/>
    <m/>
    <m/>
    <n v="1"/>
    <s v="Home"/>
    <m/>
    <m/>
    <m/>
    <m/>
    <s v=""/>
    <s v="Luton Town-"/>
    <s v=""/>
    <s v="Luton Town-"/>
  </r>
  <r>
    <s v="L1_0488"/>
    <x v="56"/>
    <x v="9"/>
    <s v="Doncaster Rovers"/>
    <m/>
    <m/>
    <m/>
    <m/>
    <m/>
    <m/>
    <n v="1"/>
    <s v="Home"/>
    <m/>
    <m/>
    <m/>
    <m/>
    <s v=""/>
    <s v="Oxford United-"/>
    <s v=""/>
    <s v="Oxford United-"/>
  </r>
  <r>
    <s v="L1_0489"/>
    <x v="56"/>
    <x v="19"/>
    <s v="Stockport County"/>
    <m/>
    <m/>
    <m/>
    <m/>
    <m/>
    <m/>
    <n v="1"/>
    <s v="Home"/>
    <m/>
    <m/>
    <m/>
    <m/>
    <s v=""/>
    <s v="Peterborough United-"/>
    <s v=""/>
    <s v="Peterborough United-"/>
  </r>
  <r>
    <s v="L1_0490"/>
    <x v="56"/>
    <x v="11"/>
    <s v="Wycombe Wanderers"/>
    <m/>
    <m/>
    <m/>
    <m/>
    <m/>
    <m/>
    <n v="1"/>
    <s v="Home"/>
    <m/>
    <m/>
    <m/>
    <m/>
    <s v=""/>
    <s v="Reading-"/>
    <s v=""/>
    <s v="Reading-"/>
  </r>
  <r>
    <s v="L1_0491"/>
    <x v="56"/>
    <x v="12"/>
    <s v="Stevenage"/>
    <m/>
    <m/>
    <m/>
    <m/>
    <m/>
    <m/>
    <n v="1"/>
    <s v="Home"/>
    <m/>
    <m/>
    <m/>
    <m/>
    <s v=""/>
    <s v="Sheffield Wednesday-"/>
    <s v=""/>
    <s v="Sheffield Wednesday-"/>
  </r>
  <r>
    <s v="L1_0492"/>
    <x v="56"/>
    <x v="22"/>
    <s v="Leicester City"/>
    <m/>
    <m/>
    <m/>
    <m/>
    <m/>
    <m/>
    <n v="1"/>
    <s v="Home"/>
    <m/>
    <m/>
    <m/>
    <m/>
    <s v=""/>
    <s v="Wigan Athletic-"/>
    <s v=""/>
    <s v="Wigan Athletic-"/>
  </r>
  <r>
    <s v="L1_0493"/>
    <x v="57"/>
    <x v="2"/>
    <s v="Luton Town"/>
    <m/>
    <m/>
    <m/>
    <m/>
    <m/>
    <m/>
    <n v="1"/>
    <s v="Home"/>
    <m/>
    <m/>
    <m/>
    <m/>
    <s v=""/>
    <s v="Bradford City-"/>
    <s v=""/>
    <s v="Bradford City-"/>
  </r>
  <r>
    <s v="L1_0494"/>
    <x v="57"/>
    <x v="4"/>
    <s v="Oxford United"/>
    <m/>
    <m/>
    <m/>
    <m/>
    <m/>
    <m/>
    <n v="1"/>
    <s v="Home"/>
    <m/>
    <m/>
    <m/>
    <m/>
    <s v=""/>
    <s v="Cambridge United-"/>
    <s v=""/>
    <s v="Cambridge United-"/>
  </r>
  <r>
    <s v="L1_0495"/>
    <x v="57"/>
    <x v="15"/>
    <s v="Peterborough United"/>
    <m/>
    <m/>
    <m/>
    <m/>
    <m/>
    <m/>
    <n v="1"/>
    <s v="Home"/>
    <m/>
    <m/>
    <m/>
    <m/>
    <s v=""/>
    <s v="Doncaster Rovers-"/>
    <s v=""/>
    <s v="Doncaster Rovers-"/>
  </r>
  <r>
    <s v="L1_0496"/>
    <x v="57"/>
    <x v="5"/>
    <s v="Bromley"/>
    <m/>
    <m/>
    <m/>
    <m/>
    <m/>
    <m/>
    <n v="1"/>
    <s v="Home"/>
    <m/>
    <m/>
    <m/>
    <m/>
    <s v=""/>
    <s v="Huddersfield Town-"/>
    <s v=""/>
    <s v="Huddersfield Town-"/>
  </r>
  <r>
    <s v="L1_0497"/>
    <x v="57"/>
    <x v="16"/>
    <s v="Barnsley"/>
    <m/>
    <m/>
    <m/>
    <m/>
    <m/>
    <m/>
    <n v="1"/>
    <s v="Home"/>
    <m/>
    <m/>
    <m/>
    <m/>
    <s v=""/>
    <s v="Leicester City-"/>
    <s v=""/>
    <s v="Leicester City-"/>
  </r>
  <r>
    <s v="L1_0498"/>
    <x v="57"/>
    <x v="7"/>
    <s v="Burton Albion"/>
    <m/>
    <m/>
    <m/>
    <m/>
    <m/>
    <m/>
    <n v="1"/>
    <s v="Home"/>
    <m/>
    <m/>
    <m/>
    <m/>
    <s v=""/>
    <s v="Mansfield Town-"/>
    <s v=""/>
    <s v="Mansfield Town-"/>
  </r>
  <r>
    <s v="L1_0499"/>
    <x v="57"/>
    <x v="18"/>
    <s v="AFC Wimbledon"/>
    <m/>
    <m/>
    <m/>
    <m/>
    <m/>
    <m/>
    <n v="1"/>
    <s v="Home"/>
    <m/>
    <m/>
    <m/>
    <m/>
    <s v=""/>
    <s v="Milton Keynes Dons-"/>
    <s v=""/>
    <s v="Milton Keynes Dons-"/>
  </r>
  <r>
    <s v="L1_0500"/>
    <x v="57"/>
    <x v="8"/>
    <s v="Reading"/>
    <m/>
    <m/>
    <m/>
    <m/>
    <m/>
    <m/>
    <n v="1"/>
    <s v="Home"/>
    <m/>
    <m/>
    <m/>
    <m/>
    <s v=""/>
    <s v="Notts County-"/>
    <s v=""/>
    <s v="Notts County-"/>
  </r>
  <r>
    <s v="L1_0501"/>
    <x v="57"/>
    <x v="10"/>
    <s v="Blackpool"/>
    <m/>
    <m/>
    <m/>
    <m/>
    <m/>
    <m/>
    <n v="1"/>
    <s v="Home"/>
    <m/>
    <m/>
    <m/>
    <m/>
    <s v=""/>
    <s v="Plymouth Argyle-"/>
    <s v=""/>
    <s v="Plymouth Argyle-"/>
  </r>
  <r>
    <s v="L1_0502"/>
    <x v="57"/>
    <x v="20"/>
    <s v="Leyton Orient"/>
    <m/>
    <m/>
    <m/>
    <m/>
    <m/>
    <m/>
    <n v="1"/>
    <s v="Home"/>
    <m/>
    <m/>
    <m/>
    <m/>
    <s v=""/>
    <s v="Stevenage-"/>
    <s v=""/>
    <s v="Stevenage-"/>
  </r>
  <r>
    <s v="L1_0503"/>
    <x v="57"/>
    <x v="21"/>
    <s v="Sheffield Wednesday"/>
    <m/>
    <m/>
    <m/>
    <m/>
    <m/>
    <m/>
    <n v="1"/>
    <s v="Home"/>
    <m/>
    <m/>
    <m/>
    <m/>
    <s v=""/>
    <s v="Stockport County-"/>
    <s v=""/>
    <s v="Stockport County-"/>
  </r>
  <r>
    <s v="L1_0504"/>
    <x v="57"/>
    <x v="23"/>
    <s v="Wigan Athletic"/>
    <m/>
    <m/>
    <m/>
    <m/>
    <m/>
    <m/>
    <n v="1"/>
    <s v="Home"/>
    <m/>
    <m/>
    <m/>
    <m/>
    <s v=""/>
    <s v="Wycombe Wanderers-"/>
    <s v=""/>
    <s v="Wycombe Wanderers-"/>
  </r>
  <r>
    <s v="L1_0505"/>
    <x v="58"/>
    <x v="13"/>
    <s v="Plymouth Argyle"/>
    <m/>
    <m/>
    <m/>
    <m/>
    <m/>
    <m/>
    <n v="1"/>
    <s v="Home"/>
    <m/>
    <m/>
    <m/>
    <m/>
    <s v=""/>
    <s v="AFC Wimbledon-"/>
    <s v=""/>
    <s v="AFC Wimbledon-"/>
  </r>
  <r>
    <s v="L1_0506"/>
    <x v="58"/>
    <x v="0"/>
    <s v="Stockport County"/>
    <m/>
    <m/>
    <m/>
    <m/>
    <m/>
    <m/>
    <n v="1"/>
    <s v="Home"/>
    <m/>
    <m/>
    <m/>
    <m/>
    <s v=""/>
    <s v="Barnsley-"/>
    <s v=""/>
    <s v="Barnsley-"/>
  </r>
  <r>
    <s v="L1_0507"/>
    <x v="58"/>
    <x v="1"/>
    <s v="Cambridge United"/>
    <m/>
    <m/>
    <m/>
    <m/>
    <m/>
    <m/>
    <n v="1"/>
    <s v="Home"/>
    <m/>
    <m/>
    <m/>
    <m/>
    <s v=""/>
    <s v="Blackpool-"/>
    <s v=""/>
    <s v="Blackpool-"/>
  </r>
  <r>
    <s v="L1_0508"/>
    <x v="58"/>
    <x v="14"/>
    <s v="Mansfield Town"/>
    <m/>
    <m/>
    <m/>
    <m/>
    <m/>
    <m/>
    <n v="1"/>
    <s v="Home"/>
    <m/>
    <m/>
    <m/>
    <m/>
    <s v=""/>
    <s v="Bromley-"/>
    <s v=""/>
    <s v="Bromley-"/>
  </r>
  <r>
    <s v="L1_0509"/>
    <x v="58"/>
    <x v="3"/>
    <s v="Doncaster Rovers"/>
    <m/>
    <m/>
    <m/>
    <m/>
    <m/>
    <m/>
    <n v="1"/>
    <s v="Home"/>
    <m/>
    <m/>
    <m/>
    <m/>
    <s v=""/>
    <s v="Burton Albion-"/>
    <s v=""/>
    <s v="Burton Albion-"/>
  </r>
  <r>
    <s v="L1_0510"/>
    <x v="58"/>
    <x v="6"/>
    <s v="Bradford City"/>
    <m/>
    <m/>
    <m/>
    <m/>
    <m/>
    <m/>
    <n v="1"/>
    <s v="Home"/>
    <m/>
    <m/>
    <m/>
    <m/>
    <s v=""/>
    <s v="Leyton Orient-"/>
    <s v=""/>
    <s v="Leyton Orient-"/>
  </r>
  <r>
    <s v="L1_0511"/>
    <x v="58"/>
    <x v="17"/>
    <s v="Wycombe Wanderers"/>
    <m/>
    <m/>
    <m/>
    <m/>
    <m/>
    <m/>
    <n v="1"/>
    <s v="Home"/>
    <m/>
    <m/>
    <m/>
    <m/>
    <s v=""/>
    <s v="Luton Town-"/>
    <s v=""/>
    <s v="Luton Town-"/>
  </r>
  <r>
    <s v="L1_0512"/>
    <x v="58"/>
    <x v="9"/>
    <s v="Notts County"/>
    <m/>
    <m/>
    <m/>
    <m/>
    <m/>
    <m/>
    <n v="1"/>
    <s v="Home"/>
    <m/>
    <m/>
    <m/>
    <m/>
    <s v=""/>
    <s v="Oxford United-"/>
    <s v=""/>
    <s v="Oxford United-"/>
  </r>
  <r>
    <s v="L1_0513"/>
    <x v="58"/>
    <x v="19"/>
    <s v="Leicester City"/>
    <m/>
    <m/>
    <m/>
    <m/>
    <m/>
    <m/>
    <n v="1"/>
    <s v="Home"/>
    <m/>
    <m/>
    <m/>
    <m/>
    <s v=""/>
    <s v="Peterborough United-"/>
    <s v=""/>
    <s v="Peterborough United-"/>
  </r>
  <r>
    <s v="L1_0514"/>
    <x v="58"/>
    <x v="11"/>
    <s v="Huddersfield Town"/>
    <m/>
    <m/>
    <m/>
    <m/>
    <m/>
    <m/>
    <n v="1"/>
    <s v="Home"/>
    <m/>
    <m/>
    <m/>
    <m/>
    <s v=""/>
    <s v="Reading-"/>
    <s v=""/>
    <s v="Reading-"/>
  </r>
  <r>
    <s v="L1_0515"/>
    <x v="58"/>
    <x v="12"/>
    <s v="Milton Keynes Dons"/>
    <m/>
    <m/>
    <m/>
    <m/>
    <m/>
    <m/>
    <n v="1"/>
    <s v="Home"/>
    <m/>
    <m/>
    <m/>
    <m/>
    <s v=""/>
    <s v="Sheffield Wednesday-"/>
    <s v=""/>
    <s v="Sheffield Wednesday-"/>
  </r>
  <r>
    <s v="L1_0516"/>
    <x v="58"/>
    <x v="22"/>
    <s v="Stevenage"/>
    <m/>
    <m/>
    <m/>
    <m/>
    <m/>
    <m/>
    <n v="1"/>
    <s v="Home"/>
    <m/>
    <m/>
    <m/>
    <m/>
    <s v=""/>
    <s v="Wigan Athletic-"/>
    <s v=""/>
    <s v="Wigan Athletic-"/>
  </r>
  <r>
    <s v="L1_0517"/>
    <x v="59"/>
    <x v="2"/>
    <s v="Reading"/>
    <m/>
    <m/>
    <m/>
    <m/>
    <m/>
    <m/>
    <n v="1"/>
    <s v="Home"/>
    <m/>
    <m/>
    <m/>
    <m/>
    <s v=""/>
    <s v="Bradford City-"/>
    <s v=""/>
    <s v="Bradford City-"/>
  </r>
  <r>
    <s v="L1_0518"/>
    <x v="59"/>
    <x v="4"/>
    <s v="Sheffield Wednesday"/>
    <m/>
    <m/>
    <m/>
    <m/>
    <m/>
    <m/>
    <n v="1"/>
    <s v="Home"/>
    <m/>
    <m/>
    <m/>
    <m/>
    <s v=""/>
    <s v="Cambridge United-"/>
    <s v=""/>
    <s v="Cambridge United-"/>
  </r>
  <r>
    <s v="L1_0519"/>
    <x v="59"/>
    <x v="15"/>
    <s v="Luton Town"/>
    <m/>
    <m/>
    <m/>
    <m/>
    <m/>
    <m/>
    <n v="1"/>
    <s v="Home"/>
    <m/>
    <m/>
    <m/>
    <m/>
    <s v=""/>
    <s v="Doncaster Rovers-"/>
    <s v=""/>
    <s v="Doncaster Rovers-"/>
  </r>
  <r>
    <s v="L1_0520"/>
    <x v="59"/>
    <x v="5"/>
    <s v="Burton Albion"/>
    <m/>
    <m/>
    <m/>
    <m/>
    <m/>
    <m/>
    <n v="1"/>
    <s v="Home"/>
    <m/>
    <m/>
    <m/>
    <m/>
    <s v=""/>
    <s v="Huddersfield Town-"/>
    <s v=""/>
    <s v="Huddersfield Town-"/>
  </r>
  <r>
    <s v="L1_0521"/>
    <x v="59"/>
    <x v="16"/>
    <s v="Blackpool"/>
    <m/>
    <m/>
    <m/>
    <m/>
    <m/>
    <m/>
    <n v="1"/>
    <s v="Home"/>
    <m/>
    <m/>
    <m/>
    <m/>
    <s v=""/>
    <s v="Leicester City-"/>
    <s v=""/>
    <s v="Leicester City-"/>
  </r>
  <r>
    <s v="L1_0522"/>
    <x v="59"/>
    <x v="7"/>
    <s v="Wigan Athletic"/>
    <m/>
    <m/>
    <m/>
    <m/>
    <m/>
    <m/>
    <n v="1"/>
    <s v="Home"/>
    <m/>
    <m/>
    <m/>
    <m/>
    <s v=""/>
    <s v="Mansfield Town-"/>
    <s v=""/>
    <s v="Mansfield Town-"/>
  </r>
  <r>
    <s v="L1_0523"/>
    <x v="59"/>
    <x v="18"/>
    <s v="Barnsley"/>
    <m/>
    <m/>
    <m/>
    <m/>
    <m/>
    <m/>
    <n v="1"/>
    <s v="Home"/>
    <m/>
    <m/>
    <m/>
    <m/>
    <s v=""/>
    <s v="Milton Keynes Dons-"/>
    <s v=""/>
    <s v="Milton Keynes Dons-"/>
  </r>
  <r>
    <s v="L1_0524"/>
    <x v="59"/>
    <x v="8"/>
    <s v="Peterborough United"/>
    <m/>
    <m/>
    <m/>
    <m/>
    <m/>
    <m/>
    <n v="1"/>
    <s v="Home"/>
    <m/>
    <m/>
    <m/>
    <m/>
    <s v=""/>
    <s v="Notts County-"/>
    <s v=""/>
    <s v="Notts County-"/>
  </r>
  <r>
    <s v="L1_0525"/>
    <x v="59"/>
    <x v="10"/>
    <s v="Leyton Orient"/>
    <m/>
    <m/>
    <m/>
    <m/>
    <m/>
    <m/>
    <n v="1"/>
    <s v="Home"/>
    <m/>
    <m/>
    <m/>
    <m/>
    <s v=""/>
    <s v="Plymouth Argyle-"/>
    <s v=""/>
    <s v="Plymouth Argyle-"/>
  </r>
  <r>
    <s v="L1_0526"/>
    <x v="59"/>
    <x v="20"/>
    <s v="AFC Wimbledon"/>
    <m/>
    <m/>
    <m/>
    <m/>
    <m/>
    <m/>
    <n v="1"/>
    <s v="Home"/>
    <m/>
    <m/>
    <m/>
    <m/>
    <s v=""/>
    <s v="Stevenage-"/>
    <s v=""/>
    <s v="Stevenage-"/>
  </r>
  <r>
    <s v="L1_0527"/>
    <x v="59"/>
    <x v="21"/>
    <s v="Oxford United"/>
    <m/>
    <m/>
    <m/>
    <m/>
    <m/>
    <m/>
    <n v="1"/>
    <s v="Home"/>
    <m/>
    <m/>
    <m/>
    <m/>
    <s v=""/>
    <s v="Stockport County-"/>
    <s v=""/>
    <s v="Stockport County-"/>
  </r>
  <r>
    <s v="L1_0528"/>
    <x v="59"/>
    <x v="23"/>
    <s v="Bromley"/>
    <m/>
    <m/>
    <m/>
    <m/>
    <m/>
    <m/>
    <n v="1"/>
    <s v="Home"/>
    <m/>
    <m/>
    <m/>
    <m/>
    <s v=""/>
    <s v="Wycombe Wanderers-"/>
    <s v=""/>
    <s v="Wycombe Wanderers-"/>
  </r>
  <r>
    <s v="L1_0529"/>
    <x v="60"/>
    <x v="0"/>
    <s v="AFC Wimbledon"/>
    <m/>
    <m/>
    <m/>
    <m/>
    <m/>
    <m/>
    <n v="1"/>
    <s v="Home"/>
    <m/>
    <m/>
    <m/>
    <m/>
    <s v=""/>
    <s v="Barnsley-"/>
    <s v=""/>
    <s v="Barnsley-"/>
  </r>
  <r>
    <s v="L1_0530"/>
    <x v="60"/>
    <x v="1"/>
    <s v="Stevenage"/>
    <m/>
    <m/>
    <m/>
    <m/>
    <m/>
    <m/>
    <n v="1"/>
    <s v="Home"/>
    <m/>
    <m/>
    <m/>
    <m/>
    <s v=""/>
    <s v="Blackpool-"/>
    <s v=""/>
    <s v="Blackpool-"/>
  </r>
  <r>
    <s v="L1_0531"/>
    <x v="60"/>
    <x v="2"/>
    <s v="Wycombe Wanderers"/>
    <m/>
    <m/>
    <m/>
    <m/>
    <m/>
    <m/>
    <n v="1"/>
    <s v="Home"/>
    <m/>
    <m/>
    <m/>
    <m/>
    <s v=""/>
    <s v="Bradford City-"/>
    <s v=""/>
    <s v="Bradford City-"/>
  </r>
  <r>
    <s v="L1_0532"/>
    <x v="60"/>
    <x v="3"/>
    <s v="Bromley"/>
    <m/>
    <m/>
    <m/>
    <m/>
    <m/>
    <m/>
    <n v="1"/>
    <s v="Home"/>
    <m/>
    <m/>
    <m/>
    <m/>
    <s v=""/>
    <s v="Burton Albion-"/>
    <s v=""/>
    <s v="Burton Albion-"/>
  </r>
  <r>
    <s v="L1_0533"/>
    <x v="60"/>
    <x v="4"/>
    <s v="Luton Town"/>
    <m/>
    <m/>
    <m/>
    <m/>
    <m/>
    <m/>
    <n v="1"/>
    <s v="Home"/>
    <m/>
    <m/>
    <m/>
    <m/>
    <s v=""/>
    <s v="Cambridge United-"/>
    <s v=""/>
    <s v="Cambridge United-"/>
  </r>
  <r>
    <s v="L1_0534"/>
    <x v="60"/>
    <x v="5"/>
    <s v="Doncaster Rovers"/>
    <m/>
    <m/>
    <m/>
    <m/>
    <m/>
    <m/>
    <n v="1"/>
    <s v="Home"/>
    <m/>
    <m/>
    <m/>
    <m/>
    <s v=""/>
    <s v="Huddersfield Town-"/>
    <s v=""/>
    <s v="Huddersfield Town-"/>
  </r>
  <r>
    <s v="L1_0535"/>
    <x v="60"/>
    <x v="6"/>
    <s v="Stockport County"/>
    <m/>
    <m/>
    <m/>
    <m/>
    <m/>
    <m/>
    <n v="1"/>
    <s v="Home"/>
    <m/>
    <m/>
    <m/>
    <m/>
    <s v=""/>
    <s v="Leyton Orient-"/>
    <s v=""/>
    <s v="Leyton Orient-"/>
  </r>
  <r>
    <s v="L1_0536"/>
    <x v="60"/>
    <x v="7"/>
    <s v="Leicester City"/>
    <m/>
    <m/>
    <m/>
    <m/>
    <m/>
    <m/>
    <n v="1"/>
    <s v="Home"/>
    <m/>
    <m/>
    <m/>
    <m/>
    <s v=""/>
    <s v="Mansfield Town-"/>
    <s v=""/>
    <s v="Mansfield Town-"/>
  </r>
  <r>
    <s v="L1_0537"/>
    <x v="60"/>
    <x v="8"/>
    <s v="Milton Keynes Dons"/>
    <m/>
    <m/>
    <m/>
    <m/>
    <m/>
    <m/>
    <n v="1"/>
    <s v="Home"/>
    <m/>
    <m/>
    <m/>
    <m/>
    <s v=""/>
    <s v="Notts County-"/>
    <s v=""/>
    <s v="Notts County-"/>
  </r>
  <r>
    <s v="L1_0538"/>
    <x v="60"/>
    <x v="9"/>
    <s v="Peterborough United"/>
    <m/>
    <m/>
    <m/>
    <m/>
    <m/>
    <m/>
    <n v="1"/>
    <s v="Home"/>
    <m/>
    <m/>
    <m/>
    <m/>
    <s v=""/>
    <s v="Oxford United-"/>
    <s v=""/>
    <s v="Oxford United-"/>
  </r>
  <r>
    <s v="L1_0539"/>
    <x v="60"/>
    <x v="10"/>
    <s v="Wigan Athletic"/>
    <m/>
    <m/>
    <m/>
    <m/>
    <m/>
    <m/>
    <n v="1"/>
    <s v="Home"/>
    <m/>
    <m/>
    <m/>
    <m/>
    <s v=""/>
    <s v="Plymouth Argyle-"/>
    <s v=""/>
    <s v="Plymouth Argyle-"/>
  </r>
  <r>
    <s v="L1_0540"/>
    <x v="60"/>
    <x v="11"/>
    <s v="Sheffield Wednesday"/>
    <m/>
    <m/>
    <m/>
    <m/>
    <m/>
    <m/>
    <n v="1"/>
    <s v="Home"/>
    <m/>
    <m/>
    <m/>
    <m/>
    <s v=""/>
    <s v="Reading-"/>
    <s v=""/>
    <s v="Reading-"/>
  </r>
  <r>
    <s v="L1_0541"/>
    <x v="61"/>
    <x v="13"/>
    <s v="Notts County"/>
    <m/>
    <m/>
    <m/>
    <m/>
    <m/>
    <m/>
    <n v="1"/>
    <s v="Home"/>
    <m/>
    <m/>
    <m/>
    <m/>
    <s v=""/>
    <s v="AFC Wimbledon-"/>
    <s v=""/>
    <s v="AFC Wimbledon-"/>
  </r>
  <r>
    <s v="L1_0542"/>
    <x v="61"/>
    <x v="14"/>
    <s v="Plymouth Argyle"/>
    <m/>
    <m/>
    <m/>
    <m/>
    <m/>
    <m/>
    <n v="1"/>
    <s v="Home"/>
    <m/>
    <m/>
    <m/>
    <m/>
    <s v=""/>
    <s v="Bromley-"/>
    <s v=""/>
    <s v="Bromley-"/>
  </r>
  <r>
    <s v="L1_0543"/>
    <x v="61"/>
    <x v="15"/>
    <s v="Reading"/>
    <m/>
    <m/>
    <m/>
    <m/>
    <m/>
    <m/>
    <n v="1"/>
    <s v="Home"/>
    <m/>
    <m/>
    <m/>
    <m/>
    <s v=""/>
    <s v="Doncaster Rovers-"/>
    <s v=""/>
    <s v="Doncaster Rovers-"/>
  </r>
  <r>
    <s v="L1_0544"/>
    <x v="61"/>
    <x v="16"/>
    <s v="Cambridge United"/>
    <m/>
    <m/>
    <m/>
    <m/>
    <m/>
    <m/>
    <n v="1"/>
    <s v="Home"/>
    <m/>
    <m/>
    <m/>
    <m/>
    <s v=""/>
    <s v="Leicester City-"/>
    <s v=""/>
    <s v="Leicester City-"/>
  </r>
  <r>
    <s v="L1_0545"/>
    <x v="61"/>
    <x v="17"/>
    <s v="Blackpool"/>
    <m/>
    <m/>
    <m/>
    <m/>
    <m/>
    <m/>
    <n v="1"/>
    <s v="Home"/>
    <m/>
    <m/>
    <m/>
    <m/>
    <s v=""/>
    <s v="Luton Town-"/>
    <s v=""/>
    <s v="Luton Town-"/>
  </r>
  <r>
    <s v="L1_0546"/>
    <x v="61"/>
    <x v="18"/>
    <s v="Bradford City"/>
    <m/>
    <m/>
    <m/>
    <m/>
    <m/>
    <m/>
    <n v="1"/>
    <s v="Home"/>
    <m/>
    <m/>
    <m/>
    <m/>
    <s v=""/>
    <s v="Milton Keynes Dons-"/>
    <s v=""/>
    <s v="Milton Keynes Dons-"/>
  </r>
  <r>
    <s v="L1_0547"/>
    <x v="61"/>
    <x v="19"/>
    <s v="Leyton Orient"/>
    <m/>
    <m/>
    <m/>
    <m/>
    <m/>
    <m/>
    <n v="1"/>
    <s v="Home"/>
    <m/>
    <m/>
    <m/>
    <m/>
    <s v=""/>
    <s v="Peterborough United-"/>
    <s v=""/>
    <s v="Peterborough United-"/>
  </r>
  <r>
    <s v="L1_0548"/>
    <x v="61"/>
    <x v="12"/>
    <s v="Oxford United"/>
    <m/>
    <m/>
    <m/>
    <m/>
    <m/>
    <m/>
    <n v="1"/>
    <s v="Home"/>
    <m/>
    <m/>
    <m/>
    <m/>
    <s v=""/>
    <s v="Sheffield Wednesday-"/>
    <s v=""/>
    <s v="Sheffield Wednesday-"/>
  </r>
  <r>
    <s v="L1_0549"/>
    <x v="61"/>
    <x v="20"/>
    <s v="Huddersfield Town"/>
    <m/>
    <m/>
    <m/>
    <m/>
    <m/>
    <m/>
    <n v="1"/>
    <s v="Home"/>
    <m/>
    <m/>
    <m/>
    <m/>
    <s v=""/>
    <s v="Stevenage-"/>
    <s v=""/>
    <s v="Stevenage-"/>
  </r>
  <r>
    <s v="L1_0550"/>
    <x v="61"/>
    <x v="21"/>
    <s v="Mansfield Town"/>
    <m/>
    <m/>
    <m/>
    <m/>
    <m/>
    <m/>
    <n v="1"/>
    <s v="Home"/>
    <m/>
    <m/>
    <m/>
    <m/>
    <s v=""/>
    <s v="Stockport County-"/>
    <s v=""/>
    <s v="Stockport County-"/>
  </r>
  <r>
    <s v="L1_0551"/>
    <x v="61"/>
    <x v="22"/>
    <s v="Burton Albion"/>
    <m/>
    <m/>
    <m/>
    <m/>
    <m/>
    <m/>
    <n v="1"/>
    <s v="Home"/>
    <m/>
    <m/>
    <m/>
    <m/>
    <s v=""/>
    <s v="Wigan Athletic-"/>
    <s v=""/>
    <s v="Wigan Athletic-"/>
  </r>
  <r>
    <s v="L1_0552"/>
    <x v="61"/>
    <x v="23"/>
    <s v="Barnsley"/>
    <m/>
    <m/>
    <m/>
    <m/>
    <m/>
    <m/>
    <n v="1"/>
    <s v="Home"/>
    <m/>
    <m/>
    <m/>
    <m/>
    <s v=""/>
    <s v="Wycombe Wanderers-"/>
    <s v=""/>
    <s v="Wycombe Wanderers-"/>
  </r>
  <r>
    <s v="L1_0001"/>
    <x v="0"/>
    <x v="14"/>
    <s v="Barnsley"/>
    <n v="1.42"/>
    <n v="1.32"/>
    <n v="1"/>
    <n v="0"/>
    <n v="2.74"/>
    <n v="1"/>
    <n v="1"/>
    <s v="Away"/>
    <n v="9.9999999999999867E-2"/>
    <n v="1"/>
    <n v="-0.41999999999999993"/>
    <s v="Win"/>
    <n v="6"/>
    <s v="Bromley-6"/>
    <n v="1"/>
    <s v="Bromley-1"/>
  </r>
  <r>
    <s v="L1_0002"/>
    <x v="0"/>
    <x v="23"/>
    <s v="Blackpool"/>
    <n v="1.29"/>
    <n v="2.37"/>
    <n v="1"/>
    <n v="1"/>
    <n v="3.66"/>
    <n v="2"/>
    <n v="1"/>
    <s v="Away"/>
    <n v="-1.08"/>
    <n v="0"/>
    <n v="-0.29000000000000004"/>
    <s v="Draw"/>
    <n v="6"/>
    <s v="Wycombe Wanderers-6"/>
    <n v="1"/>
    <s v="Wycombe Wanderers-1"/>
  </r>
  <r>
    <s v="L1_0003"/>
    <x v="0"/>
    <x v="19"/>
    <s v="Bradford City"/>
    <n v="1.1100000000000001"/>
    <n v="1.97"/>
    <n v="0"/>
    <n v="2"/>
    <n v="3.08"/>
    <n v="2"/>
    <n v="1"/>
    <s v="Away"/>
    <n v="-0.85999999999999988"/>
    <n v="-2"/>
    <n v="-1.1100000000000001"/>
    <s v="Loss"/>
    <n v="6"/>
    <s v="Peterborough United-6"/>
    <n v="1"/>
    <s v="Peterborough United-1"/>
  </r>
  <r>
    <s v="L1_0004"/>
    <x v="0"/>
    <x v="20"/>
    <s v="Burton Albion"/>
    <n v="0.53"/>
    <n v="0.94"/>
    <n v="1"/>
    <n v="1"/>
    <n v="1.47"/>
    <n v="2"/>
    <n v="1"/>
    <s v="Away"/>
    <n v="-0.40999999999999992"/>
    <n v="0"/>
    <n v="0.47"/>
    <s v="Draw"/>
    <n v="6"/>
    <s v="Stevenage-6"/>
    <n v="1"/>
    <s v="Stevenage-1"/>
  </r>
  <r>
    <s v="L1_0005"/>
    <x v="0"/>
    <x v="22"/>
    <s v="Cambridge United"/>
    <n v="2.2000000000000002"/>
    <n v="1.74"/>
    <n v="2"/>
    <n v="3"/>
    <n v="3.9400000000000004"/>
    <n v="5"/>
    <n v="1"/>
    <s v="Away"/>
    <n v="0.46000000000000019"/>
    <n v="-1"/>
    <n v="-0.20000000000000018"/>
    <s v="Loss"/>
    <n v="6"/>
    <s v="Wigan Athletic-6"/>
    <n v="1"/>
    <s v="Wigan Athletic-1"/>
  </r>
  <r>
    <s v="L1_0006"/>
    <x v="0"/>
    <x v="13"/>
    <s v="Huddersfield Town"/>
    <n v="0.38"/>
    <n v="1.24"/>
    <n v="0"/>
    <n v="3"/>
    <n v="1.62"/>
    <n v="3"/>
    <n v="1"/>
    <s v="Away"/>
    <n v="-0.86"/>
    <n v="-3"/>
    <n v="-0.38"/>
    <s v="Loss"/>
    <n v="6"/>
    <s v="AFC Wimbledon-6"/>
    <n v="1"/>
    <s v="AFC Wimbledon-1"/>
  </r>
  <r>
    <s v="L1_0007"/>
    <x v="0"/>
    <x v="12"/>
    <s v="Leyton Orient"/>
    <n v="2.84"/>
    <n v="1.38"/>
    <n v="2"/>
    <n v="1"/>
    <n v="4.22"/>
    <n v="3"/>
    <n v="1"/>
    <s v="Away"/>
    <n v="1.46"/>
    <n v="1"/>
    <n v="-0.83999999999999986"/>
    <s v="Win"/>
    <n v="6"/>
    <s v="Sheffield Wednesday-6"/>
    <n v="1"/>
    <s v="Sheffield Wednesday-1"/>
  </r>
  <r>
    <s v="L1_0008"/>
    <x v="0"/>
    <x v="15"/>
    <s v="Mansfield Town"/>
    <n v="1.06"/>
    <n v="1.44"/>
    <n v="1"/>
    <n v="2"/>
    <n v="2.5"/>
    <n v="3"/>
    <n v="1"/>
    <s v="Away"/>
    <n v="-0.37999999999999989"/>
    <n v="-1"/>
    <n v="-6.0000000000000053E-2"/>
    <s v="Loss"/>
    <n v="6"/>
    <s v="Doncaster Rovers-6"/>
    <n v="1"/>
    <s v="Doncaster Rovers-1"/>
  </r>
  <r>
    <s v="L1_0009"/>
    <x v="0"/>
    <x v="16"/>
    <s v="Notts County"/>
    <n v="0.74"/>
    <n v="2.1800000000000002"/>
    <n v="1"/>
    <n v="1"/>
    <n v="2.92"/>
    <n v="2"/>
    <n v="1"/>
    <s v="Away"/>
    <n v="-1.4400000000000002"/>
    <n v="0"/>
    <n v="0.26"/>
    <s v="Draw"/>
    <n v="6"/>
    <s v="Leicester City-6"/>
    <n v="1"/>
    <s v="Leicester City-1"/>
  </r>
  <r>
    <s v="L1_0010"/>
    <x v="0"/>
    <x v="18"/>
    <s v="Oxford United"/>
    <n v="2.2000000000000002"/>
    <n v="1.83"/>
    <n v="2"/>
    <n v="2"/>
    <n v="4.03"/>
    <n v="4"/>
    <n v="1"/>
    <s v="Away"/>
    <n v="0.37000000000000011"/>
    <n v="0"/>
    <n v="-0.20000000000000018"/>
    <s v="Draw"/>
    <n v="6"/>
    <s v="Milton Keynes Dons-6"/>
    <n v="1"/>
    <s v="Milton Keynes Dons-1"/>
  </r>
  <r>
    <s v="L1_0011"/>
    <x v="0"/>
    <x v="21"/>
    <s v="Plymouth Argyle"/>
    <n v="1.81"/>
    <n v="0.92"/>
    <n v="3"/>
    <n v="1"/>
    <n v="2.73"/>
    <n v="4"/>
    <n v="1"/>
    <s v="Away"/>
    <n v="0.89"/>
    <n v="2"/>
    <n v="1.19"/>
    <s v="Win"/>
    <n v="6"/>
    <s v="Stockport County-6"/>
    <n v="1"/>
    <s v="Stockport County-1"/>
  </r>
  <r>
    <s v="L1_0012"/>
    <x v="0"/>
    <x v="17"/>
    <s v="Reading"/>
    <n v="1.65"/>
    <n v="1.61"/>
    <n v="4"/>
    <n v="3"/>
    <n v="3.26"/>
    <n v="7"/>
    <n v="1"/>
    <s v="Away"/>
    <n v="3.9999999999999813E-2"/>
    <n v="1"/>
    <n v="2.35"/>
    <s v="Win"/>
    <n v="6"/>
    <s v="Luton Town-6"/>
    <n v="1"/>
    <s v="Luton Town-1"/>
  </r>
  <r>
    <s v="L1_0013"/>
    <x v="1"/>
    <x v="2"/>
    <s v="Sheffield Wednesday"/>
    <n v="0.59"/>
    <n v="1.49"/>
    <n v="1"/>
    <n v="0"/>
    <n v="2.08"/>
    <n v="1"/>
    <n v="1"/>
    <s v="Away"/>
    <n v="-0.9"/>
    <n v="1"/>
    <n v="0.41000000000000003"/>
    <s v="Win"/>
    <n v="5"/>
    <s v="Bradford City-5"/>
    <n v="2"/>
    <s v="Bradford City-2"/>
  </r>
  <r>
    <s v="L1_0014"/>
    <x v="2"/>
    <x v="11"/>
    <s v="AFC Wimbledon"/>
    <n v="1.28"/>
    <n v="0.37"/>
    <n v="0"/>
    <n v="0"/>
    <n v="1.65"/>
    <n v="0"/>
    <n v="1"/>
    <s v="Away"/>
    <n v="0.91"/>
    <n v="0"/>
    <n v="-1.28"/>
    <s v="Draw"/>
    <n v="4"/>
    <s v="Reading-4"/>
    <n v="2"/>
    <s v="Reading-2"/>
  </r>
  <r>
    <s v="L1_0015"/>
    <x v="2"/>
    <x v="4"/>
    <s v="Bromley"/>
    <n v="0.59"/>
    <n v="0.57999999999999996"/>
    <n v="1"/>
    <n v="1"/>
    <n v="1.17"/>
    <n v="2"/>
    <n v="1"/>
    <s v="Away"/>
    <n v="1.0000000000000009E-2"/>
    <n v="0"/>
    <n v="0.41000000000000003"/>
    <s v="Draw"/>
    <n v="5"/>
    <s v="Cambridge United-5"/>
    <n v="2"/>
    <s v="Cambridge United-2"/>
  </r>
  <r>
    <s v="L1_0016"/>
    <x v="2"/>
    <x v="0"/>
    <s v="Doncaster Rovers"/>
    <n v="0.45"/>
    <n v="1.82"/>
    <n v="0"/>
    <n v="0"/>
    <n v="2.27"/>
    <n v="0"/>
    <n v="1"/>
    <s v="Away"/>
    <n v="-1.37"/>
    <n v="0"/>
    <n v="-0.45"/>
    <s v="Draw"/>
    <n v="5"/>
    <s v="Barnsley-5"/>
    <n v="2"/>
    <s v="Barnsley-2"/>
  </r>
  <r>
    <s v="L1_0017"/>
    <x v="2"/>
    <x v="3"/>
    <s v="Leicester City"/>
    <n v="0.81"/>
    <n v="1.31"/>
    <n v="2"/>
    <n v="1"/>
    <n v="2.12"/>
    <n v="3"/>
    <n v="1"/>
    <s v="Away"/>
    <n v="-0.5"/>
    <n v="1"/>
    <n v="1.19"/>
    <s v="Win"/>
    <n v="5"/>
    <s v="Burton Albion-5"/>
    <n v="2"/>
    <s v="Burton Albion-2"/>
  </r>
  <r>
    <s v="L1_0018"/>
    <x v="2"/>
    <x v="8"/>
    <s v="Luton Town"/>
    <n v="0.76"/>
    <n v="1.85"/>
    <n v="2"/>
    <n v="2"/>
    <n v="2.6100000000000003"/>
    <n v="4"/>
    <n v="1"/>
    <s v="Away"/>
    <n v="-1.0900000000000001"/>
    <n v="0"/>
    <n v="1.24"/>
    <s v="Draw"/>
    <n v="5"/>
    <s v="Notts County-5"/>
    <n v="2"/>
    <s v="Notts County-2"/>
  </r>
  <r>
    <s v="L1_0019"/>
    <x v="2"/>
    <x v="5"/>
    <s v="Milton Keynes Dons"/>
    <n v="2.2799999999999998"/>
    <n v="1.54"/>
    <n v="1"/>
    <n v="1"/>
    <n v="3.82"/>
    <n v="2"/>
    <n v="1"/>
    <s v="Away"/>
    <n v="0.73999999999999977"/>
    <n v="0"/>
    <n v="-1.2799999999999998"/>
    <s v="Draw"/>
    <n v="5"/>
    <s v="Huddersfield Town-5"/>
    <n v="2"/>
    <s v="Huddersfield Town-2"/>
  </r>
  <r>
    <s v="L1_0020"/>
    <x v="2"/>
    <x v="7"/>
    <s v="Peterborough United"/>
    <n v="1.25"/>
    <n v="1.39"/>
    <n v="1"/>
    <n v="2"/>
    <n v="2.6399999999999997"/>
    <n v="3"/>
    <n v="1"/>
    <s v="Away"/>
    <n v="-0.1399999999999999"/>
    <n v="-1"/>
    <n v="-0.25"/>
    <s v="Loss"/>
    <n v="5"/>
    <s v="Mansfield Town-5"/>
    <n v="2"/>
    <s v="Mansfield Town-2"/>
  </r>
  <r>
    <s v="L1_0021"/>
    <x v="2"/>
    <x v="9"/>
    <s v="Stevenage"/>
    <n v="1.36"/>
    <n v="1.17"/>
    <n v="2"/>
    <n v="1"/>
    <n v="2.5300000000000002"/>
    <n v="3"/>
    <n v="1"/>
    <s v="Away"/>
    <n v="0.19000000000000017"/>
    <n v="1"/>
    <n v="0.6399999999999999"/>
    <s v="Win"/>
    <n v="4"/>
    <s v="Oxford United-4"/>
    <n v="2"/>
    <s v="Oxford United-2"/>
  </r>
  <r>
    <s v="L1_0022"/>
    <x v="2"/>
    <x v="1"/>
    <s v="Stockport County"/>
    <n v="1.79"/>
    <n v="3.54"/>
    <n v="2"/>
    <n v="1"/>
    <n v="5.33"/>
    <n v="3"/>
    <n v="1"/>
    <s v="Away"/>
    <n v="-1.75"/>
    <n v="1"/>
    <n v="0.20999999999999996"/>
    <s v="Win"/>
    <n v="5"/>
    <s v="Blackpool-5"/>
    <n v="2"/>
    <s v="Blackpool-2"/>
  </r>
  <r>
    <s v="L1_0023"/>
    <x v="2"/>
    <x v="6"/>
    <s v="Wigan Athletic"/>
    <n v="1.25"/>
    <n v="1.6"/>
    <n v="2"/>
    <n v="0"/>
    <n v="2.85"/>
    <n v="2"/>
    <n v="1"/>
    <s v="Away"/>
    <n v="-0.35000000000000009"/>
    <n v="2"/>
    <n v="0.75"/>
    <s v="Win"/>
    <n v="5"/>
    <s v="Leyton Orient-5"/>
    <n v="2"/>
    <s v="Leyton Orient-2"/>
  </r>
  <r>
    <s v="L1_0024"/>
    <x v="2"/>
    <x v="10"/>
    <s v="Wycombe Wanderers"/>
    <n v="0.76"/>
    <n v="1.89"/>
    <n v="1"/>
    <n v="1"/>
    <n v="2.65"/>
    <n v="2"/>
    <n v="1"/>
    <s v="Away"/>
    <n v="-1.1299999999999999"/>
    <n v="0"/>
    <n v="0.24"/>
    <s v="Draw"/>
    <n v="5"/>
    <s v="Plymouth Argyle-5"/>
    <n v="2"/>
    <s v="Plymouth Argyle-2"/>
  </r>
  <r>
    <s v="L1_0025"/>
    <x v="3"/>
    <x v="19"/>
    <s v="Blackpool"/>
    <n v="1.72"/>
    <n v="2.73"/>
    <n v="0"/>
    <n v="4"/>
    <n v="4.45"/>
    <n v="4"/>
    <n v="1"/>
    <s v="Away"/>
    <n v="-1.01"/>
    <n v="-4"/>
    <n v="-1.72"/>
    <s v="Loss"/>
    <n v="4"/>
    <s v="Peterborough United-4"/>
    <n v="3"/>
    <s v="Peterborough United-3"/>
  </r>
  <r>
    <s v="L1_0026"/>
    <x v="3"/>
    <x v="5"/>
    <s v="Cambridge United"/>
    <n v="1.1299999999999999"/>
    <n v="1.22"/>
    <n v="2"/>
    <n v="1"/>
    <n v="2.3499999999999996"/>
    <n v="3"/>
    <n v="1"/>
    <s v="Away"/>
    <n v="-9.000000000000008E-2"/>
    <n v="1"/>
    <n v="0.87000000000000011"/>
    <s v="Win"/>
    <n v="4"/>
    <s v="Huddersfield Town-4"/>
    <n v="3"/>
    <s v="Huddersfield Town-3"/>
  </r>
  <r>
    <s v="L1_0027"/>
    <x v="3"/>
    <x v="0"/>
    <s v="Leyton Orient"/>
    <n v="1.99"/>
    <n v="0.73"/>
    <n v="3"/>
    <n v="1"/>
    <n v="2.7199999999999998"/>
    <n v="4"/>
    <n v="1"/>
    <s v="Away"/>
    <n v="1.26"/>
    <n v="2"/>
    <n v="1.01"/>
    <s v="Win"/>
    <n v="4"/>
    <s v="Barnsley-4"/>
    <n v="3"/>
    <s v="Barnsley-3"/>
  </r>
  <r>
    <s v="L1_0028"/>
    <x v="3"/>
    <x v="16"/>
    <s v="Milton Keynes Dons"/>
    <n v="1.53"/>
    <n v="0.56999999999999995"/>
    <n v="0"/>
    <n v="0"/>
    <n v="2.1"/>
    <n v="0"/>
    <n v="1"/>
    <s v="Away"/>
    <n v="0.96000000000000008"/>
    <n v="0"/>
    <n v="-1.53"/>
    <s v="Draw"/>
    <n v="4"/>
    <s v="Leicester City-4"/>
    <n v="3"/>
    <s v="Leicester City-3"/>
  </r>
  <r>
    <s v="L1_0029"/>
    <x v="3"/>
    <x v="3"/>
    <s v="Notts County"/>
    <n v="0.11"/>
    <n v="2.29"/>
    <n v="1"/>
    <n v="2"/>
    <n v="2.4"/>
    <n v="3"/>
    <n v="1"/>
    <s v="Away"/>
    <n v="-2.1800000000000002"/>
    <n v="-1"/>
    <n v="0.89"/>
    <s v="Loss"/>
    <n v="4"/>
    <s v="Burton Albion-4"/>
    <n v="3"/>
    <s v="Burton Albion-3"/>
  </r>
  <r>
    <s v="L1_0030"/>
    <x v="3"/>
    <x v="2"/>
    <s v="Plymouth Argyle"/>
    <n v="0.9"/>
    <n v="1.1599999999999999"/>
    <n v="0"/>
    <n v="2"/>
    <n v="2.06"/>
    <n v="2"/>
    <n v="1"/>
    <s v="Away"/>
    <n v="-0.2599999999999999"/>
    <n v="-2"/>
    <n v="-0.9"/>
    <s v="Loss"/>
    <n v="4"/>
    <s v="Bradford City-4"/>
    <n v="3"/>
    <s v="Bradford City-3"/>
  </r>
  <r>
    <s v="L1_0031"/>
    <x v="3"/>
    <x v="14"/>
    <s v="Sheffield Wednesday"/>
    <n v="1.5"/>
    <n v="4.5199999999999996"/>
    <n v="2"/>
    <n v="7"/>
    <n v="6.02"/>
    <n v="9"/>
    <n v="1"/>
    <s v="Away"/>
    <n v="-3.0199999999999996"/>
    <n v="-5"/>
    <n v="0.5"/>
    <s v="Loss"/>
    <n v="4"/>
    <s v="Bromley-4"/>
    <n v="3"/>
    <s v="Bromley-3"/>
  </r>
  <r>
    <s v="L1_0032"/>
    <x v="3"/>
    <x v="15"/>
    <s v="Stevenage"/>
    <n v="0.65"/>
    <n v="0.47"/>
    <n v="2"/>
    <n v="2"/>
    <n v="1.1200000000000001"/>
    <n v="4"/>
    <n v="1"/>
    <s v="Away"/>
    <n v="0.18000000000000005"/>
    <n v="0"/>
    <n v="1.35"/>
    <s v="Draw"/>
    <n v="4"/>
    <s v="Doncaster Rovers-4"/>
    <n v="3"/>
    <s v="Doncaster Rovers-3"/>
  </r>
  <r>
    <s v="L1_0033"/>
    <x v="3"/>
    <x v="23"/>
    <s v="Stockport County"/>
    <n v="0.94"/>
    <n v="1.34"/>
    <n v="1"/>
    <n v="5"/>
    <n v="2.2800000000000002"/>
    <n v="6"/>
    <n v="1"/>
    <s v="Away"/>
    <n v="-0.40000000000000013"/>
    <n v="-4"/>
    <n v="6.0000000000000053E-2"/>
    <s v="Loss"/>
    <n v="4"/>
    <s v="Wycombe Wanderers-4"/>
    <n v="3"/>
    <s v="Wycombe Wanderers-3"/>
  </r>
  <r>
    <s v="L1_0034"/>
    <x v="4"/>
    <x v="22"/>
    <s v="AFC Wimbledon"/>
    <n v="2.99"/>
    <n v="0.72"/>
    <n v="0"/>
    <n v="1"/>
    <n v="3.71"/>
    <n v="1"/>
    <n v="1"/>
    <s v="Away"/>
    <n v="2.2700000000000005"/>
    <n v="-1"/>
    <n v="-2.99"/>
    <s v="Loss"/>
    <n v="4"/>
    <s v="Wigan Athletic-4"/>
    <n v="3"/>
    <s v="Wigan Athletic-3"/>
  </r>
  <r>
    <s v="L1_0035"/>
    <x v="4"/>
    <x v="17"/>
    <s v="Mansfield Town"/>
    <n v="1.35"/>
    <n v="1.37"/>
    <n v="2"/>
    <n v="5"/>
    <n v="2.72"/>
    <n v="7"/>
    <n v="1"/>
    <s v="Away"/>
    <n v="-2.0000000000000018E-2"/>
    <n v="-3"/>
    <n v="0.64999999999999991"/>
    <s v="Loss"/>
    <n v="4"/>
    <s v="Luton Town-4"/>
    <n v="3"/>
    <s v="Luton Town-3"/>
  </r>
  <r>
    <s v="L1_0036"/>
    <x v="5"/>
    <x v="4"/>
    <s v="Bradford City"/>
    <n v="0.44"/>
    <n v="2.1800000000000002"/>
    <n v="2"/>
    <n v="1"/>
    <n v="2.62"/>
    <n v="3"/>
    <n v="1"/>
    <s v="Away"/>
    <n v="-1.7400000000000002"/>
    <n v="1"/>
    <n v="1.56"/>
    <s v="Win"/>
    <n v="3"/>
    <s v="Cambridge United-3"/>
    <n v="4"/>
    <s v="Cambridge United-4"/>
  </r>
  <r>
    <s v="L1_0037"/>
    <x v="5"/>
    <x v="6"/>
    <s v="Bromley"/>
    <n v="1.94"/>
    <n v="0.63"/>
    <n v="5"/>
    <n v="0"/>
    <n v="2.57"/>
    <n v="5"/>
    <n v="1"/>
    <s v="Away"/>
    <n v="1.31"/>
    <n v="5"/>
    <n v="3.06"/>
    <s v="Win"/>
    <n v="3"/>
    <s v="Leyton Orient-3"/>
    <n v="4"/>
    <s v="Leyton Orient-4"/>
  </r>
  <r>
    <s v="L1_0038"/>
    <x v="5"/>
    <x v="8"/>
    <s v="Doncaster Rovers"/>
    <n v="0.87"/>
    <n v="1.1200000000000001"/>
    <n v="1"/>
    <n v="1"/>
    <n v="1.9900000000000002"/>
    <n v="2"/>
    <n v="1"/>
    <s v="Away"/>
    <n v="-0.25000000000000011"/>
    <n v="0"/>
    <n v="0.13"/>
    <s v="Draw"/>
    <n v="3"/>
    <s v="Notts County-3"/>
    <n v="4"/>
    <s v="Notts County-4"/>
  </r>
  <r>
    <s v="L1_0039"/>
    <x v="5"/>
    <x v="9"/>
    <s v="Huddersfield Town"/>
    <n v="1.01"/>
    <n v="3.62"/>
    <n v="1"/>
    <n v="3"/>
    <n v="4.63"/>
    <n v="4"/>
    <n v="1"/>
    <s v="Away"/>
    <n v="-2.6100000000000003"/>
    <n v="-2"/>
    <n v="-1.0000000000000009E-2"/>
    <s v="Loss"/>
    <n v="3"/>
    <s v="Oxford United-3"/>
    <n v="3"/>
    <s v="Oxford United-3"/>
  </r>
  <r>
    <s v="L1_0040"/>
    <x v="5"/>
    <x v="10"/>
    <s v="Leicester City"/>
    <n v="1.1299999999999999"/>
    <n v="1.76"/>
    <n v="0"/>
    <n v="2"/>
    <n v="2.8899999999999997"/>
    <n v="2"/>
    <n v="1"/>
    <s v="Away"/>
    <n v="-0.63000000000000012"/>
    <n v="-2"/>
    <n v="-1.1299999999999999"/>
    <s v="Loss"/>
    <n v="3"/>
    <s v="Plymouth Argyle-3"/>
    <n v="4"/>
    <s v="Plymouth Argyle-4"/>
  </r>
  <r>
    <s v="L1_0041"/>
    <x v="5"/>
    <x v="20"/>
    <s v="Peterborough United"/>
    <n v="0.47"/>
    <n v="0.91"/>
    <n v="0"/>
    <n v="0"/>
    <n v="1.38"/>
    <n v="0"/>
    <n v="1"/>
    <s v="Away"/>
    <n v="-0.44000000000000006"/>
    <n v="0"/>
    <n v="-0.47"/>
    <s v="Draw"/>
    <n v="3"/>
    <s v="Stevenage-3"/>
    <n v="4"/>
    <s v="Stevenage-4"/>
  </r>
  <r>
    <s v="L1_0042"/>
    <x v="5"/>
    <x v="12"/>
    <s v="Wycombe Wanderers"/>
    <n v="2.56"/>
    <n v="1.02"/>
    <n v="2"/>
    <n v="1"/>
    <n v="3.58"/>
    <n v="3"/>
    <n v="1"/>
    <s v="Away"/>
    <n v="1.54"/>
    <n v="1"/>
    <n v="-0.56000000000000005"/>
    <s v="Win"/>
    <n v="3"/>
    <s v="Sheffield Wednesday-3"/>
    <n v="4"/>
    <s v="Sheffield Wednesday-4"/>
  </r>
  <r>
    <s v="L1_0043"/>
    <x v="6"/>
    <x v="1"/>
    <s v="Barnsley"/>
    <n v="2.4"/>
    <n v="1.97"/>
    <n v="1"/>
    <n v="2"/>
    <n v="4.37"/>
    <n v="3"/>
    <n v="1"/>
    <s v="Away"/>
    <n v="0.42999999999999994"/>
    <n v="-1"/>
    <n v="-1.4"/>
    <s v="Loss"/>
    <n v="3"/>
    <s v="Blackpool-3"/>
    <n v="4"/>
    <s v="Blackpool-4"/>
  </r>
  <r>
    <s v="L1_0044"/>
    <x v="6"/>
    <x v="13"/>
    <s v="Burton Albion"/>
    <n v="1.43"/>
    <n v="0.93"/>
    <n v="1"/>
    <n v="4"/>
    <n v="2.36"/>
    <n v="5"/>
    <n v="1"/>
    <s v="Away"/>
    <n v="0.49999999999999989"/>
    <n v="-3"/>
    <n v="-0.42999999999999994"/>
    <s v="Loss"/>
    <n v="3"/>
    <s v="AFC Wimbledon-3"/>
    <n v="4"/>
    <s v="AFC Wimbledon-4"/>
  </r>
  <r>
    <s v="L1_0045"/>
    <x v="6"/>
    <x v="21"/>
    <s v="Luton Town"/>
    <n v="0.84"/>
    <n v="1.4"/>
    <n v="0"/>
    <n v="2"/>
    <n v="2.2399999999999998"/>
    <n v="2"/>
    <n v="1"/>
    <s v="Away"/>
    <n v="-0.55999999999999994"/>
    <n v="-2"/>
    <n v="-0.84"/>
    <s v="Loss"/>
    <n v="3"/>
    <s v="Stockport County-3"/>
    <n v="4"/>
    <s v="Stockport County-4"/>
  </r>
  <r>
    <s v="L1_0046"/>
    <x v="6"/>
    <x v="7"/>
    <s v="Reading"/>
    <n v="2.8"/>
    <n v="2.35"/>
    <n v="0"/>
    <n v="5"/>
    <n v="5.15"/>
    <n v="5"/>
    <n v="1"/>
    <s v="Away"/>
    <n v="0.44999999999999973"/>
    <n v="-5"/>
    <n v="-2.8"/>
    <s v="Loss"/>
    <n v="3"/>
    <s v="Mansfield Town-3"/>
    <n v="4"/>
    <s v="Mansfield Town-4"/>
  </r>
  <r>
    <s v="L1_0047"/>
    <x v="6"/>
    <x v="18"/>
    <s v="Wigan Athletic"/>
    <n v="1.37"/>
    <n v="2.68"/>
    <n v="1"/>
    <n v="3"/>
    <n v="4.0500000000000007"/>
    <n v="4"/>
    <n v="1"/>
    <s v="Away"/>
    <n v="-1.31"/>
    <n v="-2"/>
    <n v="-0.37000000000000011"/>
    <s v="Loss"/>
    <n v="3"/>
    <s v="Milton Keynes Dons-3"/>
    <n v="4"/>
    <s v="Milton Keynes Dons-4"/>
  </r>
  <r>
    <s v="L1_0048"/>
    <x v="7"/>
    <x v="20"/>
    <s v="Barnsley"/>
    <n v="1.93"/>
    <n v="1.83"/>
    <n v="5"/>
    <n v="1"/>
    <n v="3.76"/>
    <n v="6"/>
    <n v="1"/>
    <s v="Away"/>
    <n v="9.9999999999999867E-2"/>
    <n v="4"/>
    <n v="3.0700000000000003"/>
    <s v="Win"/>
    <n v="2"/>
    <s v="Stevenage-2"/>
    <n v="5"/>
    <s v="Stevenage-5"/>
  </r>
  <r>
    <s v="L1_0049"/>
    <x v="7"/>
    <x v="7"/>
    <s v="Bradford City"/>
    <n v="0.48"/>
    <n v="1.03"/>
    <n v="0"/>
    <n v="1"/>
    <n v="1.51"/>
    <n v="1"/>
    <n v="1"/>
    <s v="Away"/>
    <n v="-0.55000000000000004"/>
    <n v="-1"/>
    <n v="-0.48"/>
    <s v="Loss"/>
    <n v="2"/>
    <s v="Mansfield Town-2"/>
    <n v="5"/>
    <s v="Mansfield Town-5"/>
  </r>
  <r>
    <s v="L1_0050"/>
    <x v="7"/>
    <x v="4"/>
    <s v="Burton Albion"/>
    <n v="0.9"/>
    <n v="2.31"/>
    <n v="2"/>
    <n v="2"/>
    <n v="3.21"/>
    <n v="4"/>
    <n v="1"/>
    <s v="Away"/>
    <n v="-1.4100000000000001"/>
    <n v="0"/>
    <n v="1.1000000000000001"/>
    <s v="Draw"/>
    <n v="2"/>
    <s v="Cambridge United-2"/>
    <n v="5"/>
    <s v="Cambridge United-5"/>
  </r>
  <r>
    <s v="L1_0051"/>
    <x v="7"/>
    <x v="10"/>
    <s v="Doncaster Rovers"/>
    <n v="2.65"/>
    <n v="2.33"/>
    <n v="3"/>
    <n v="2"/>
    <n v="4.9800000000000004"/>
    <n v="5"/>
    <n v="1"/>
    <s v="Away"/>
    <n v="0.31999999999999984"/>
    <n v="1"/>
    <n v="0.35000000000000009"/>
    <s v="Win"/>
    <n v="2"/>
    <s v="Plymouth Argyle-2"/>
    <n v="5"/>
    <s v="Plymouth Argyle-5"/>
  </r>
  <r>
    <s v="L1_0052"/>
    <x v="7"/>
    <x v="8"/>
    <s v="Huddersfield Town"/>
    <n v="1.24"/>
    <n v="1.41"/>
    <n v="1"/>
    <n v="1"/>
    <n v="2.65"/>
    <n v="2"/>
    <n v="1"/>
    <s v="Away"/>
    <n v="-0.16999999999999993"/>
    <n v="0"/>
    <n v="-0.24"/>
    <s v="Draw"/>
    <n v="2"/>
    <s v="Notts County-2"/>
    <n v="5"/>
    <s v="Notts County-5"/>
  </r>
  <r>
    <s v="L1_0053"/>
    <x v="7"/>
    <x v="9"/>
    <s v="Leicester City"/>
    <n v="2.31"/>
    <n v="1.03"/>
    <n v="4"/>
    <n v="0"/>
    <n v="3.34"/>
    <n v="4"/>
    <n v="1"/>
    <s v="Away"/>
    <n v="1.28"/>
    <n v="4"/>
    <n v="1.69"/>
    <s v="Win"/>
    <n v="2"/>
    <s v="Oxford United-2"/>
    <n v="4"/>
    <s v="Oxford United-4"/>
  </r>
  <r>
    <s v="L1_0054"/>
    <x v="7"/>
    <x v="6"/>
    <s v="Luton Town"/>
    <n v="0.56000000000000005"/>
    <n v="2.21"/>
    <n v="1"/>
    <n v="1"/>
    <n v="2.77"/>
    <n v="2"/>
    <n v="1"/>
    <s v="Away"/>
    <n v="-1.65"/>
    <n v="0"/>
    <n v="0.43999999999999995"/>
    <s v="Draw"/>
    <n v="2"/>
    <s v="Leyton Orient-2"/>
    <n v="5"/>
    <s v="Leyton Orient-5"/>
  </r>
  <r>
    <s v="L1_0055"/>
    <x v="7"/>
    <x v="12"/>
    <s v="Peterborough United"/>
    <n v="1.36"/>
    <n v="1.97"/>
    <n v="2"/>
    <n v="1"/>
    <n v="3.33"/>
    <n v="3"/>
    <n v="1"/>
    <s v="Away"/>
    <n v="-0.60999999999999988"/>
    <n v="1"/>
    <n v="0.6399999999999999"/>
    <s v="Win"/>
    <n v="2"/>
    <s v="Sheffield Wednesday-2"/>
    <n v="5"/>
    <s v="Sheffield Wednesday-5"/>
  </r>
  <r>
    <s v="L1_0056"/>
    <x v="7"/>
    <x v="1"/>
    <s v="Reading"/>
    <n v="0.51"/>
    <n v="3.5"/>
    <n v="1"/>
    <n v="3"/>
    <n v="4.01"/>
    <n v="4"/>
    <n v="1"/>
    <s v="Away"/>
    <n v="-2.99"/>
    <n v="-2"/>
    <n v="0.49"/>
    <s v="Loss"/>
    <n v="2"/>
    <s v="Blackpool-2"/>
    <n v="5"/>
    <s v="Blackpool-5"/>
  </r>
  <r>
    <s v="L1_0057"/>
    <x v="7"/>
    <x v="21"/>
    <s v="Wigan Athletic"/>
    <n v="2.15"/>
    <n v="0.73"/>
    <n v="4"/>
    <n v="0"/>
    <n v="2.88"/>
    <n v="4"/>
    <n v="1"/>
    <s v="Away"/>
    <n v="1.42"/>
    <n v="4"/>
    <n v="1.85"/>
    <s v="Win"/>
    <n v="2"/>
    <s v="Stockport County-2"/>
    <n v="5"/>
    <s v="Stockport County-5"/>
  </r>
  <r>
    <s v="L1_0058"/>
    <x v="7"/>
    <x v="18"/>
    <s v="Wycombe Wanderers"/>
    <n v="1.65"/>
    <n v="0.89"/>
    <n v="3"/>
    <n v="3"/>
    <n v="2.54"/>
    <n v="6"/>
    <n v="1"/>
    <s v="Away"/>
    <n v="0.7599999999999999"/>
    <n v="0"/>
    <n v="1.35"/>
    <s v="Draw"/>
    <n v="2"/>
    <s v="Milton Keynes Dons-2"/>
    <n v="5"/>
    <s v="Milton Keynes Dons-5"/>
  </r>
  <r>
    <s v="L1_0059"/>
    <x v="8"/>
    <x v="13"/>
    <s v="Bromley"/>
    <n v="1.22"/>
    <n v="0.55000000000000004"/>
    <n v="2"/>
    <n v="0"/>
    <n v="1.77"/>
    <n v="2"/>
    <n v="1"/>
    <s v="Away"/>
    <n v="0.66999999999999993"/>
    <n v="2"/>
    <n v="0.78"/>
    <s v="Win"/>
    <n v="2"/>
    <s v="AFC Wimbledon-2"/>
    <n v="5"/>
    <s v="AFC Wimbledon-5"/>
  </r>
  <r>
    <s v="L1_0060"/>
    <x v="9"/>
    <x v="11"/>
    <s v="Oxford United"/>
    <m/>
    <m/>
    <m/>
    <m/>
    <m/>
    <m/>
    <n v="1"/>
    <s v="Away"/>
    <m/>
    <m/>
    <m/>
    <m/>
    <s v=""/>
    <s v="Reading-"/>
    <s v=""/>
    <s v="Reading-"/>
  </r>
  <r>
    <s v="L1_0061"/>
    <x v="10"/>
    <x v="17"/>
    <s v="Stevenage"/>
    <n v="0.89"/>
    <n v="1.31"/>
    <n v="1"/>
    <n v="2"/>
    <n v="2.2000000000000002"/>
    <n v="3"/>
    <n v="1"/>
    <s v="Away"/>
    <n v="-0.42000000000000004"/>
    <n v="-1"/>
    <n v="0.10999999999999999"/>
    <s v="Loss"/>
    <n v="1"/>
    <s v="Luton Town-1"/>
    <n v="6"/>
    <s v="Luton Town-6"/>
  </r>
  <r>
    <s v="L1_0062"/>
    <x v="11"/>
    <x v="15"/>
    <s v="AFC Wimbledon"/>
    <n v="2.41"/>
    <n v="0.81"/>
    <n v="0"/>
    <n v="1"/>
    <n v="3.22"/>
    <n v="1"/>
    <n v="1"/>
    <s v="Away"/>
    <n v="1.6"/>
    <n v="-1"/>
    <n v="-2.41"/>
    <s v="Loss"/>
    <n v="1"/>
    <s v="Doncaster Rovers-1"/>
    <n v="6"/>
    <s v="Doncaster Rovers-6"/>
  </r>
  <r>
    <s v="L1_0063"/>
    <x v="11"/>
    <x v="14"/>
    <s v="Blackpool"/>
    <n v="1.38"/>
    <n v="1.17"/>
    <n v="2"/>
    <n v="2"/>
    <n v="2.5499999999999998"/>
    <n v="4"/>
    <n v="1"/>
    <s v="Away"/>
    <n v="0.20999999999999996"/>
    <n v="0"/>
    <n v="0.62000000000000011"/>
    <s v="Draw"/>
    <n v="1"/>
    <s v="Bromley-1"/>
    <n v="6"/>
    <s v="Bromley-6"/>
  </r>
  <r>
    <s v="L1_0064"/>
    <x v="11"/>
    <x v="11"/>
    <s v="Cambridge United"/>
    <n v="1.99"/>
    <n v="0.94"/>
    <n v="1"/>
    <n v="2"/>
    <n v="2.9299999999999997"/>
    <n v="3"/>
    <n v="1"/>
    <s v="Away"/>
    <n v="1.05"/>
    <n v="-1"/>
    <n v="-0.99"/>
    <s v="Loss"/>
    <n v="1"/>
    <s v="Reading-1"/>
    <n v="5"/>
    <s v="Reading-5"/>
  </r>
  <r>
    <s v="L1_0065"/>
    <x v="11"/>
    <x v="23"/>
    <s v="Leyton Orient"/>
    <n v="1.1599999999999999"/>
    <n v="0.88"/>
    <n v="3"/>
    <n v="2"/>
    <n v="2.04"/>
    <n v="5"/>
    <n v="1"/>
    <s v="Away"/>
    <n v="0.27999999999999992"/>
    <n v="1"/>
    <n v="1.84"/>
    <s v="Win"/>
    <n v="1"/>
    <s v="Wycombe Wanderers-1"/>
    <n v="6"/>
    <s v="Wycombe Wanderers-6"/>
  </r>
  <r>
    <s v="L1_0066"/>
    <x v="11"/>
    <x v="5"/>
    <s v="Mansfield Town"/>
    <n v="1.36"/>
    <n v="0.86"/>
    <n v="0"/>
    <n v="0"/>
    <n v="2.2200000000000002"/>
    <n v="0"/>
    <n v="1"/>
    <s v="Away"/>
    <n v="0.50000000000000011"/>
    <n v="0"/>
    <n v="-1.36"/>
    <s v="Draw"/>
    <n v="1"/>
    <s v="Huddersfield Town-1"/>
    <n v="6"/>
    <s v="Huddersfield Town-6"/>
  </r>
  <r>
    <s v="L1_0067"/>
    <x v="11"/>
    <x v="19"/>
    <s v="Milton Keynes Dons"/>
    <n v="1.21"/>
    <n v="1.24"/>
    <n v="1"/>
    <n v="1"/>
    <n v="2.4500000000000002"/>
    <n v="2"/>
    <n v="1"/>
    <s v="Away"/>
    <n v="-3.0000000000000027E-2"/>
    <n v="0"/>
    <n v="-0.20999999999999996"/>
    <s v="Draw"/>
    <n v="1"/>
    <s v="Peterborough United-1"/>
    <n v="6"/>
    <s v="Peterborough United-6"/>
  </r>
  <r>
    <s v="L1_0068"/>
    <x v="11"/>
    <x v="2"/>
    <s v="Notts County"/>
    <n v="0.5"/>
    <n v="0.49"/>
    <n v="1"/>
    <n v="0"/>
    <n v="0.99"/>
    <n v="1"/>
    <n v="1"/>
    <s v="Away"/>
    <n v="1.0000000000000009E-2"/>
    <n v="1"/>
    <n v="0.5"/>
    <s v="Win"/>
    <n v="1"/>
    <s v="Bradford City-1"/>
    <n v="6"/>
    <s v="Bradford City-6"/>
  </r>
  <r>
    <s v="L1_0069"/>
    <x v="11"/>
    <x v="3"/>
    <s v="Oxford United"/>
    <n v="0.47"/>
    <n v="1.21"/>
    <n v="0"/>
    <n v="3"/>
    <n v="1.68"/>
    <n v="3"/>
    <n v="1"/>
    <s v="Away"/>
    <n v="-0.74"/>
    <n v="-3"/>
    <n v="-0.47"/>
    <s v="Loss"/>
    <n v="1"/>
    <s v="Burton Albion-1"/>
    <n v="6"/>
    <s v="Burton Albion-6"/>
  </r>
  <r>
    <s v="L1_0070"/>
    <x v="11"/>
    <x v="0"/>
    <s v="Plymouth Argyle"/>
    <n v="0.77"/>
    <n v="0.99"/>
    <n v="0"/>
    <n v="3"/>
    <n v="1.76"/>
    <n v="3"/>
    <n v="1"/>
    <s v="Away"/>
    <n v="-0.21999999999999997"/>
    <n v="-3"/>
    <n v="-0.77"/>
    <s v="Loss"/>
    <n v="1"/>
    <s v="Barnsley-1"/>
    <n v="6"/>
    <s v="Barnsley-6"/>
  </r>
  <r>
    <s v="L1_0071"/>
    <x v="11"/>
    <x v="22"/>
    <s v="Sheffield Wednesday"/>
    <n v="1.59"/>
    <n v="0.82"/>
    <n v="0"/>
    <n v="0"/>
    <n v="2.41"/>
    <n v="0"/>
    <n v="1"/>
    <s v="Away"/>
    <n v="0.77000000000000013"/>
    <n v="0"/>
    <n v="-1.59"/>
    <s v="Draw"/>
    <n v="1"/>
    <s v="Wigan Athletic-1"/>
    <n v="6"/>
    <s v="Wigan Athletic-6"/>
  </r>
  <r>
    <s v="L1_0072"/>
    <x v="11"/>
    <x v="16"/>
    <s v="Stockport County"/>
    <n v="1.21"/>
    <n v="2.29"/>
    <n v="4"/>
    <n v="3"/>
    <n v="3.5"/>
    <n v="7"/>
    <n v="1"/>
    <s v="Away"/>
    <n v="-1.08"/>
    <n v="1"/>
    <n v="2.79"/>
    <s v="Win"/>
    <n v="1"/>
    <s v="Leicester City-1"/>
    <n v="6"/>
    <s v="Leicester City-6"/>
  </r>
  <r>
    <s v="L1_0073"/>
    <x v="12"/>
    <x v="18"/>
    <s v="AFC Wimbledon"/>
    <m/>
    <m/>
    <m/>
    <m/>
    <m/>
    <m/>
    <n v="1"/>
    <s v="Away"/>
    <m/>
    <m/>
    <m/>
    <m/>
    <s v=""/>
    <s v="Milton Keynes Dons-"/>
    <s v=""/>
    <s v="Milton Keynes Dons-"/>
  </r>
  <r>
    <s v="L1_0074"/>
    <x v="13"/>
    <x v="16"/>
    <s v="Barnsley"/>
    <m/>
    <m/>
    <m/>
    <m/>
    <m/>
    <m/>
    <n v="1"/>
    <s v="Away"/>
    <m/>
    <m/>
    <m/>
    <m/>
    <s v=""/>
    <s v="Leicester City-"/>
    <s v=""/>
    <s v="Leicester City-"/>
  </r>
  <r>
    <s v="L1_0075"/>
    <x v="13"/>
    <x v="10"/>
    <s v="Blackpool"/>
    <m/>
    <m/>
    <m/>
    <m/>
    <m/>
    <m/>
    <n v="1"/>
    <s v="Away"/>
    <m/>
    <m/>
    <m/>
    <m/>
    <s v=""/>
    <s v="Plymouth Argyle-"/>
    <s v=""/>
    <s v="Plymouth Argyle-"/>
  </r>
  <r>
    <s v="L1_0076"/>
    <x v="13"/>
    <x v="5"/>
    <s v="Bromley"/>
    <m/>
    <m/>
    <m/>
    <m/>
    <m/>
    <m/>
    <n v="1"/>
    <s v="Away"/>
    <m/>
    <m/>
    <m/>
    <m/>
    <s v=""/>
    <s v="Huddersfield Town-"/>
    <s v=""/>
    <s v="Huddersfield Town-"/>
  </r>
  <r>
    <s v="L1_0077"/>
    <x v="13"/>
    <x v="7"/>
    <s v="Burton Albion"/>
    <m/>
    <m/>
    <m/>
    <m/>
    <m/>
    <m/>
    <n v="1"/>
    <s v="Away"/>
    <m/>
    <m/>
    <m/>
    <m/>
    <s v=""/>
    <s v="Mansfield Town-"/>
    <s v=""/>
    <s v="Mansfield Town-"/>
  </r>
  <r>
    <s v="L1_0078"/>
    <x v="13"/>
    <x v="20"/>
    <s v="Leyton Orient"/>
    <m/>
    <m/>
    <m/>
    <m/>
    <m/>
    <m/>
    <n v="1"/>
    <s v="Away"/>
    <m/>
    <m/>
    <m/>
    <m/>
    <s v=""/>
    <s v="Stevenage-"/>
    <s v=""/>
    <s v="Stevenage-"/>
  </r>
  <r>
    <s v="L1_0079"/>
    <x v="13"/>
    <x v="2"/>
    <s v="Luton Town"/>
    <m/>
    <m/>
    <m/>
    <m/>
    <m/>
    <m/>
    <n v="1"/>
    <s v="Away"/>
    <m/>
    <m/>
    <m/>
    <m/>
    <s v=""/>
    <s v="Bradford City-"/>
    <s v=""/>
    <s v="Bradford City-"/>
  </r>
  <r>
    <s v="L1_0080"/>
    <x v="13"/>
    <x v="4"/>
    <s v="Oxford United"/>
    <m/>
    <m/>
    <m/>
    <m/>
    <m/>
    <m/>
    <n v="1"/>
    <s v="Away"/>
    <m/>
    <m/>
    <m/>
    <m/>
    <s v=""/>
    <s v="Cambridge United-"/>
    <s v=""/>
    <s v="Cambridge United-"/>
  </r>
  <r>
    <s v="L1_0081"/>
    <x v="13"/>
    <x v="15"/>
    <s v="Peterborough United"/>
    <m/>
    <m/>
    <m/>
    <m/>
    <m/>
    <m/>
    <n v="1"/>
    <s v="Away"/>
    <m/>
    <m/>
    <m/>
    <m/>
    <s v=""/>
    <s v="Doncaster Rovers-"/>
    <s v=""/>
    <s v="Doncaster Rovers-"/>
  </r>
  <r>
    <s v="L1_0082"/>
    <x v="13"/>
    <x v="8"/>
    <s v="Reading"/>
    <m/>
    <m/>
    <m/>
    <m/>
    <m/>
    <m/>
    <n v="1"/>
    <s v="Away"/>
    <m/>
    <m/>
    <m/>
    <m/>
    <s v=""/>
    <s v="Notts County-"/>
    <s v=""/>
    <s v="Notts County-"/>
  </r>
  <r>
    <s v="L1_0083"/>
    <x v="13"/>
    <x v="21"/>
    <s v="Sheffield Wednesday"/>
    <m/>
    <m/>
    <m/>
    <m/>
    <m/>
    <m/>
    <n v="1"/>
    <s v="Away"/>
    <m/>
    <m/>
    <m/>
    <m/>
    <s v=""/>
    <s v="Stockport County-"/>
    <s v=""/>
    <s v="Stockport County-"/>
  </r>
  <r>
    <s v="L1_0084"/>
    <x v="13"/>
    <x v="23"/>
    <s v="Wigan Athletic"/>
    <m/>
    <m/>
    <m/>
    <m/>
    <m/>
    <m/>
    <n v="1"/>
    <s v="Away"/>
    <m/>
    <m/>
    <m/>
    <m/>
    <s v=""/>
    <s v="Wycombe Wanderers-"/>
    <s v=""/>
    <s v="Wycombe Wanderers-"/>
  </r>
  <r>
    <s v="L1_0085"/>
    <x v="14"/>
    <x v="0"/>
    <s v="Bradford City"/>
    <m/>
    <m/>
    <m/>
    <m/>
    <m/>
    <m/>
    <n v="1"/>
    <s v="Away"/>
    <m/>
    <m/>
    <m/>
    <m/>
    <s v=""/>
    <s v="Barnsley-"/>
    <s v=""/>
    <s v="Barnsley-"/>
  </r>
  <r>
    <s v="L1_0086"/>
    <x v="14"/>
    <x v="13"/>
    <s v="Cambridge United"/>
    <m/>
    <m/>
    <m/>
    <m/>
    <m/>
    <m/>
    <n v="1"/>
    <s v="Away"/>
    <m/>
    <m/>
    <m/>
    <m/>
    <s v=""/>
    <s v="AFC Wimbledon-"/>
    <s v=""/>
    <s v="AFC Wimbledon-"/>
  </r>
  <r>
    <s v="L1_0087"/>
    <x v="14"/>
    <x v="9"/>
    <s v="Doncaster Rovers"/>
    <m/>
    <m/>
    <m/>
    <m/>
    <m/>
    <m/>
    <n v="1"/>
    <s v="Away"/>
    <m/>
    <m/>
    <m/>
    <m/>
    <s v=""/>
    <s v="Oxford United-"/>
    <s v=""/>
    <s v="Oxford United-"/>
  </r>
  <r>
    <s v="L1_0088"/>
    <x v="14"/>
    <x v="17"/>
    <s v="Huddersfield Town"/>
    <m/>
    <m/>
    <m/>
    <m/>
    <m/>
    <m/>
    <n v="1"/>
    <s v="Away"/>
    <m/>
    <m/>
    <m/>
    <m/>
    <s v=""/>
    <s v="Luton Town-"/>
    <s v=""/>
    <s v="Luton Town-"/>
  </r>
  <r>
    <s v="L1_0089"/>
    <x v="14"/>
    <x v="22"/>
    <s v="Leicester City"/>
    <m/>
    <m/>
    <m/>
    <m/>
    <m/>
    <m/>
    <n v="1"/>
    <s v="Away"/>
    <m/>
    <m/>
    <m/>
    <m/>
    <s v=""/>
    <s v="Wigan Athletic-"/>
    <s v=""/>
    <s v="Wigan Athletic-"/>
  </r>
  <r>
    <s v="L1_0090"/>
    <x v="14"/>
    <x v="6"/>
    <s v="Mansfield Town"/>
    <m/>
    <m/>
    <m/>
    <m/>
    <m/>
    <m/>
    <n v="1"/>
    <s v="Away"/>
    <m/>
    <m/>
    <m/>
    <m/>
    <s v=""/>
    <s v="Leyton Orient-"/>
    <s v=""/>
    <s v="Leyton Orient-"/>
  </r>
  <r>
    <s v="L1_0091"/>
    <x v="14"/>
    <x v="14"/>
    <s v="Milton Keynes Dons"/>
    <m/>
    <m/>
    <m/>
    <m/>
    <m/>
    <m/>
    <n v="1"/>
    <s v="Away"/>
    <m/>
    <m/>
    <m/>
    <m/>
    <s v=""/>
    <s v="Bromley-"/>
    <s v=""/>
    <s v="Bromley-"/>
  </r>
  <r>
    <s v="L1_0092"/>
    <x v="14"/>
    <x v="1"/>
    <s v="Notts County"/>
    <m/>
    <m/>
    <m/>
    <m/>
    <m/>
    <m/>
    <n v="1"/>
    <s v="Away"/>
    <m/>
    <m/>
    <m/>
    <m/>
    <s v=""/>
    <s v="Blackpool-"/>
    <s v=""/>
    <s v="Blackpool-"/>
  </r>
  <r>
    <s v="L1_0093"/>
    <x v="14"/>
    <x v="3"/>
    <s v="Plymouth Argyle"/>
    <m/>
    <m/>
    <m/>
    <m/>
    <m/>
    <m/>
    <n v="1"/>
    <s v="Away"/>
    <m/>
    <m/>
    <m/>
    <m/>
    <s v=""/>
    <s v="Burton Albion-"/>
    <s v=""/>
    <s v="Burton Albion-"/>
  </r>
  <r>
    <s v="L1_0094"/>
    <x v="14"/>
    <x v="12"/>
    <s v="Stevenage"/>
    <m/>
    <m/>
    <m/>
    <m/>
    <m/>
    <m/>
    <n v="1"/>
    <s v="Away"/>
    <m/>
    <m/>
    <m/>
    <m/>
    <s v=""/>
    <s v="Sheffield Wednesday-"/>
    <s v=""/>
    <s v="Sheffield Wednesday-"/>
  </r>
  <r>
    <s v="L1_0095"/>
    <x v="14"/>
    <x v="19"/>
    <s v="Stockport County"/>
    <m/>
    <m/>
    <m/>
    <m/>
    <m/>
    <m/>
    <n v="1"/>
    <s v="Away"/>
    <m/>
    <m/>
    <m/>
    <m/>
    <s v=""/>
    <s v="Peterborough United-"/>
    <s v=""/>
    <s v="Peterborough United-"/>
  </r>
  <r>
    <s v="L1_0096"/>
    <x v="14"/>
    <x v="11"/>
    <s v="Wycombe Wanderers"/>
    <m/>
    <m/>
    <m/>
    <m/>
    <m/>
    <m/>
    <n v="1"/>
    <s v="Away"/>
    <m/>
    <m/>
    <m/>
    <m/>
    <s v=""/>
    <s v="Reading-"/>
    <s v=""/>
    <s v="Reading-"/>
  </r>
  <r>
    <s v="L1_0097"/>
    <x v="15"/>
    <x v="20"/>
    <s v="AFC Wimbledon"/>
    <m/>
    <m/>
    <m/>
    <m/>
    <m/>
    <m/>
    <n v="1"/>
    <s v="Away"/>
    <m/>
    <m/>
    <m/>
    <m/>
    <s v=""/>
    <s v="Stevenage-"/>
    <s v=""/>
    <s v="Stevenage-"/>
  </r>
  <r>
    <s v="L1_0098"/>
    <x v="15"/>
    <x v="18"/>
    <s v="Barnsley"/>
    <m/>
    <m/>
    <m/>
    <m/>
    <m/>
    <m/>
    <n v="1"/>
    <s v="Away"/>
    <m/>
    <m/>
    <m/>
    <m/>
    <s v=""/>
    <s v="Milton Keynes Dons-"/>
    <s v=""/>
    <s v="Milton Keynes Dons-"/>
  </r>
  <r>
    <s v="L1_0099"/>
    <x v="15"/>
    <x v="16"/>
    <s v="Blackpool"/>
    <m/>
    <m/>
    <m/>
    <m/>
    <m/>
    <m/>
    <n v="1"/>
    <s v="Away"/>
    <m/>
    <m/>
    <m/>
    <m/>
    <s v=""/>
    <s v="Leicester City-"/>
    <s v=""/>
    <s v="Leicester City-"/>
  </r>
  <r>
    <s v="L1_0100"/>
    <x v="15"/>
    <x v="23"/>
    <s v="Bromley"/>
    <m/>
    <m/>
    <m/>
    <m/>
    <m/>
    <m/>
    <n v="1"/>
    <s v="Away"/>
    <m/>
    <m/>
    <m/>
    <m/>
    <s v=""/>
    <s v="Wycombe Wanderers-"/>
    <s v=""/>
    <s v="Wycombe Wanderers-"/>
  </r>
  <r>
    <s v="L1_0101"/>
    <x v="15"/>
    <x v="5"/>
    <s v="Burton Albion"/>
    <m/>
    <m/>
    <m/>
    <m/>
    <m/>
    <m/>
    <n v="1"/>
    <s v="Away"/>
    <m/>
    <m/>
    <m/>
    <m/>
    <s v=""/>
    <s v="Huddersfield Town-"/>
    <s v=""/>
    <s v="Huddersfield Town-"/>
  </r>
  <r>
    <s v="L1_0102"/>
    <x v="15"/>
    <x v="10"/>
    <s v="Leyton Orient"/>
    <m/>
    <m/>
    <m/>
    <m/>
    <m/>
    <m/>
    <n v="1"/>
    <s v="Away"/>
    <m/>
    <m/>
    <m/>
    <m/>
    <s v=""/>
    <s v="Plymouth Argyle-"/>
    <s v=""/>
    <s v="Plymouth Argyle-"/>
  </r>
  <r>
    <s v="L1_0103"/>
    <x v="15"/>
    <x v="15"/>
    <s v="Luton Town"/>
    <m/>
    <m/>
    <m/>
    <m/>
    <m/>
    <m/>
    <n v="1"/>
    <s v="Away"/>
    <m/>
    <m/>
    <m/>
    <m/>
    <s v=""/>
    <s v="Doncaster Rovers-"/>
    <s v=""/>
    <s v="Doncaster Rovers-"/>
  </r>
  <r>
    <s v="L1_0104"/>
    <x v="15"/>
    <x v="21"/>
    <s v="Oxford United"/>
    <m/>
    <m/>
    <m/>
    <m/>
    <m/>
    <m/>
    <n v="1"/>
    <s v="Away"/>
    <m/>
    <m/>
    <m/>
    <m/>
    <s v=""/>
    <s v="Stockport County-"/>
    <s v=""/>
    <s v="Stockport County-"/>
  </r>
  <r>
    <s v="L1_0105"/>
    <x v="15"/>
    <x v="8"/>
    <s v="Peterborough United"/>
    <m/>
    <m/>
    <m/>
    <m/>
    <m/>
    <m/>
    <n v="1"/>
    <s v="Away"/>
    <m/>
    <m/>
    <m/>
    <m/>
    <s v=""/>
    <s v="Notts County-"/>
    <s v=""/>
    <s v="Notts County-"/>
  </r>
  <r>
    <s v="L1_0106"/>
    <x v="15"/>
    <x v="2"/>
    <s v="Reading"/>
    <m/>
    <m/>
    <m/>
    <m/>
    <m/>
    <m/>
    <n v="1"/>
    <s v="Away"/>
    <m/>
    <m/>
    <m/>
    <m/>
    <s v=""/>
    <s v="Bradford City-"/>
    <s v=""/>
    <s v="Bradford City-"/>
  </r>
  <r>
    <s v="L1_0107"/>
    <x v="15"/>
    <x v="4"/>
    <s v="Sheffield Wednesday"/>
    <m/>
    <m/>
    <m/>
    <m/>
    <m/>
    <m/>
    <n v="1"/>
    <s v="Away"/>
    <m/>
    <m/>
    <m/>
    <m/>
    <s v=""/>
    <s v="Cambridge United-"/>
    <s v=""/>
    <s v="Cambridge United-"/>
  </r>
  <r>
    <s v="L1_0108"/>
    <x v="15"/>
    <x v="7"/>
    <s v="Wigan Athletic"/>
    <m/>
    <m/>
    <m/>
    <m/>
    <m/>
    <m/>
    <n v="1"/>
    <s v="Away"/>
    <m/>
    <m/>
    <m/>
    <m/>
    <s v=""/>
    <s v="Mansfield Town-"/>
    <s v=""/>
    <s v="Mansfield Town-"/>
  </r>
  <r>
    <s v="L1_0109"/>
    <x v="16"/>
    <x v="6"/>
    <s v="Bradford City"/>
    <m/>
    <m/>
    <m/>
    <m/>
    <m/>
    <m/>
    <n v="1"/>
    <s v="Away"/>
    <m/>
    <m/>
    <m/>
    <m/>
    <s v=""/>
    <s v="Leyton Orient-"/>
    <s v=""/>
    <s v="Leyton Orient-"/>
  </r>
  <r>
    <s v="L1_0110"/>
    <x v="16"/>
    <x v="1"/>
    <s v="Cambridge United"/>
    <m/>
    <m/>
    <m/>
    <m/>
    <m/>
    <m/>
    <n v="1"/>
    <s v="Away"/>
    <m/>
    <m/>
    <m/>
    <m/>
    <s v=""/>
    <s v="Blackpool-"/>
    <s v=""/>
    <s v="Blackpool-"/>
  </r>
  <r>
    <s v="L1_0111"/>
    <x v="16"/>
    <x v="3"/>
    <s v="Doncaster Rovers"/>
    <m/>
    <m/>
    <m/>
    <m/>
    <m/>
    <m/>
    <n v="1"/>
    <s v="Away"/>
    <m/>
    <m/>
    <m/>
    <m/>
    <s v=""/>
    <s v="Burton Albion-"/>
    <s v=""/>
    <s v="Burton Albion-"/>
  </r>
  <r>
    <s v="L1_0112"/>
    <x v="16"/>
    <x v="12"/>
    <s v="Huddersfield Town"/>
    <m/>
    <m/>
    <m/>
    <m/>
    <m/>
    <m/>
    <n v="1"/>
    <s v="Away"/>
    <m/>
    <m/>
    <m/>
    <m/>
    <s v=""/>
    <s v="Sheffield Wednesday-"/>
    <s v=""/>
    <s v="Sheffield Wednesday-"/>
  </r>
  <r>
    <s v="L1_0113"/>
    <x v="16"/>
    <x v="19"/>
    <s v="Leicester City"/>
    <m/>
    <m/>
    <m/>
    <m/>
    <m/>
    <m/>
    <n v="1"/>
    <s v="Away"/>
    <m/>
    <m/>
    <m/>
    <m/>
    <s v=""/>
    <s v="Peterborough United-"/>
    <s v=""/>
    <s v="Peterborough United-"/>
  </r>
  <r>
    <s v="L1_0114"/>
    <x v="16"/>
    <x v="14"/>
    <s v="Mansfield Town"/>
    <m/>
    <m/>
    <m/>
    <m/>
    <m/>
    <m/>
    <n v="1"/>
    <s v="Away"/>
    <m/>
    <m/>
    <m/>
    <m/>
    <s v=""/>
    <s v="Bromley-"/>
    <s v=""/>
    <s v="Bromley-"/>
  </r>
  <r>
    <s v="L1_0115"/>
    <x v="16"/>
    <x v="11"/>
    <s v="Milton Keynes Dons"/>
    <m/>
    <m/>
    <m/>
    <m/>
    <m/>
    <m/>
    <n v="1"/>
    <s v="Away"/>
    <m/>
    <m/>
    <m/>
    <m/>
    <s v=""/>
    <s v="Reading-"/>
    <s v=""/>
    <s v="Reading-"/>
  </r>
  <r>
    <s v="L1_0116"/>
    <x v="16"/>
    <x v="9"/>
    <s v="Notts County"/>
    <m/>
    <m/>
    <m/>
    <m/>
    <m/>
    <m/>
    <n v="1"/>
    <s v="Away"/>
    <m/>
    <m/>
    <m/>
    <m/>
    <s v=""/>
    <s v="Oxford United-"/>
    <s v=""/>
    <s v="Oxford United-"/>
  </r>
  <r>
    <s v="L1_0117"/>
    <x v="16"/>
    <x v="13"/>
    <s v="Plymouth Argyle"/>
    <m/>
    <m/>
    <m/>
    <m/>
    <m/>
    <m/>
    <n v="1"/>
    <s v="Away"/>
    <m/>
    <m/>
    <m/>
    <m/>
    <s v=""/>
    <s v="AFC Wimbledon-"/>
    <s v=""/>
    <s v="AFC Wimbledon-"/>
  </r>
  <r>
    <s v="L1_0118"/>
    <x v="16"/>
    <x v="22"/>
    <s v="Stevenage"/>
    <m/>
    <m/>
    <m/>
    <m/>
    <m/>
    <m/>
    <n v="1"/>
    <s v="Away"/>
    <m/>
    <m/>
    <m/>
    <m/>
    <s v=""/>
    <s v="Wigan Athletic-"/>
    <s v=""/>
    <s v="Wigan Athletic-"/>
  </r>
  <r>
    <s v="L1_0119"/>
    <x v="16"/>
    <x v="0"/>
    <s v="Stockport County"/>
    <m/>
    <m/>
    <m/>
    <m/>
    <m/>
    <m/>
    <n v="1"/>
    <s v="Away"/>
    <m/>
    <m/>
    <m/>
    <m/>
    <s v=""/>
    <s v="Barnsley-"/>
    <s v=""/>
    <s v="Barnsley-"/>
  </r>
  <r>
    <s v="L1_0120"/>
    <x v="16"/>
    <x v="17"/>
    <s v="Wycombe Wanderers"/>
    <m/>
    <m/>
    <m/>
    <m/>
    <m/>
    <m/>
    <n v="1"/>
    <s v="Away"/>
    <m/>
    <m/>
    <m/>
    <m/>
    <s v=""/>
    <s v="Luton Town-"/>
    <s v=""/>
    <s v="Luton Town-"/>
  </r>
  <r>
    <s v="L1_0121"/>
    <x v="17"/>
    <x v="9"/>
    <s v="Mansfield Town"/>
    <m/>
    <m/>
    <m/>
    <m/>
    <m/>
    <m/>
    <n v="1"/>
    <s v="Away"/>
    <m/>
    <m/>
    <m/>
    <m/>
    <s v=""/>
    <s v="Oxford United-"/>
    <s v=""/>
    <s v="Oxford United-"/>
  </r>
  <r>
    <s v="L1_0122"/>
    <x v="18"/>
    <x v="4"/>
    <s v="Barnsley"/>
    <m/>
    <m/>
    <m/>
    <m/>
    <m/>
    <m/>
    <n v="1"/>
    <s v="Away"/>
    <m/>
    <m/>
    <m/>
    <m/>
    <s v=""/>
    <s v="Cambridge United-"/>
    <s v=""/>
    <s v="Cambridge United-"/>
  </r>
  <r>
    <s v="L1_0123"/>
    <x v="18"/>
    <x v="20"/>
    <s v="Bradford City"/>
    <m/>
    <m/>
    <m/>
    <m/>
    <m/>
    <m/>
    <n v="1"/>
    <s v="Away"/>
    <m/>
    <m/>
    <m/>
    <m/>
    <s v=""/>
    <s v="Stevenage-"/>
    <s v=""/>
    <s v="Stevenage-"/>
  </r>
  <r>
    <s v="L1_0124"/>
    <x v="18"/>
    <x v="15"/>
    <s v="Leicester City"/>
    <m/>
    <m/>
    <m/>
    <m/>
    <m/>
    <m/>
    <n v="1"/>
    <s v="Away"/>
    <m/>
    <m/>
    <m/>
    <m/>
    <s v=""/>
    <s v="Doncaster Rovers-"/>
    <s v=""/>
    <s v="Doncaster Rovers-"/>
  </r>
  <r>
    <s v="L1_0125"/>
    <x v="18"/>
    <x v="1"/>
    <s v="Leyton Orient"/>
    <m/>
    <m/>
    <m/>
    <m/>
    <m/>
    <m/>
    <n v="1"/>
    <s v="Away"/>
    <m/>
    <m/>
    <m/>
    <m/>
    <s v=""/>
    <s v="Blackpool-"/>
    <s v=""/>
    <s v="Blackpool-"/>
  </r>
  <r>
    <s v="L1_0126"/>
    <x v="18"/>
    <x v="17"/>
    <s v="Milton Keynes Dons"/>
    <m/>
    <m/>
    <m/>
    <m/>
    <m/>
    <m/>
    <n v="1"/>
    <s v="Away"/>
    <m/>
    <m/>
    <m/>
    <m/>
    <s v=""/>
    <s v="Luton Town-"/>
    <s v=""/>
    <s v="Luton Town-"/>
  </r>
  <r>
    <s v="L1_0127"/>
    <x v="18"/>
    <x v="3"/>
    <s v="Peterborough United"/>
    <m/>
    <m/>
    <m/>
    <m/>
    <m/>
    <m/>
    <n v="1"/>
    <s v="Away"/>
    <m/>
    <m/>
    <m/>
    <m/>
    <s v=""/>
    <s v="Burton Albion-"/>
    <s v=""/>
    <s v="Burton Albion-"/>
  </r>
  <r>
    <s v="L1_0128"/>
    <x v="18"/>
    <x v="5"/>
    <s v="Plymouth Argyle"/>
    <m/>
    <m/>
    <m/>
    <m/>
    <m/>
    <m/>
    <n v="1"/>
    <s v="Away"/>
    <m/>
    <m/>
    <m/>
    <m/>
    <s v=""/>
    <s v="Huddersfield Town-"/>
    <s v=""/>
    <s v="Huddersfield Town-"/>
  </r>
  <r>
    <s v="L1_0129"/>
    <x v="18"/>
    <x v="13"/>
    <s v="Sheffield Wednesday"/>
    <m/>
    <m/>
    <m/>
    <m/>
    <m/>
    <m/>
    <n v="1"/>
    <s v="Away"/>
    <m/>
    <m/>
    <m/>
    <m/>
    <s v=""/>
    <s v="AFC Wimbledon-"/>
    <s v=""/>
    <s v="AFC Wimbledon-"/>
  </r>
  <r>
    <s v="L1_0130"/>
    <x v="18"/>
    <x v="14"/>
    <s v="Stockport County"/>
    <m/>
    <m/>
    <m/>
    <m/>
    <m/>
    <m/>
    <n v="1"/>
    <s v="Away"/>
    <m/>
    <m/>
    <m/>
    <m/>
    <s v=""/>
    <s v="Bromley-"/>
    <s v=""/>
    <s v="Bromley-"/>
  </r>
  <r>
    <s v="L1_0131"/>
    <x v="18"/>
    <x v="11"/>
    <s v="Wigan Athletic"/>
    <m/>
    <m/>
    <m/>
    <m/>
    <m/>
    <m/>
    <n v="1"/>
    <s v="Away"/>
    <m/>
    <m/>
    <m/>
    <m/>
    <s v=""/>
    <s v="Reading-"/>
    <s v=""/>
    <s v="Reading-"/>
  </r>
  <r>
    <s v="L1_0132"/>
    <x v="18"/>
    <x v="8"/>
    <s v="Wycombe Wanderers"/>
    <m/>
    <m/>
    <m/>
    <m/>
    <m/>
    <m/>
    <n v="1"/>
    <s v="Away"/>
    <m/>
    <m/>
    <m/>
    <m/>
    <s v=""/>
    <s v="Notts County-"/>
    <s v=""/>
    <s v="Notts County-"/>
  </r>
  <r>
    <s v="L1_0133"/>
    <x v="19"/>
    <x v="7"/>
    <s v="AFC Wimbledon"/>
    <m/>
    <m/>
    <m/>
    <m/>
    <m/>
    <m/>
    <n v="1"/>
    <s v="Away"/>
    <m/>
    <m/>
    <m/>
    <m/>
    <s v=""/>
    <s v="Mansfield Town-"/>
    <s v=""/>
    <s v="Mansfield Town-"/>
  </r>
  <r>
    <s v="L1_0134"/>
    <x v="19"/>
    <x v="18"/>
    <s v="Blackpool"/>
    <m/>
    <m/>
    <m/>
    <m/>
    <m/>
    <m/>
    <n v="1"/>
    <s v="Away"/>
    <m/>
    <m/>
    <m/>
    <m/>
    <s v=""/>
    <s v="Milton Keynes Dons-"/>
    <s v=""/>
    <s v="Milton Keynes Dons-"/>
  </r>
  <r>
    <s v="L1_0135"/>
    <x v="19"/>
    <x v="16"/>
    <s v="Bromley"/>
    <m/>
    <m/>
    <m/>
    <m/>
    <m/>
    <m/>
    <n v="1"/>
    <s v="Away"/>
    <m/>
    <m/>
    <m/>
    <m/>
    <s v=""/>
    <s v="Leicester City-"/>
    <s v=""/>
    <s v="Leicester City-"/>
  </r>
  <r>
    <s v="L1_0136"/>
    <x v="19"/>
    <x v="2"/>
    <s v="Burton Albion"/>
    <m/>
    <m/>
    <m/>
    <m/>
    <m/>
    <m/>
    <n v="1"/>
    <s v="Away"/>
    <m/>
    <m/>
    <m/>
    <m/>
    <s v=""/>
    <s v="Bradford City-"/>
    <s v=""/>
    <s v="Bradford City-"/>
  </r>
  <r>
    <s v="L1_0137"/>
    <x v="19"/>
    <x v="23"/>
    <s v="Cambridge United"/>
    <m/>
    <m/>
    <m/>
    <m/>
    <m/>
    <m/>
    <n v="1"/>
    <s v="Away"/>
    <m/>
    <m/>
    <m/>
    <m/>
    <s v=""/>
    <s v="Wycombe Wanderers-"/>
    <s v=""/>
    <s v="Wycombe Wanderers-"/>
  </r>
  <r>
    <s v="L1_0138"/>
    <x v="19"/>
    <x v="21"/>
    <s v="Doncaster Rovers"/>
    <m/>
    <m/>
    <m/>
    <m/>
    <m/>
    <m/>
    <n v="1"/>
    <s v="Away"/>
    <m/>
    <m/>
    <m/>
    <m/>
    <s v=""/>
    <s v="Stockport County-"/>
    <s v=""/>
    <s v="Stockport County-"/>
  </r>
  <r>
    <s v="L1_0139"/>
    <x v="19"/>
    <x v="19"/>
    <s v="Huddersfield Town"/>
    <m/>
    <m/>
    <m/>
    <m/>
    <m/>
    <m/>
    <n v="1"/>
    <s v="Away"/>
    <m/>
    <m/>
    <m/>
    <m/>
    <s v=""/>
    <s v="Peterborough United-"/>
    <s v=""/>
    <s v="Peterborough United-"/>
  </r>
  <r>
    <s v="L1_0140"/>
    <x v="19"/>
    <x v="0"/>
    <s v="Luton Town"/>
    <m/>
    <m/>
    <m/>
    <m/>
    <m/>
    <m/>
    <n v="1"/>
    <s v="Away"/>
    <m/>
    <m/>
    <m/>
    <m/>
    <s v=""/>
    <s v="Barnsley-"/>
    <s v=""/>
    <s v="Barnsley-"/>
  </r>
  <r>
    <s v="L1_0141"/>
    <x v="19"/>
    <x v="12"/>
    <s v="Notts County"/>
    <m/>
    <m/>
    <m/>
    <m/>
    <m/>
    <m/>
    <n v="1"/>
    <s v="Away"/>
    <m/>
    <m/>
    <m/>
    <m/>
    <s v=""/>
    <s v="Sheffield Wednesday-"/>
    <s v=""/>
    <s v="Sheffield Wednesday-"/>
  </r>
  <r>
    <s v="L1_0142"/>
    <x v="19"/>
    <x v="22"/>
    <s v="Oxford United"/>
    <m/>
    <m/>
    <m/>
    <m/>
    <m/>
    <m/>
    <n v="1"/>
    <s v="Away"/>
    <m/>
    <m/>
    <m/>
    <m/>
    <s v=""/>
    <s v="Wigan Athletic-"/>
    <s v=""/>
    <s v="Wigan Athletic-"/>
  </r>
  <r>
    <s v="L1_0143"/>
    <x v="19"/>
    <x v="10"/>
    <s v="Stevenage"/>
    <m/>
    <m/>
    <m/>
    <m/>
    <m/>
    <m/>
    <n v="1"/>
    <s v="Away"/>
    <m/>
    <m/>
    <m/>
    <m/>
    <s v=""/>
    <s v="Plymouth Argyle-"/>
    <s v=""/>
    <s v="Plymouth Argyle-"/>
  </r>
  <r>
    <s v="L1_0144"/>
    <x v="20"/>
    <x v="6"/>
    <s v="Reading"/>
    <m/>
    <m/>
    <m/>
    <m/>
    <m/>
    <m/>
    <n v="1"/>
    <s v="Away"/>
    <m/>
    <m/>
    <m/>
    <m/>
    <s v=""/>
    <s v="Leyton Orient-"/>
    <s v=""/>
    <s v="Leyton Orient-"/>
  </r>
  <r>
    <s v="L1_0145"/>
    <x v="21"/>
    <x v="23"/>
    <s v="AFC Wimbledon"/>
    <m/>
    <m/>
    <m/>
    <m/>
    <m/>
    <m/>
    <n v="1"/>
    <s v="Away"/>
    <m/>
    <m/>
    <m/>
    <m/>
    <s v=""/>
    <s v="Wycombe Wanderers-"/>
    <s v=""/>
    <s v="Wycombe Wanderers-"/>
  </r>
  <r>
    <s v="L1_0146"/>
    <x v="21"/>
    <x v="7"/>
    <s v="Blackpool"/>
    <m/>
    <m/>
    <m/>
    <m/>
    <m/>
    <m/>
    <n v="1"/>
    <s v="Away"/>
    <m/>
    <m/>
    <m/>
    <m/>
    <s v=""/>
    <s v="Mansfield Town-"/>
    <s v=""/>
    <s v="Mansfield Town-"/>
  </r>
  <r>
    <s v="L1_0147"/>
    <x v="21"/>
    <x v="19"/>
    <s v="Bromley"/>
    <m/>
    <m/>
    <m/>
    <m/>
    <m/>
    <m/>
    <n v="1"/>
    <s v="Away"/>
    <m/>
    <m/>
    <m/>
    <m/>
    <s v=""/>
    <s v="Peterborough United-"/>
    <s v=""/>
    <s v="Peterborough United-"/>
  </r>
  <r>
    <s v="L1_0148"/>
    <x v="21"/>
    <x v="6"/>
    <s v="Burton Albion"/>
    <m/>
    <m/>
    <m/>
    <m/>
    <m/>
    <m/>
    <n v="1"/>
    <s v="Away"/>
    <m/>
    <m/>
    <m/>
    <m/>
    <s v=""/>
    <s v="Leyton Orient-"/>
    <s v=""/>
    <s v="Leyton Orient-"/>
  </r>
  <r>
    <s v="L1_0149"/>
    <x v="21"/>
    <x v="10"/>
    <s v="Cambridge United"/>
    <m/>
    <m/>
    <m/>
    <m/>
    <m/>
    <m/>
    <n v="1"/>
    <s v="Away"/>
    <m/>
    <m/>
    <m/>
    <m/>
    <s v=""/>
    <s v="Plymouth Argyle-"/>
    <s v=""/>
    <s v="Plymouth Argyle-"/>
  </r>
  <r>
    <s v="L1_0150"/>
    <x v="21"/>
    <x v="12"/>
    <s v="Doncaster Rovers"/>
    <m/>
    <m/>
    <m/>
    <m/>
    <m/>
    <m/>
    <n v="1"/>
    <s v="Away"/>
    <m/>
    <m/>
    <m/>
    <m/>
    <s v=""/>
    <s v="Sheffield Wednesday-"/>
    <s v=""/>
    <s v="Sheffield Wednesday-"/>
  </r>
  <r>
    <s v="L1_0151"/>
    <x v="21"/>
    <x v="22"/>
    <s v="Huddersfield Town"/>
    <m/>
    <m/>
    <m/>
    <m/>
    <m/>
    <m/>
    <n v="1"/>
    <s v="Away"/>
    <m/>
    <m/>
    <m/>
    <m/>
    <s v=""/>
    <s v="Wigan Athletic-"/>
    <s v=""/>
    <s v="Wigan Athletic-"/>
  </r>
  <r>
    <s v="L1_0152"/>
    <x v="21"/>
    <x v="16"/>
    <s v="Luton Town"/>
    <m/>
    <m/>
    <m/>
    <m/>
    <m/>
    <m/>
    <n v="1"/>
    <s v="Away"/>
    <m/>
    <m/>
    <m/>
    <m/>
    <s v=""/>
    <s v="Leicester City-"/>
    <s v=""/>
    <s v="Leicester City-"/>
  </r>
  <r>
    <s v="L1_0153"/>
    <x v="21"/>
    <x v="21"/>
    <s v="Notts County"/>
    <m/>
    <m/>
    <m/>
    <m/>
    <m/>
    <m/>
    <n v="1"/>
    <s v="Away"/>
    <m/>
    <m/>
    <m/>
    <m/>
    <s v=""/>
    <s v="Stockport County-"/>
    <s v=""/>
    <s v="Stockport County-"/>
  </r>
  <r>
    <s v="L1_0154"/>
    <x v="21"/>
    <x v="2"/>
    <s v="Oxford United"/>
    <m/>
    <m/>
    <m/>
    <m/>
    <m/>
    <m/>
    <n v="1"/>
    <s v="Away"/>
    <m/>
    <m/>
    <m/>
    <m/>
    <s v=""/>
    <s v="Bradford City-"/>
    <s v=""/>
    <s v="Bradford City-"/>
  </r>
  <r>
    <s v="L1_0155"/>
    <x v="21"/>
    <x v="0"/>
    <s v="Reading"/>
    <m/>
    <m/>
    <m/>
    <m/>
    <m/>
    <m/>
    <n v="1"/>
    <s v="Away"/>
    <m/>
    <m/>
    <m/>
    <m/>
    <s v=""/>
    <s v="Barnsley-"/>
    <s v=""/>
    <s v="Barnsley-"/>
  </r>
  <r>
    <s v="L1_0156"/>
    <x v="21"/>
    <x v="18"/>
    <s v="Stevenage"/>
    <m/>
    <m/>
    <m/>
    <m/>
    <m/>
    <m/>
    <n v="1"/>
    <s v="Away"/>
    <m/>
    <m/>
    <m/>
    <m/>
    <s v=""/>
    <s v="Milton Keynes Dons-"/>
    <s v=""/>
    <s v="Milton Keynes Dons-"/>
  </r>
  <r>
    <s v="L1_0157"/>
    <x v="22"/>
    <x v="9"/>
    <s v="Barnsley"/>
    <m/>
    <m/>
    <m/>
    <m/>
    <m/>
    <m/>
    <n v="1"/>
    <s v="Away"/>
    <m/>
    <m/>
    <m/>
    <m/>
    <s v=""/>
    <s v="Oxford United-"/>
    <s v=""/>
    <s v="Oxford United-"/>
  </r>
  <r>
    <s v="L1_0158"/>
    <x v="22"/>
    <x v="5"/>
    <s v="Bradford City"/>
    <m/>
    <m/>
    <m/>
    <m/>
    <m/>
    <m/>
    <n v="1"/>
    <s v="Away"/>
    <m/>
    <m/>
    <m/>
    <m/>
    <s v=""/>
    <s v="Huddersfield Town-"/>
    <s v=""/>
    <s v="Huddersfield Town-"/>
  </r>
  <r>
    <s v="L1_0159"/>
    <x v="22"/>
    <x v="20"/>
    <s v="Leicester City"/>
    <m/>
    <m/>
    <m/>
    <m/>
    <m/>
    <m/>
    <n v="1"/>
    <s v="Away"/>
    <m/>
    <m/>
    <m/>
    <m/>
    <s v=""/>
    <s v="Stevenage-"/>
    <s v=""/>
    <s v="Stevenage-"/>
  </r>
  <r>
    <s v="L1_0160"/>
    <x v="22"/>
    <x v="4"/>
    <s v="Leyton Orient"/>
    <m/>
    <m/>
    <m/>
    <m/>
    <m/>
    <m/>
    <n v="1"/>
    <s v="Away"/>
    <m/>
    <m/>
    <m/>
    <m/>
    <s v=""/>
    <s v="Cambridge United-"/>
    <s v=""/>
    <s v="Cambridge United-"/>
  </r>
  <r>
    <s v="L1_0161"/>
    <x v="22"/>
    <x v="8"/>
    <s v="Mansfield Town"/>
    <m/>
    <m/>
    <m/>
    <m/>
    <m/>
    <m/>
    <n v="1"/>
    <s v="Away"/>
    <m/>
    <m/>
    <m/>
    <m/>
    <s v=""/>
    <s v="Notts County-"/>
    <s v=""/>
    <s v="Notts County-"/>
  </r>
  <r>
    <s v="L1_0162"/>
    <x v="22"/>
    <x v="15"/>
    <s v="Milton Keynes Dons"/>
    <m/>
    <m/>
    <m/>
    <m/>
    <m/>
    <m/>
    <n v="1"/>
    <s v="Away"/>
    <m/>
    <m/>
    <m/>
    <m/>
    <s v=""/>
    <s v="Doncaster Rovers-"/>
    <s v=""/>
    <s v="Doncaster Rovers-"/>
  </r>
  <r>
    <s v="L1_0163"/>
    <x v="22"/>
    <x v="17"/>
    <s v="Peterborough United"/>
    <m/>
    <m/>
    <m/>
    <m/>
    <m/>
    <m/>
    <n v="1"/>
    <s v="Away"/>
    <m/>
    <m/>
    <m/>
    <m/>
    <s v=""/>
    <s v="Luton Town-"/>
    <s v=""/>
    <s v="Luton Town-"/>
  </r>
  <r>
    <s v="L1_0164"/>
    <x v="22"/>
    <x v="11"/>
    <s v="Plymouth Argyle"/>
    <m/>
    <m/>
    <m/>
    <m/>
    <m/>
    <m/>
    <n v="1"/>
    <s v="Away"/>
    <m/>
    <m/>
    <m/>
    <m/>
    <s v=""/>
    <s v="Reading-"/>
    <s v=""/>
    <s v="Reading-"/>
  </r>
  <r>
    <s v="L1_0165"/>
    <x v="22"/>
    <x v="13"/>
    <s v="Stockport County"/>
    <m/>
    <m/>
    <m/>
    <m/>
    <m/>
    <m/>
    <n v="1"/>
    <s v="Away"/>
    <m/>
    <m/>
    <m/>
    <m/>
    <s v=""/>
    <s v="AFC Wimbledon-"/>
    <s v=""/>
    <s v="AFC Wimbledon-"/>
  </r>
  <r>
    <s v="L1_0166"/>
    <x v="22"/>
    <x v="14"/>
    <s v="Wigan Athletic"/>
    <m/>
    <m/>
    <m/>
    <m/>
    <m/>
    <m/>
    <n v="1"/>
    <s v="Away"/>
    <m/>
    <m/>
    <m/>
    <m/>
    <s v=""/>
    <s v="Bromley-"/>
    <s v=""/>
    <s v="Bromley-"/>
  </r>
  <r>
    <s v="L1_0167"/>
    <x v="22"/>
    <x v="3"/>
    <s v="Wycombe Wanderers"/>
    <m/>
    <m/>
    <m/>
    <m/>
    <m/>
    <m/>
    <n v="1"/>
    <s v="Away"/>
    <m/>
    <m/>
    <m/>
    <m/>
    <s v=""/>
    <s v="Burton Albion-"/>
    <s v=""/>
    <s v="Burton Albion-"/>
  </r>
  <r>
    <s v="L1_0168"/>
    <x v="23"/>
    <x v="1"/>
    <s v="Sheffield Wednesday"/>
    <m/>
    <m/>
    <m/>
    <m/>
    <m/>
    <m/>
    <n v="1"/>
    <s v="Away"/>
    <m/>
    <m/>
    <m/>
    <m/>
    <s v=""/>
    <s v="Blackpool-"/>
    <s v=""/>
    <s v="Blackpool-"/>
  </r>
  <r>
    <s v="L1_0169"/>
    <x v="24"/>
    <x v="1"/>
    <s v="AFC Wimbledon"/>
    <m/>
    <m/>
    <m/>
    <m/>
    <m/>
    <m/>
    <n v="1"/>
    <s v="Away"/>
    <m/>
    <m/>
    <m/>
    <m/>
    <s v=""/>
    <s v="Blackpool-"/>
    <s v=""/>
    <s v="Blackpool-"/>
  </r>
  <r>
    <s v="L1_0170"/>
    <x v="24"/>
    <x v="8"/>
    <s v="Bromley"/>
    <m/>
    <m/>
    <m/>
    <m/>
    <m/>
    <m/>
    <n v="1"/>
    <s v="Away"/>
    <m/>
    <m/>
    <m/>
    <m/>
    <s v=""/>
    <s v="Notts County-"/>
    <s v=""/>
    <s v="Notts County-"/>
  </r>
  <r>
    <s v="L1_0171"/>
    <x v="24"/>
    <x v="6"/>
    <s v="Doncaster Rovers"/>
    <m/>
    <m/>
    <m/>
    <m/>
    <m/>
    <m/>
    <n v="1"/>
    <s v="Away"/>
    <m/>
    <m/>
    <m/>
    <m/>
    <s v=""/>
    <s v="Leyton Orient-"/>
    <s v=""/>
    <s v="Leyton Orient-"/>
  </r>
  <r>
    <s v="L1_0172"/>
    <x v="24"/>
    <x v="2"/>
    <s v="Leicester City"/>
    <m/>
    <m/>
    <m/>
    <m/>
    <m/>
    <m/>
    <n v="1"/>
    <s v="Away"/>
    <m/>
    <m/>
    <m/>
    <m/>
    <s v=""/>
    <s v="Bradford City-"/>
    <s v=""/>
    <s v="Bradford City-"/>
  </r>
  <r>
    <s v="L1_0173"/>
    <x v="24"/>
    <x v="4"/>
    <s v="Luton Town"/>
    <m/>
    <m/>
    <m/>
    <m/>
    <m/>
    <m/>
    <n v="1"/>
    <s v="Away"/>
    <m/>
    <m/>
    <m/>
    <m/>
    <s v=""/>
    <s v="Cambridge United-"/>
    <s v=""/>
    <s v="Cambridge United-"/>
  </r>
  <r>
    <s v="L1_0174"/>
    <x v="24"/>
    <x v="3"/>
    <s v="Milton Keynes Dons"/>
    <m/>
    <m/>
    <m/>
    <m/>
    <m/>
    <m/>
    <n v="1"/>
    <s v="Away"/>
    <m/>
    <m/>
    <m/>
    <m/>
    <s v=""/>
    <s v="Burton Albion-"/>
    <s v=""/>
    <s v="Burton Albion-"/>
  </r>
  <r>
    <s v="L1_0175"/>
    <x v="24"/>
    <x v="9"/>
    <s v="Peterborough United"/>
    <m/>
    <m/>
    <m/>
    <m/>
    <m/>
    <m/>
    <n v="1"/>
    <s v="Away"/>
    <m/>
    <m/>
    <m/>
    <m/>
    <s v=""/>
    <s v="Oxford United-"/>
    <s v=""/>
    <s v="Oxford United-"/>
  </r>
  <r>
    <s v="L1_0176"/>
    <x v="24"/>
    <x v="10"/>
    <s v="Sheffield Wednesday"/>
    <m/>
    <m/>
    <m/>
    <m/>
    <m/>
    <m/>
    <n v="1"/>
    <s v="Away"/>
    <m/>
    <m/>
    <m/>
    <m/>
    <s v=""/>
    <s v="Plymouth Argyle-"/>
    <s v=""/>
    <s v="Plymouth Argyle-"/>
  </r>
  <r>
    <s v="L1_0177"/>
    <x v="24"/>
    <x v="7"/>
    <s v="Stevenage"/>
    <m/>
    <m/>
    <m/>
    <m/>
    <m/>
    <m/>
    <n v="1"/>
    <s v="Away"/>
    <m/>
    <m/>
    <m/>
    <m/>
    <s v=""/>
    <s v="Mansfield Town-"/>
    <s v=""/>
    <s v="Mansfield Town-"/>
  </r>
  <r>
    <s v="L1_0178"/>
    <x v="24"/>
    <x v="11"/>
    <s v="Stockport County"/>
    <m/>
    <m/>
    <m/>
    <m/>
    <m/>
    <m/>
    <n v="1"/>
    <s v="Away"/>
    <m/>
    <m/>
    <m/>
    <m/>
    <s v=""/>
    <s v="Reading-"/>
    <s v=""/>
    <s v="Reading-"/>
  </r>
  <r>
    <s v="L1_0179"/>
    <x v="24"/>
    <x v="0"/>
    <s v="Wigan Athletic"/>
    <m/>
    <m/>
    <m/>
    <m/>
    <m/>
    <m/>
    <n v="1"/>
    <s v="Away"/>
    <m/>
    <m/>
    <m/>
    <m/>
    <s v=""/>
    <s v="Barnsley-"/>
    <s v=""/>
    <s v="Barnsley-"/>
  </r>
  <r>
    <s v="L1_0180"/>
    <x v="24"/>
    <x v="5"/>
    <s v="Wycombe Wanderers"/>
    <m/>
    <m/>
    <m/>
    <m/>
    <m/>
    <m/>
    <n v="1"/>
    <s v="Away"/>
    <m/>
    <m/>
    <m/>
    <m/>
    <s v=""/>
    <s v="Huddersfield Town-"/>
    <s v=""/>
    <s v="Huddersfield Town-"/>
  </r>
  <r>
    <s v="L1_0181"/>
    <x v="25"/>
    <x v="12"/>
    <s v="Barnsley"/>
    <m/>
    <m/>
    <m/>
    <m/>
    <m/>
    <m/>
    <n v="1"/>
    <s v="Away"/>
    <m/>
    <m/>
    <m/>
    <m/>
    <s v=""/>
    <s v="Sheffield Wednesday-"/>
    <s v=""/>
    <s v="Sheffield Wednesday-"/>
  </r>
  <r>
    <s v="L1_0182"/>
    <x v="26"/>
    <x v="22"/>
    <s v="Blackpool"/>
    <m/>
    <m/>
    <m/>
    <m/>
    <m/>
    <m/>
    <n v="1"/>
    <s v="Away"/>
    <m/>
    <m/>
    <m/>
    <m/>
    <s v=""/>
    <s v="Wigan Athletic-"/>
    <s v=""/>
    <s v="Wigan Athletic-"/>
  </r>
  <r>
    <s v="L1_0183"/>
    <x v="26"/>
    <x v="15"/>
    <s v="Bradford City"/>
    <m/>
    <m/>
    <m/>
    <m/>
    <m/>
    <m/>
    <n v="1"/>
    <s v="Away"/>
    <m/>
    <m/>
    <m/>
    <m/>
    <s v=""/>
    <s v="Doncaster Rovers-"/>
    <s v=""/>
    <s v="Doncaster Rovers-"/>
  </r>
  <r>
    <s v="L1_0184"/>
    <x v="26"/>
    <x v="17"/>
    <s v="Burton Albion"/>
    <m/>
    <m/>
    <m/>
    <m/>
    <m/>
    <m/>
    <n v="1"/>
    <s v="Away"/>
    <m/>
    <m/>
    <m/>
    <m/>
    <s v=""/>
    <s v="Luton Town-"/>
    <s v=""/>
    <s v="Luton Town-"/>
  </r>
  <r>
    <s v="L1_0185"/>
    <x v="26"/>
    <x v="21"/>
    <s v="Cambridge United"/>
    <m/>
    <m/>
    <m/>
    <m/>
    <m/>
    <m/>
    <n v="1"/>
    <s v="Away"/>
    <m/>
    <m/>
    <m/>
    <m/>
    <s v=""/>
    <s v="Stockport County-"/>
    <s v=""/>
    <s v="Stockport County-"/>
  </r>
  <r>
    <s v="L1_0186"/>
    <x v="26"/>
    <x v="16"/>
    <s v="Huddersfield Town"/>
    <m/>
    <m/>
    <m/>
    <m/>
    <m/>
    <m/>
    <n v="1"/>
    <s v="Away"/>
    <m/>
    <m/>
    <m/>
    <m/>
    <s v=""/>
    <s v="Leicester City-"/>
    <s v=""/>
    <s v="Leicester City-"/>
  </r>
  <r>
    <s v="L1_0187"/>
    <x v="26"/>
    <x v="13"/>
    <s v="Leyton Orient"/>
    <m/>
    <m/>
    <m/>
    <m/>
    <m/>
    <m/>
    <n v="1"/>
    <s v="Away"/>
    <m/>
    <m/>
    <m/>
    <m/>
    <s v=""/>
    <s v="AFC Wimbledon-"/>
    <s v=""/>
    <s v="AFC Wimbledon-"/>
  </r>
  <r>
    <s v="L1_0188"/>
    <x v="26"/>
    <x v="18"/>
    <s v="Mansfield Town"/>
    <m/>
    <m/>
    <m/>
    <m/>
    <m/>
    <m/>
    <n v="1"/>
    <s v="Away"/>
    <m/>
    <m/>
    <m/>
    <m/>
    <s v=""/>
    <s v="Milton Keynes Dons-"/>
    <s v=""/>
    <s v="Milton Keynes Dons-"/>
  </r>
  <r>
    <s v="L1_0189"/>
    <x v="26"/>
    <x v="20"/>
    <s v="Notts County"/>
    <m/>
    <m/>
    <m/>
    <m/>
    <m/>
    <m/>
    <n v="1"/>
    <s v="Away"/>
    <m/>
    <m/>
    <m/>
    <m/>
    <s v=""/>
    <s v="Stevenage-"/>
    <s v=""/>
    <s v="Stevenage-"/>
  </r>
  <r>
    <s v="L1_0190"/>
    <x v="26"/>
    <x v="23"/>
    <s v="Oxford United"/>
    <m/>
    <m/>
    <m/>
    <m/>
    <m/>
    <m/>
    <n v="1"/>
    <s v="Away"/>
    <m/>
    <m/>
    <m/>
    <m/>
    <s v=""/>
    <s v="Wycombe Wanderers-"/>
    <s v=""/>
    <s v="Wycombe Wanderers-"/>
  </r>
  <r>
    <s v="L1_0191"/>
    <x v="26"/>
    <x v="19"/>
    <s v="Plymouth Argyle"/>
    <m/>
    <m/>
    <m/>
    <m/>
    <m/>
    <m/>
    <n v="1"/>
    <s v="Away"/>
    <m/>
    <m/>
    <m/>
    <m/>
    <s v=""/>
    <s v="Peterborough United-"/>
    <s v=""/>
    <s v="Peterborough United-"/>
  </r>
  <r>
    <s v="L1_0192"/>
    <x v="26"/>
    <x v="14"/>
    <s v="Reading"/>
    <m/>
    <m/>
    <m/>
    <m/>
    <m/>
    <m/>
    <n v="1"/>
    <s v="Away"/>
    <m/>
    <m/>
    <m/>
    <m/>
    <s v=""/>
    <s v="Bromley-"/>
    <s v=""/>
    <s v="Bromley-"/>
  </r>
  <r>
    <s v="L1_0193"/>
    <x v="27"/>
    <x v="5"/>
    <s v="Doncaster Rovers"/>
    <m/>
    <m/>
    <m/>
    <m/>
    <m/>
    <m/>
    <n v="1"/>
    <s v="Away"/>
    <m/>
    <m/>
    <m/>
    <m/>
    <s v=""/>
    <s v="Huddersfield Town-"/>
    <s v=""/>
    <s v="Huddersfield Town-"/>
  </r>
  <r>
    <s v="L1_0194"/>
    <x v="28"/>
    <x v="0"/>
    <s v="AFC Wimbledon"/>
    <m/>
    <m/>
    <m/>
    <m/>
    <m/>
    <m/>
    <n v="1"/>
    <s v="Away"/>
    <m/>
    <m/>
    <m/>
    <m/>
    <s v=""/>
    <s v="Barnsley-"/>
    <s v=""/>
    <s v="Barnsley-"/>
  </r>
  <r>
    <s v="L1_0195"/>
    <x v="28"/>
    <x v="3"/>
    <s v="Bromley"/>
    <m/>
    <m/>
    <m/>
    <m/>
    <m/>
    <m/>
    <n v="1"/>
    <s v="Away"/>
    <m/>
    <m/>
    <m/>
    <m/>
    <s v=""/>
    <s v="Burton Albion-"/>
    <s v=""/>
    <s v="Burton Albion-"/>
  </r>
  <r>
    <s v="L1_0196"/>
    <x v="28"/>
    <x v="7"/>
    <s v="Leicester City"/>
    <m/>
    <m/>
    <m/>
    <m/>
    <m/>
    <m/>
    <n v="1"/>
    <s v="Away"/>
    <m/>
    <m/>
    <m/>
    <m/>
    <s v=""/>
    <s v="Mansfield Town-"/>
    <s v=""/>
    <s v="Mansfield Town-"/>
  </r>
  <r>
    <s v="L1_0197"/>
    <x v="28"/>
    <x v="9"/>
    <s v="Luton Town"/>
    <m/>
    <m/>
    <m/>
    <m/>
    <m/>
    <m/>
    <n v="1"/>
    <s v="Away"/>
    <m/>
    <m/>
    <m/>
    <m/>
    <s v=""/>
    <s v="Oxford United-"/>
    <s v=""/>
    <s v="Oxford United-"/>
  </r>
  <r>
    <s v="L1_0198"/>
    <x v="28"/>
    <x v="8"/>
    <s v="Milton Keynes Dons"/>
    <m/>
    <m/>
    <m/>
    <m/>
    <m/>
    <m/>
    <n v="1"/>
    <s v="Away"/>
    <m/>
    <m/>
    <m/>
    <m/>
    <s v=""/>
    <s v="Notts County-"/>
    <s v=""/>
    <s v="Notts County-"/>
  </r>
  <r>
    <s v="L1_0199"/>
    <x v="28"/>
    <x v="4"/>
    <s v="Peterborough United"/>
    <m/>
    <m/>
    <m/>
    <m/>
    <m/>
    <m/>
    <n v="1"/>
    <s v="Away"/>
    <m/>
    <m/>
    <m/>
    <m/>
    <s v=""/>
    <s v="Cambridge United-"/>
    <s v=""/>
    <s v="Cambridge United-"/>
  </r>
  <r>
    <s v="L1_0200"/>
    <x v="28"/>
    <x v="11"/>
    <s v="Sheffield Wednesday"/>
    <m/>
    <m/>
    <m/>
    <m/>
    <m/>
    <m/>
    <n v="1"/>
    <s v="Away"/>
    <m/>
    <m/>
    <m/>
    <m/>
    <s v=""/>
    <s v="Reading-"/>
    <s v=""/>
    <s v="Reading-"/>
  </r>
  <r>
    <s v="L1_0201"/>
    <x v="28"/>
    <x v="1"/>
    <s v="Stevenage"/>
    <m/>
    <m/>
    <m/>
    <m/>
    <m/>
    <m/>
    <n v="1"/>
    <s v="Away"/>
    <m/>
    <m/>
    <m/>
    <m/>
    <s v=""/>
    <s v="Blackpool-"/>
    <s v=""/>
    <s v="Blackpool-"/>
  </r>
  <r>
    <s v="L1_0202"/>
    <x v="28"/>
    <x v="6"/>
    <s v="Stockport County"/>
    <m/>
    <m/>
    <m/>
    <m/>
    <m/>
    <m/>
    <n v="1"/>
    <s v="Away"/>
    <m/>
    <m/>
    <m/>
    <m/>
    <s v=""/>
    <s v="Leyton Orient-"/>
    <s v=""/>
    <s v="Leyton Orient-"/>
  </r>
  <r>
    <s v="L1_0203"/>
    <x v="28"/>
    <x v="10"/>
    <s v="Wigan Athletic"/>
    <m/>
    <m/>
    <m/>
    <m/>
    <m/>
    <m/>
    <n v="1"/>
    <s v="Away"/>
    <m/>
    <m/>
    <m/>
    <m/>
    <s v=""/>
    <s v="Plymouth Argyle-"/>
    <s v=""/>
    <s v="Plymouth Argyle-"/>
  </r>
  <r>
    <s v="L1_0204"/>
    <x v="28"/>
    <x v="2"/>
    <s v="Wycombe Wanderers"/>
    <m/>
    <m/>
    <m/>
    <m/>
    <m/>
    <m/>
    <n v="1"/>
    <s v="Away"/>
    <m/>
    <m/>
    <m/>
    <m/>
    <s v=""/>
    <s v="Bradford City-"/>
    <s v=""/>
    <s v="Bradford City-"/>
  </r>
  <r>
    <s v="L1_0205"/>
    <x v="29"/>
    <x v="23"/>
    <s v="Barnsley"/>
    <m/>
    <m/>
    <m/>
    <m/>
    <m/>
    <m/>
    <n v="1"/>
    <s v="Away"/>
    <m/>
    <m/>
    <m/>
    <m/>
    <s v=""/>
    <s v="Wycombe Wanderers-"/>
    <s v=""/>
    <s v="Wycombe Wanderers-"/>
  </r>
  <r>
    <s v="L1_0206"/>
    <x v="29"/>
    <x v="17"/>
    <s v="Blackpool"/>
    <m/>
    <m/>
    <m/>
    <m/>
    <m/>
    <m/>
    <n v="1"/>
    <s v="Away"/>
    <m/>
    <m/>
    <m/>
    <m/>
    <s v=""/>
    <s v="Luton Town-"/>
    <s v=""/>
    <s v="Luton Town-"/>
  </r>
  <r>
    <s v="L1_0207"/>
    <x v="29"/>
    <x v="18"/>
    <s v="Bradford City"/>
    <m/>
    <m/>
    <m/>
    <m/>
    <m/>
    <m/>
    <n v="1"/>
    <s v="Away"/>
    <m/>
    <m/>
    <m/>
    <m/>
    <s v=""/>
    <s v="Milton Keynes Dons-"/>
    <s v=""/>
    <s v="Milton Keynes Dons-"/>
  </r>
  <r>
    <s v="L1_0208"/>
    <x v="29"/>
    <x v="22"/>
    <s v="Burton Albion"/>
    <m/>
    <m/>
    <m/>
    <m/>
    <m/>
    <m/>
    <n v="1"/>
    <s v="Away"/>
    <m/>
    <m/>
    <m/>
    <m/>
    <s v=""/>
    <s v="Wigan Athletic-"/>
    <s v=""/>
    <s v="Wigan Athletic-"/>
  </r>
  <r>
    <s v="L1_0209"/>
    <x v="29"/>
    <x v="16"/>
    <s v="Cambridge United"/>
    <m/>
    <m/>
    <m/>
    <m/>
    <m/>
    <m/>
    <n v="1"/>
    <s v="Away"/>
    <m/>
    <m/>
    <m/>
    <m/>
    <s v=""/>
    <s v="Leicester City-"/>
    <s v=""/>
    <s v="Leicester City-"/>
  </r>
  <r>
    <s v="L1_0210"/>
    <x v="29"/>
    <x v="20"/>
    <s v="Huddersfield Town"/>
    <m/>
    <m/>
    <m/>
    <m/>
    <m/>
    <m/>
    <n v="1"/>
    <s v="Away"/>
    <m/>
    <m/>
    <m/>
    <m/>
    <s v=""/>
    <s v="Stevenage-"/>
    <s v=""/>
    <s v="Stevenage-"/>
  </r>
  <r>
    <s v="L1_0211"/>
    <x v="29"/>
    <x v="19"/>
    <s v="Leyton Orient"/>
    <m/>
    <m/>
    <m/>
    <m/>
    <m/>
    <m/>
    <n v="1"/>
    <s v="Away"/>
    <m/>
    <m/>
    <m/>
    <m/>
    <s v=""/>
    <s v="Peterborough United-"/>
    <s v=""/>
    <s v="Peterborough United-"/>
  </r>
  <r>
    <s v="L1_0212"/>
    <x v="29"/>
    <x v="21"/>
    <s v="Mansfield Town"/>
    <m/>
    <m/>
    <m/>
    <m/>
    <m/>
    <m/>
    <n v="1"/>
    <s v="Away"/>
    <m/>
    <m/>
    <m/>
    <m/>
    <s v=""/>
    <s v="Stockport County-"/>
    <s v=""/>
    <s v="Stockport County-"/>
  </r>
  <r>
    <s v="L1_0213"/>
    <x v="29"/>
    <x v="13"/>
    <s v="Notts County"/>
    <m/>
    <m/>
    <m/>
    <m/>
    <m/>
    <m/>
    <n v="1"/>
    <s v="Away"/>
    <m/>
    <m/>
    <m/>
    <m/>
    <s v=""/>
    <s v="AFC Wimbledon-"/>
    <s v=""/>
    <s v="AFC Wimbledon-"/>
  </r>
  <r>
    <s v="L1_0214"/>
    <x v="29"/>
    <x v="12"/>
    <s v="Oxford United"/>
    <m/>
    <m/>
    <m/>
    <m/>
    <m/>
    <m/>
    <n v="1"/>
    <s v="Away"/>
    <m/>
    <m/>
    <m/>
    <m/>
    <s v=""/>
    <s v="Sheffield Wednesday-"/>
    <s v=""/>
    <s v="Sheffield Wednesday-"/>
  </r>
  <r>
    <s v="L1_0215"/>
    <x v="29"/>
    <x v="14"/>
    <s v="Plymouth Argyle"/>
    <m/>
    <m/>
    <m/>
    <m/>
    <m/>
    <m/>
    <n v="1"/>
    <s v="Away"/>
    <m/>
    <m/>
    <m/>
    <m/>
    <s v=""/>
    <s v="Bromley-"/>
    <s v=""/>
    <s v="Bromley-"/>
  </r>
  <r>
    <s v="L1_0216"/>
    <x v="29"/>
    <x v="15"/>
    <s v="Reading"/>
    <m/>
    <m/>
    <m/>
    <m/>
    <m/>
    <m/>
    <n v="1"/>
    <s v="Away"/>
    <m/>
    <m/>
    <m/>
    <m/>
    <s v=""/>
    <s v="Doncaster Rovers-"/>
    <s v=""/>
    <s v="Doncaster Rovers-"/>
  </r>
  <r>
    <s v="L1_0217"/>
    <x v="30"/>
    <x v="12"/>
    <s v="Leicester City"/>
    <m/>
    <m/>
    <m/>
    <m/>
    <m/>
    <m/>
    <n v="1"/>
    <s v="Away"/>
    <m/>
    <m/>
    <m/>
    <m/>
    <s v=""/>
    <s v="Sheffield Wednesday-"/>
    <s v=""/>
    <s v="Sheffield Wednesday-"/>
  </r>
  <r>
    <s v="L1_0218"/>
    <x v="31"/>
    <x v="13"/>
    <s v="Bradford City"/>
    <m/>
    <m/>
    <m/>
    <m/>
    <m/>
    <m/>
    <n v="1"/>
    <s v="Away"/>
    <m/>
    <m/>
    <m/>
    <m/>
    <s v=""/>
    <s v="AFC Wimbledon-"/>
    <s v=""/>
    <s v="AFC Wimbledon-"/>
  </r>
  <r>
    <s v="L1_0219"/>
    <x v="31"/>
    <x v="11"/>
    <s v="Burton Albion"/>
    <m/>
    <m/>
    <m/>
    <m/>
    <m/>
    <m/>
    <n v="1"/>
    <s v="Away"/>
    <m/>
    <m/>
    <m/>
    <m/>
    <s v=""/>
    <s v="Reading-"/>
    <s v=""/>
    <s v="Reading-"/>
  </r>
  <r>
    <s v="L1_0220"/>
    <x v="31"/>
    <x v="14"/>
    <s v="Doncaster Rovers"/>
    <m/>
    <m/>
    <m/>
    <m/>
    <m/>
    <m/>
    <n v="1"/>
    <s v="Away"/>
    <m/>
    <m/>
    <m/>
    <m/>
    <s v=""/>
    <s v="Bromley-"/>
    <s v=""/>
    <s v="Bromley-"/>
  </r>
  <r>
    <s v="L1_0221"/>
    <x v="31"/>
    <x v="6"/>
    <s v="Huddersfield Town"/>
    <m/>
    <m/>
    <m/>
    <m/>
    <m/>
    <m/>
    <n v="1"/>
    <s v="Away"/>
    <m/>
    <m/>
    <m/>
    <m/>
    <s v=""/>
    <s v="Leyton Orient-"/>
    <s v=""/>
    <s v="Leyton Orient-"/>
  </r>
  <r>
    <s v="L1_0222"/>
    <x v="31"/>
    <x v="22"/>
    <s v="Luton Town"/>
    <m/>
    <m/>
    <m/>
    <m/>
    <m/>
    <m/>
    <n v="1"/>
    <s v="Away"/>
    <m/>
    <m/>
    <m/>
    <m/>
    <s v=""/>
    <s v="Wigan Athletic-"/>
    <s v=""/>
    <s v="Wigan Athletic-"/>
  </r>
  <r>
    <s v="L1_0223"/>
    <x v="31"/>
    <x v="23"/>
    <s v="Mansfield Town"/>
    <m/>
    <m/>
    <m/>
    <m/>
    <m/>
    <m/>
    <n v="1"/>
    <s v="Away"/>
    <m/>
    <m/>
    <m/>
    <m/>
    <s v=""/>
    <s v="Wycombe Wanderers-"/>
    <s v=""/>
    <s v="Wycombe Wanderers-"/>
  </r>
  <r>
    <s v="L1_0224"/>
    <x v="31"/>
    <x v="4"/>
    <s v="Milton Keynes Dons"/>
    <m/>
    <m/>
    <m/>
    <m/>
    <m/>
    <m/>
    <n v="1"/>
    <s v="Away"/>
    <m/>
    <m/>
    <m/>
    <m/>
    <s v=""/>
    <s v="Cambridge United-"/>
    <s v=""/>
    <s v="Cambridge United-"/>
  </r>
  <r>
    <s v="L1_0225"/>
    <x v="31"/>
    <x v="10"/>
    <s v="Notts County"/>
    <m/>
    <m/>
    <m/>
    <m/>
    <m/>
    <m/>
    <n v="1"/>
    <s v="Away"/>
    <m/>
    <m/>
    <m/>
    <m/>
    <s v=""/>
    <s v="Plymouth Argyle-"/>
    <s v=""/>
    <s v="Plymouth Argyle-"/>
  </r>
  <r>
    <s v="L1_0226"/>
    <x v="31"/>
    <x v="1"/>
    <s v="Oxford United"/>
    <m/>
    <m/>
    <m/>
    <m/>
    <m/>
    <m/>
    <n v="1"/>
    <s v="Away"/>
    <m/>
    <m/>
    <m/>
    <m/>
    <s v=""/>
    <s v="Blackpool-"/>
    <s v=""/>
    <s v="Blackpool-"/>
  </r>
  <r>
    <s v="L1_0227"/>
    <x v="31"/>
    <x v="0"/>
    <s v="Peterborough United"/>
    <m/>
    <m/>
    <m/>
    <m/>
    <m/>
    <m/>
    <n v="1"/>
    <s v="Away"/>
    <m/>
    <m/>
    <m/>
    <m/>
    <s v=""/>
    <s v="Barnsley-"/>
    <s v=""/>
    <s v="Barnsley-"/>
  </r>
  <r>
    <s v="L1_0228"/>
    <x v="31"/>
    <x v="21"/>
    <s v="Stevenage"/>
    <m/>
    <m/>
    <m/>
    <m/>
    <m/>
    <m/>
    <n v="1"/>
    <s v="Away"/>
    <m/>
    <m/>
    <m/>
    <m/>
    <s v=""/>
    <s v="Stockport County-"/>
    <s v=""/>
    <s v="Stockport County-"/>
  </r>
  <r>
    <s v="L1_0229"/>
    <x v="32"/>
    <x v="20"/>
    <s v="Cambridge United"/>
    <m/>
    <m/>
    <m/>
    <m/>
    <m/>
    <m/>
    <n v="1"/>
    <s v="Away"/>
    <m/>
    <m/>
    <m/>
    <m/>
    <s v=""/>
    <s v="Stevenage-"/>
    <s v=""/>
    <s v="Stevenage-"/>
  </r>
  <r>
    <s v="L1_0230"/>
    <x v="33"/>
    <x v="9"/>
    <s v="AFC Wimbledon"/>
    <m/>
    <m/>
    <m/>
    <m/>
    <m/>
    <m/>
    <n v="1"/>
    <s v="Away"/>
    <m/>
    <m/>
    <m/>
    <m/>
    <s v=""/>
    <s v="Oxford United-"/>
    <s v=""/>
    <s v="Oxford United-"/>
  </r>
  <r>
    <s v="L1_0231"/>
    <x v="33"/>
    <x v="5"/>
    <s v="Barnsley"/>
    <m/>
    <m/>
    <m/>
    <m/>
    <m/>
    <m/>
    <n v="1"/>
    <s v="Away"/>
    <m/>
    <m/>
    <m/>
    <m/>
    <s v=""/>
    <s v="Huddersfield Town-"/>
    <s v=""/>
    <s v="Huddersfield Town-"/>
  </r>
  <r>
    <s v="L1_0232"/>
    <x v="33"/>
    <x v="3"/>
    <s v="Blackpool"/>
    <m/>
    <m/>
    <m/>
    <m/>
    <m/>
    <m/>
    <n v="1"/>
    <s v="Away"/>
    <m/>
    <m/>
    <m/>
    <m/>
    <s v=""/>
    <s v="Burton Albion-"/>
    <s v=""/>
    <s v="Burton Albion-"/>
  </r>
  <r>
    <s v="L1_0233"/>
    <x v="33"/>
    <x v="2"/>
    <s v="Bromley"/>
    <m/>
    <m/>
    <m/>
    <m/>
    <m/>
    <m/>
    <n v="1"/>
    <s v="Away"/>
    <m/>
    <m/>
    <m/>
    <m/>
    <s v=""/>
    <s v="Bradford City-"/>
    <s v=""/>
    <s v="Bradford City-"/>
  </r>
  <r>
    <s v="L1_0234"/>
    <x v="33"/>
    <x v="8"/>
    <s v="Leyton Orient"/>
    <m/>
    <m/>
    <m/>
    <m/>
    <m/>
    <m/>
    <n v="1"/>
    <s v="Away"/>
    <m/>
    <m/>
    <m/>
    <m/>
    <s v=""/>
    <s v="Notts County-"/>
    <s v=""/>
    <s v="Notts County-"/>
  </r>
  <r>
    <s v="L1_0235"/>
    <x v="33"/>
    <x v="7"/>
    <s v="Plymouth Argyle"/>
    <m/>
    <m/>
    <m/>
    <m/>
    <m/>
    <m/>
    <n v="1"/>
    <s v="Away"/>
    <m/>
    <m/>
    <m/>
    <m/>
    <s v=""/>
    <s v="Mansfield Town-"/>
    <s v=""/>
    <s v="Mansfield Town-"/>
  </r>
  <r>
    <s v="L1_0236"/>
    <x v="33"/>
    <x v="16"/>
    <s v="Reading"/>
    <m/>
    <m/>
    <m/>
    <m/>
    <m/>
    <m/>
    <n v="1"/>
    <s v="Away"/>
    <m/>
    <m/>
    <m/>
    <m/>
    <s v=""/>
    <s v="Leicester City-"/>
    <s v=""/>
    <s v="Leicester City-"/>
  </r>
  <r>
    <s v="L1_0237"/>
    <x v="33"/>
    <x v="17"/>
    <s v="Sheffield Wednesday"/>
    <m/>
    <m/>
    <m/>
    <m/>
    <m/>
    <m/>
    <n v="1"/>
    <s v="Away"/>
    <m/>
    <m/>
    <m/>
    <m/>
    <s v=""/>
    <s v="Luton Town-"/>
    <s v=""/>
    <s v="Luton Town-"/>
  </r>
  <r>
    <s v="L1_0238"/>
    <x v="33"/>
    <x v="18"/>
    <s v="Stockport County"/>
    <m/>
    <m/>
    <m/>
    <m/>
    <m/>
    <m/>
    <n v="1"/>
    <s v="Away"/>
    <m/>
    <m/>
    <m/>
    <m/>
    <s v=""/>
    <s v="Milton Keynes Dons-"/>
    <s v=""/>
    <s v="Milton Keynes Dons-"/>
  </r>
  <r>
    <s v="L1_0239"/>
    <x v="33"/>
    <x v="19"/>
    <s v="Wigan Athletic"/>
    <m/>
    <m/>
    <m/>
    <m/>
    <m/>
    <m/>
    <n v="1"/>
    <s v="Away"/>
    <m/>
    <m/>
    <m/>
    <m/>
    <s v=""/>
    <s v="Peterborough United-"/>
    <s v=""/>
    <s v="Peterborough United-"/>
  </r>
  <r>
    <s v="L1_0240"/>
    <x v="33"/>
    <x v="15"/>
    <s v="Wycombe Wanderers"/>
    <m/>
    <m/>
    <m/>
    <m/>
    <m/>
    <m/>
    <n v="1"/>
    <s v="Away"/>
    <m/>
    <m/>
    <m/>
    <m/>
    <s v=""/>
    <s v="Doncaster Rovers-"/>
    <s v=""/>
    <s v="Doncaster Rovers-"/>
  </r>
  <r>
    <s v="L1_0241"/>
    <x v="34"/>
    <x v="21"/>
    <s v="Bradford City"/>
    <m/>
    <m/>
    <m/>
    <m/>
    <m/>
    <m/>
    <n v="1"/>
    <s v="Away"/>
    <m/>
    <m/>
    <m/>
    <m/>
    <s v=""/>
    <s v="Stockport County-"/>
    <s v=""/>
    <s v="Stockport County-"/>
  </r>
  <r>
    <s v="L1_0242"/>
    <x v="34"/>
    <x v="12"/>
    <s v="Burton Albion"/>
    <m/>
    <m/>
    <m/>
    <m/>
    <m/>
    <m/>
    <n v="1"/>
    <s v="Away"/>
    <m/>
    <m/>
    <m/>
    <m/>
    <s v=""/>
    <s v="Sheffield Wednesday-"/>
    <s v=""/>
    <s v="Sheffield Wednesday-"/>
  </r>
  <r>
    <s v="L1_0243"/>
    <x v="34"/>
    <x v="22"/>
    <s v="Doncaster Rovers"/>
    <m/>
    <m/>
    <m/>
    <m/>
    <m/>
    <m/>
    <n v="1"/>
    <s v="Away"/>
    <m/>
    <m/>
    <m/>
    <m/>
    <s v=""/>
    <s v="Wigan Athletic-"/>
    <s v=""/>
    <s v="Wigan Athletic-"/>
  </r>
  <r>
    <s v="L1_0244"/>
    <x v="34"/>
    <x v="1"/>
    <s v="Huddersfield Town"/>
    <m/>
    <m/>
    <m/>
    <m/>
    <m/>
    <m/>
    <n v="1"/>
    <s v="Away"/>
    <m/>
    <m/>
    <m/>
    <m/>
    <s v=""/>
    <s v="Blackpool-"/>
    <s v=""/>
    <s v="Blackpool-"/>
  </r>
  <r>
    <s v="L1_0245"/>
    <x v="34"/>
    <x v="13"/>
    <s v="Leicester City"/>
    <m/>
    <m/>
    <m/>
    <m/>
    <m/>
    <m/>
    <n v="1"/>
    <s v="Away"/>
    <m/>
    <m/>
    <m/>
    <m/>
    <s v=""/>
    <s v="AFC Wimbledon-"/>
    <s v=""/>
    <s v="AFC Wimbledon-"/>
  </r>
  <r>
    <s v="L1_0246"/>
    <x v="34"/>
    <x v="14"/>
    <s v="Luton Town"/>
    <m/>
    <m/>
    <m/>
    <m/>
    <m/>
    <m/>
    <n v="1"/>
    <s v="Away"/>
    <m/>
    <m/>
    <m/>
    <m/>
    <s v=""/>
    <s v="Bromley-"/>
    <s v=""/>
    <s v="Bromley-"/>
  </r>
  <r>
    <s v="L1_0247"/>
    <x v="34"/>
    <x v="0"/>
    <s v="Mansfield Town"/>
    <m/>
    <m/>
    <m/>
    <m/>
    <m/>
    <m/>
    <n v="1"/>
    <s v="Away"/>
    <m/>
    <m/>
    <m/>
    <m/>
    <s v=""/>
    <s v="Barnsley-"/>
    <s v=""/>
    <s v="Barnsley-"/>
  </r>
  <r>
    <s v="L1_0248"/>
    <x v="34"/>
    <x v="6"/>
    <s v="Milton Keynes Dons"/>
    <m/>
    <m/>
    <m/>
    <m/>
    <m/>
    <m/>
    <n v="1"/>
    <s v="Away"/>
    <m/>
    <m/>
    <m/>
    <m/>
    <s v=""/>
    <s v="Leyton Orient-"/>
    <s v=""/>
    <s v="Leyton Orient-"/>
  </r>
  <r>
    <s v="L1_0249"/>
    <x v="34"/>
    <x v="4"/>
    <s v="Notts County"/>
    <m/>
    <m/>
    <m/>
    <m/>
    <m/>
    <m/>
    <n v="1"/>
    <s v="Away"/>
    <m/>
    <m/>
    <m/>
    <m/>
    <s v=""/>
    <s v="Cambridge United-"/>
    <s v=""/>
    <s v="Cambridge United-"/>
  </r>
  <r>
    <s v="L1_0250"/>
    <x v="34"/>
    <x v="10"/>
    <s v="Oxford United"/>
    <m/>
    <m/>
    <m/>
    <m/>
    <m/>
    <m/>
    <n v="1"/>
    <s v="Away"/>
    <m/>
    <m/>
    <m/>
    <m/>
    <s v=""/>
    <s v="Plymouth Argyle-"/>
    <s v=""/>
    <s v="Plymouth Argyle-"/>
  </r>
  <r>
    <s v="L1_0251"/>
    <x v="34"/>
    <x v="23"/>
    <s v="Peterborough United"/>
    <m/>
    <m/>
    <m/>
    <m/>
    <m/>
    <m/>
    <n v="1"/>
    <s v="Away"/>
    <m/>
    <m/>
    <m/>
    <m/>
    <s v=""/>
    <s v="Wycombe Wanderers-"/>
    <s v=""/>
    <s v="Wycombe Wanderers-"/>
  </r>
  <r>
    <s v="L1_0252"/>
    <x v="34"/>
    <x v="11"/>
    <s v="Stevenage"/>
    <m/>
    <m/>
    <m/>
    <m/>
    <m/>
    <m/>
    <n v="1"/>
    <s v="Away"/>
    <m/>
    <m/>
    <m/>
    <m/>
    <s v=""/>
    <s v="Reading-"/>
    <s v=""/>
    <s v="Reading-"/>
  </r>
  <r>
    <s v="L1_0253"/>
    <x v="35"/>
    <x v="17"/>
    <s v="AFC Wimbledon"/>
    <m/>
    <m/>
    <m/>
    <m/>
    <m/>
    <m/>
    <n v="1"/>
    <s v="Away"/>
    <m/>
    <m/>
    <m/>
    <m/>
    <s v=""/>
    <s v="Luton Town-"/>
    <s v=""/>
    <s v="Luton Town-"/>
  </r>
  <r>
    <s v="L1_0254"/>
    <x v="35"/>
    <x v="3"/>
    <s v="Barnsley"/>
    <m/>
    <m/>
    <m/>
    <m/>
    <m/>
    <m/>
    <n v="1"/>
    <s v="Away"/>
    <m/>
    <m/>
    <m/>
    <m/>
    <s v=""/>
    <s v="Burton Albion-"/>
    <s v=""/>
    <s v="Burton Albion-"/>
  </r>
  <r>
    <s v="L1_0255"/>
    <x v="35"/>
    <x v="2"/>
    <s v="Blackpool"/>
    <m/>
    <m/>
    <m/>
    <m/>
    <m/>
    <m/>
    <n v="1"/>
    <s v="Away"/>
    <m/>
    <m/>
    <m/>
    <m/>
    <s v=""/>
    <s v="Bradford City-"/>
    <s v=""/>
    <s v="Bradford City-"/>
  </r>
  <r>
    <s v="L1_0256"/>
    <x v="35"/>
    <x v="9"/>
    <s v="Bromley"/>
    <m/>
    <m/>
    <m/>
    <m/>
    <m/>
    <m/>
    <n v="1"/>
    <s v="Away"/>
    <m/>
    <m/>
    <m/>
    <m/>
    <s v=""/>
    <s v="Oxford United-"/>
    <s v=""/>
    <s v="Oxford United-"/>
  </r>
  <r>
    <s v="L1_0257"/>
    <x v="35"/>
    <x v="15"/>
    <s v="Cambridge United"/>
    <m/>
    <m/>
    <m/>
    <m/>
    <m/>
    <m/>
    <n v="1"/>
    <s v="Away"/>
    <m/>
    <m/>
    <m/>
    <m/>
    <s v=""/>
    <s v="Doncaster Rovers-"/>
    <s v=""/>
    <s v="Doncaster Rovers-"/>
  </r>
  <r>
    <s v="L1_0258"/>
    <x v="35"/>
    <x v="16"/>
    <s v="Leyton Orient"/>
    <m/>
    <m/>
    <m/>
    <m/>
    <m/>
    <m/>
    <n v="1"/>
    <s v="Away"/>
    <m/>
    <m/>
    <m/>
    <m/>
    <s v=""/>
    <s v="Leicester City-"/>
    <s v=""/>
    <s v="Leicester City-"/>
  </r>
  <r>
    <s v="L1_0259"/>
    <x v="35"/>
    <x v="18"/>
    <s v="Plymouth Argyle"/>
    <m/>
    <m/>
    <m/>
    <m/>
    <m/>
    <m/>
    <n v="1"/>
    <s v="Away"/>
    <m/>
    <m/>
    <m/>
    <m/>
    <s v=""/>
    <s v="Milton Keynes Dons-"/>
    <s v=""/>
    <s v="Milton Keynes Dons-"/>
  </r>
  <r>
    <s v="L1_0260"/>
    <x v="35"/>
    <x v="19"/>
    <s v="Reading"/>
    <m/>
    <m/>
    <m/>
    <m/>
    <m/>
    <m/>
    <n v="1"/>
    <s v="Away"/>
    <m/>
    <m/>
    <m/>
    <m/>
    <s v=""/>
    <s v="Peterborough United-"/>
    <s v=""/>
    <s v="Peterborough United-"/>
  </r>
  <r>
    <s v="L1_0261"/>
    <x v="35"/>
    <x v="7"/>
    <s v="Sheffield Wednesday"/>
    <m/>
    <m/>
    <m/>
    <m/>
    <m/>
    <m/>
    <n v="1"/>
    <s v="Away"/>
    <m/>
    <m/>
    <m/>
    <m/>
    <s v=""/>
    <s v="Mansfield Town-"/>
    <s v=""/>
    <s v="Mansfield Town-"/>
  </r>
  <r>
    <s v="L1_0262"/>
    <x v="35"/>
    <x v="5"/>
    <s v="Stockport County"/>
    <m/>
    <m/>
    <m/>
    <m/>
    <m/>
    <m/>
    <n v="1"/>
    <s v="Away"/>
    <m/>
    <m/>
    <m/>
    <m/>
    <s v=""/>
    <s v="Huddersfield Town-"/>
    <s v=""/>
    <s v="Huddersfield Town-"/>
  </r>
  <r>
    <s v="L1_0263"/>
    <x v="35"/>
    <x v="8"/>
    <s v="Wigan Athletic"/>
    <m/>
    <m/>
    <m/>
    <m/>
    <m/>
    <m/>
    <n v="1"/>
    <s v="Away"/>
    <m/>
    <m/>
    <m/>
    <m/>
    <s v=""/>
    <s v="Notts County-"/>
    <s v=""/>
    <s v="Notts County-"/>
  </r>
  <r>
    <s v="L1_0264"/>
    <x v="35"/>
    <x v="20"/>
    <s v="Wycombe Wanderers"/>
    <m/>
    <m/>
    <m/>
    <m/>
    <m/>
    <m/>
    <n v="1"/>
    <s v="Away"/>
    <m/>
    <m/>
    <m/>
    <m/>
    <s v=""/>
    <s v="Stevenage-"/>
    <s v=""/>
    <s v="Stevenage-"/>
  </r>
  <r>
    <s v="L1_0265"/>
    <x v="36"/>
    <x v="19"/>
    <s v="AFC Wimbledon"/>
    <m/>
    <m/>
    <m/>
    <m/>
    <m/>
    <m/>
    <n v="1"/>
    <s v="Away"/>
    <m/>
    <m/>
    <m/>
    <m/>
    <s v=""/>
    <s v="Peterborough United-"/>
    <s v=""/>
    <s v="Peterborough United-"/>
  </r>
  <r>
    <s v="L1_0266"/>
    <x v="36"/>
    <x v="8"/>
    <s v="Barnsley"/>
    <m/>
    <m/>
    <m/>
    <m/>
    <m/>
    <m/>
    <n v="1"/>
    <s v="Away"/>
    <m/>
    <m/>
    <m/>
    <m/>
    <s v=""/>
    <s v="Notts County-"/>
    <s v=""/>
    <s v="Notts County-"/>
  </r>
  <r>
    <s v="L1_0267"/>
    <x v="36"/>
    <x v="15"/>
    <s v="Blackpool"/>
    <m/>
    <m/>
    <m/>
    <m/>
    <m/>
    <m/>
    <n v="1"/>
    <s v="Away"/>
    <m/>
    <m/>
    <m/>
    <m/>
    <s v=""/>
    <s v="Doncaster Rovers-"/>
    <s v=""/>
    <s v="Doncaster Rovers-"/>
  </r>
  <r>
    <s v="L1_0268"/>
    <x v="36"/>
    <x v="20"/>
    <s v="Bromley"/>
    <m/>
    <m/>
    <m/>
    <m/>
    <m/>
    <m/>
    <n v="1"/>
    <s v="Away"/>
    <m/>
    <m/>
    <m/>
    <m/>
    <s v=""/>
    <s v="Stevenage-"/>
    <s v=""/>
    <s v="Stevenage-"/>
  </r>
  <r>
    <s v="L1_0269"/>
    <x v="36"/>
    <x v="9"/>
    <s v="Leyton Orient"/>
    <m/>
    <m/>
    <m/>
    <m/>
    <m/>
    <m/>
    <n v="1"/>
    <s v="Away"/>
    <m/>
    <m/>
    <m/>
    <m/>
    <s v=""/>
    <s v="Oxford United-"/>
    <s v=""/>
    <s v="Oxford United-"/>
  </r>
  <r>
    <s v="L1_0270"/>
    <x v="36"/>
    <x v="18"/>
    <s v="Reading"/>
    <m/>
    <m/>
    <m/>
    <m/>
    <m/>
    <m/>
    <n v="1"/>
    <s v="Away"/>
    <m/>
    <m/>
    <m/>
    <m/>
    <s v=""/>
    <s v="Milton Keynes Dons-"/>
    <s v=""/>
    <s v="Milton Keynes Dons-"/>
  </r>
  <r>
    <s v="L1_0271"/>
    <x v="36"/>
    <x v="5"/>
    <s v="Sheffield Wednesday"/>
    <m/>
    <m/>
    <m/>
    <m/>
    <m/>
    <m/>
    <n v="1"/>
    <s v="Away"/>
    <m/>
    <m/>
    <m/>
    <m/>
    <s v=""/>
    <s v="Huddersfield Town-"/>
    <s v=""/>
    <s v="Huddersfield Town-"/>
  </r>
  <r>
    <s v="L1_0272"/>
    <x v="36"/>
    <x v="2"/>
    <s v="Wigan Athletic"/>
    <m/>
    <m/>
    <m/>
    <m/>
    <m/>
    <m/>
    <n v="1"/>
    <s v="Away"/>
    <m/>
    <m/>
    <m/>
    <m/>
    <s v=""/>
    <s v="Bradford City-"/>
    <s v=""/>
    <s v="Bradford City-"/>
  </r>
  <r>
    <s v="L1_0273"/>
    <x v="36"/>
    <x v="16"/>
    <s v="Wycombe Wanderers"/>
    <m/>
    <m/>
    <m/>
    <m/>
    <m/>
    <m/>
    <n v="1"/>
    <s v="Away"/>
    <m/>
    <m/>
    <m/>
    <m/>
    <s v=""/>
    <s v="Leicester City-"/>
    <s v=""/>
    <s v="Leicester City-"/>
  </r>
  <r>
    <s v="L1_0274"/>
    <x v="37"/>
    <x v="7"/>
    <s v="Cambridge United"/>
    <m/>
    <m/>
    <m/>
    <m/>
    <m/>
    <m/>
    <n v="1"/>
    <s v="Away"/>
    <m/>
    <m/>
    <m/>
    <m/>
    <s v=""/>
    <s v="Mansfield Town-"/>
    <s v=""/>
    <s v="Mansfield Town-"/>
  </r>
  <r>
    <s v="L1_0275"/>
    <x v="37"/>
    <x v="17"/>
    <s v="Plymouth Argyle"/>
    <m/>
    <m/>
    <m/>
    <m/>
    <m/>
    <m/>
    <n v="1"/>
    <s v="Away"/>
    <m/>
    <m/>
    <m/>
    <m/>
    <s v=""/>
    <s v="Luton Town-"/>
    <s v=""/>
    <s v="Luton Town-"/>
  </r>
  <r>
    <s v="L1_0276"/>
    <x v="37"/>
    <x v="3"/>
    <s v="Stockport County"/>
    <m/>
    <m/>
    <m/>
    <m/>
    <m/>
    <m/>
    <n v="1"/>
    <s v="Away"/>
    <m/>
    <m/>
    <m/>
    <m/>
    <s v=""/>
    <s v="Burton Albion-"/>
    <s v=""/>
    <s v="Burton Albion-"/>
  </r>
  <r>
    <s v="L1_0277"/>
    <x v="38"/>
    <x v="1"/>
    <s v="Burton Albion"/>
    <m/>
    <m/>
    <m/>
    <m/>
    <m/>
    <m/>
    <n v="1"/>
    <s v="Away"/>
    <m/>
    <m/>
    <m/>
    <m/>
    <s v=""/>
    <s v="Blackpool-"/>
    <s v=""/>
    <s v="Blackpool-"/>
  </r>
  <r>
    <s v="L1_0278"/>
    <x v="39"/>
    <x v="14"/>
    <s v="Bradford City"/>
    <m/>
    <m/>
    <m/>
    <m/>
    <m/>
    <m/>
    <n v="1"/>
    <s v="Away"/>
    <m/>
    <m/>
    <m/>
    <m/>
    <s v=""/>
    <s v="Bromley-"/>
    <s v=""/>
    <s v="Bromley-"/>
  </r>
  <r>
    <s v="L1_0279"/>
    <x v="39"/>
    <x v="23"/>
    <s v="Doncaster Rovers"/>
    <m/>
    <m/>
    <m/>
    <m/>
    <m/>
    <m/>
    <n v="1"/>
    <s v="Away"/>
    <m/>
    <m/>
    <m/>
    <m/>
    <s v=""/>
    <s v="Wycombe Wanderers-"/>
    <s v=""/>
    <s v="Wycombe Wanderers-"/>
  </r>
  <r>
    <s v="L1_0280"/>
    <x v="39"/>
    <x v="0"/>
    <s v="Huddersfield Town"/>
    <m/>
    <m/>
    <m/>
    <m/>
    <m/>
    <m/>
    <n v="1"/>
    <s v="Away"/>
    <m/>
    <m/>
    <m/>
    <m/>
    <s v=""/>
    <s v="Barnsley-"/>
    <s v=""/>
    <s v="Barnsley-"/>
  </r>
  <r>
    <s v="L1_0281"/>
    <x v="39"/>
    <x v="11"/>
    <s v="Leicester City"/>
    <m/>
    <m/>
    <m/>
    <m/>
    <m/>
    <m/>
    <n v="1"/>
    <s v="Away"/>
    <m/>
    <m/>
    <m/>
    <m/>
    <s v=""/>
    <s v="Reading-"/>
    <s v=""/>
    <s v="Reading-"/>
  </r>
  <r>
    <s v="L1_0282"/>
    <x v="39"/>
    <x v="12"/>
    <s v="Luton Town"/>
    <m/>
    <m/>
    <m/>
    <m/>
    <m/>
    <m/>
    <n v="1"/>
    <s v="Away"/>
    <m/>
    <m/>
    <m/>
    <m/>
    <s v=""/>
    <s v="Sheffield Wednesday-"/>
    <s v=""/>
    <s v="Sheffield Wednesday-"/>
  </r>
  <r>
    <s v="L1_0283"/>
    <x v="39"/>
    <x v="10"/>
    <s v="Mansfield Town"/>
    <m/>
    <m/>
    <m/>
    <m/>
    <m/>
    <m/>
    <n v="1"/>
    <s v="Away"/>
    <m/>
    <m/>
    <m/>
    <m/>
    <s v=""/>
    <s v="Plymouth Argyle-"/>
    <s v=""/>
    <s v="Plymouth Argyle-"/>
  </r>
  <r>
    <s v="L1_0284"/>
    <x v="39"/>
    <x v="21"/>
    <s v="Milton Keynes Dons"/>
    <m/>
    <m/>
    <m/>
    <m/>
    <m/>
    <m/>
    <n v="1"/>
    <s v="Away"/>
    <m/>
    <m/>
    <m/>
    <m/>
    <s v=""/>
    <s v="Stockport County-"/>
    <s v=""/>
    <s v="Stockport County-"/>
  </r>
  <r>
    <s v="L1_0285"/>
    <x v="39"/>
    <x v="6"/>
    <s v="Notts County"/>
    <m/>
    <m/>
    <m/>
    <m/>
    <m/>
    <m/>
    <n v="1"/>
    <s v="Away"/>
    <m/>
    <m/>
    <m/>
    <m/>
    <s v=""/>
    <s v="Leyton Orient-"/>
    <s v=""/>
    <s v="Leyton Orient-"/>
  </r>
  <r>
    <s v="L1_0286"/>
    <x v="39"/>
    <x v="13"/>
    <s v="Oxford United"/>
    <m/>
    <m/>
    <m/>
    <m/>
    <m/>
    <m/>
    <n v="1"/>
    <s v="Away"/>
    <m/>
    <m/>
    <m/>
    <m/>
    <s v=""/>
    <s v="AFC Wimbledon-"/>
    <s v=""/>
    <s v="AFC Wimbledon-"/>
  </r>
  <r>
    <s v="L1_0287"/>
    <x v="39"/>
    <x v="22"/>
    <s v="Peterborough United"/>
    <m/>
    <m/>
    <m/>
    <m/>
    <m/>
    <m/>
    <n v="1"/>
    <s v="Away"/>
    <m/>
    <m/>
    <m/>
    <m/>
    <s v=""/>
    <s v="Wigan Athletic-"/>
    <s v=""/>
    <s v="Wigan Athletic-"/>
  </r>
  <r>
    <s v="L1_0288"/>
    <x v="39"/>
    <x v="4"/>
    <s v="Stevenage"/>
    <m/>
    <m/>
    <m/>
    <m/>
    <m/>
    <m/>
    <n v="1"/>
    <s v="Away"/>
    <m/>
    <m/>
    <m/>
    <m/>
    <s v=""/>
    <s v="Cambridge United-"/>
    <s v=""/>
    <s v="Cambridge United-"/>
  </r>
  <r>
    <s v="L1_0289"/>
    <x v="40"/>
    <x v="12"/>
    <s v="AFC Wimbledon"/>
    <m/>
    <m/>
    <m/>
    <m/>
    <m/>
    <m/>
    <n v="1"/>
    <s v="Away"/>
    <m/>
    <m/>
    <m/>
    <m/>
    <s v=""/>
    <s v="Sheffield Wednesday-"/>
    <s v=""/>
    <s v="Sheffield Wednesday-"/>
  </r>
  <r>
    <s v="L1_0290"/>
    <x v="40"/>
    <x v="6"/>
    <s v="Blackpool"/>
    <m/>
    <m/>
    <m/>
    <m/>
    <m/>
    <m/>
    <n v="1"/>
    <s v="Away"/>
    <m/>
    <m/>
    <m/>
    <m/>
    <s v=""/>
    <s v="Leyton Orient-"/>
    <s v=""/>
    <s v="Leyton Orient-"/>
  </r>
  <r>
    <s v="L1_0291"/>
    <x v="40"/>
    <x v="21"/>
    <s v="Bromley"/>
    <m/>
    <m/>
    <m/>
    <m/>
    <m/>
    <m/>
    <n v="1"/>
    <s v="Away"/>
    <m/>
    <m/>
    <m/>
    <m/>
    <s v=""/>
    <s v="Stockport County-"/>
    <s v=""/>
    <s v="Stockport County-"/>
  </r>
  <r>
    <s v="L1_0292"/>
    <x v="40"/>
    <x v="19"/>
    <s v="Burton Albion"/>
    <m/>
    <m/>
    <m/>
    <m/>
    <m/>
    <m/>
    <n v="1"/>
    <s v="Away"/>
    <m/>
    <m/>
    <m/>
    <m/>
    <s v=""/>
    <s v="Peterborough United-"/>
    <s v=""/>
    <s v="Peterborough United-"/>
  </r>
  <r>
    <s v="L1_0293"/>
    <x v="40"/>
    <x v="0"/>
    <s v="Cambridge United"/>
    <m/>
    <m/>
    <m/>
    <m/>
    <m/>
    <m/>
    <n v="1"/>
    <s v="Away"/>
    <m/>
    <m/>
    <m/>
    <m/>
    <s v=""/>
    <s v="Barnsley-"/>
    <s v=""/>
    <s v="Barnsley-"/>
  </r>
  <r>
    <s v="L1_0294"/>
    <x v="40"/>
    <x v="16"/>
    <s v="Doncaster Rovers"/>
    <m/>
    <m/>
    <m/>
    <m/>
    <m/>
    <m/>
    <n v="1"/>
    <s v="Away"/>
    <m/>
    <m/>
    <m/>
    <m/>
    <s v=""/>
    <s v="Leicester City-"/>
    <s v=""/>
    <s v="Leicester City-"/>
  </r>
  <r>
    <s v="L1_0295"/>
    <x v="40"/>
    <x v="10"/>
    <s v="Huddersfield Town"/>
    <m/>
    <m/>
    <m/>
    <m/>
    <m/>
    <m/>
    <n v="1"/>
    <s v="Away"/>
    <m/>
    <m/>
    <m/>
    <m/>
    <s v=""/>
    <s v="Plymouth Argyle-"/>
    <s v=""/>
    <s v="Plymouth Argyle-"/>
  </r>
  <r>
    <s v="L1_0296"/>
    <x v="40"/>
    <x v="18"/>
    <s v="Luton Town"/>
    <m/>
    <m/>
    <m/>
    <m/>
    <m/>
    <m/>
    <n v="1"/>
    <s v="Away"/>
    <m/>
    <m/>
    <m/>
    <m/>
    <s v=""/>
    <s v="Milton Keynes Dons-"/>
    <s v=""/>
    <s v="Milton Keynes Dons-"/>
  </r>
  <r>
    <s v="L1_0297"/>
    <x v="40"/>
    <x v="23"/>
    <s v="Notts County"/>
    <m/>
    <m/>
    <m/>
    <m/>
    <m/>
    <m/>
    <n v="1"/>
    <s v="Away"/>
    <m/>
    <m/>
    <m/>
    <m/>
    <s v=""/>
    <s v="Wycombe Wanderers-"/>
    <s v=""/>
    <s v="Wycombe Wanderers-"/>
  </r>
  <r>
    <s v="L1_0298"/>
    <x v="40"/>
    <x v="7"/>
    <s v="Oxford United"/>
    <m/>
    <m/>
    <m/>
    <m/>
    <m/>
    <m/>
    <n v="1"/>
    <s v="Away"/>
    <m/>
    <m/>
    <m/>
    <m/>
    <s v=""/>
    <s v="Mansfield Town-"/>
    <s v=""/>
    <s v="Mansfield Town-"/>
  </r>
  <r>
    <s v="L1_0299"/>
    <x v="40"/>
    <x v="22"/>
    <s v="Reading"/>
    <m/>
    <m/>
    <m/>
    <m/>
    <m/>
    <m/>
    <n v="1"/>
    <s v="Away"/>
    <m/>
    <m/>
    <m/>
    <m/>
    <s v=""/>
    <s v="Wigan Athletic-"/>
    <s v=""/>
    <s v="Wigan Athletic-"/>
  </r>
  <r>
    <s v="L1_0300"/>
    <x v="40"/>
    <x v="2"/>
    <s v="Stevenage"/>
    <m/>
    <m/>
    <m/>
    <m/>
    <m/>
    <m/>
    <n v="1"/>
    <s v="Away"/>
    <m/>
    <m/>
    <m/>
    <m/>
    <s v=""/>
    <s v="Bradford City-"/>
    <s v=""/>
    <s v="Bradford City-"/>
  </r>
  <r>
    <s v="L1_0301"/>
    <x v="41"/>
    <x v="17"/>
    <s v="Barnsley"/>
    <m/>
    <m/>
    <m/>
    <m/>
    <m/>
    <m/>
    <n v="1"/>
    <s v="Away"/>
    <m/>
    <m/>
    <m/>
    <m/>
    <s v=""/>
    <s v="Luton Town-"/>
    <s v=""/>
    <s v="Luton Town-"/>
  </r>
  <r>
    <s v="L1_0302"/>
    <x v="41"/>
    <x v="3"/>
    <s v="Bradford City"/>
    <m/>
    <m/>
    <m/>
    <m/>
    <m/>
    <m/>
    <n v="1"/>
    <s v="Away"/>
    <m/>
    <m/>
    <m/>
    <m/>
    <s v=""/>
    <s v="Burton Albion-"/>
    <s v=""/>
    <s v="Burton Albion-"/>
  </r>
  <r>
    <s v="L1_0303"/>
    <x v="41"/>
    <x v="14"/>
    <s v="Leicester City"/>
    <m/>
    <m/>
    <m/>
    <m/>
    <m/>
    <m/>
    <n v="1"/>
    <s v="Away"/>
    <m/>
    <m/>
    <m/>
    <m/>
    <s v=""/>
    <s v="Bromley-"/>
    <s v=""/>
    <s v="Bromley-"/>
  </r>
  <r>
    <s v="L1_0304"/>
    <x v="41"/>
    <x v="11"/>
    <s v="Leyton Orient"/>
    <m/>
    <m/>
    <m/>
    <m/>
    <m/>
    <m/>
    <n v="1"/>
    <s v="Away"/>
    <m/>
    <m/>
    <m/>
    <m/>
    <s v=""/>
    <s v="Reading-"/>
    <s v=""/>
    <s v="Reading-"/>
  </r>
  <r>
    <s v="L1_0305"/>
    <x v="41"/>
    <x v="13"/>
    <s v="Mansfield Town"/>
    <m/>
    <m/>
    <m/>
    <m/>
    <m/>
    <m/>
    <n v="1"/>
    <s v="Away"/>
    <m/>
    <m/>
    <m/>
    <m/>
    <s v=""/>
    <s v="AFC Wimbledon-"/>
    <s v=""/>
    <s v="AFC Wimbledon-"/>
  </r>
  <r>
    <s v="L1_0306"/>
    <x v="41"/>
    <x v="1"/>
    <s v="Milton Keynes Dons"/>
    <m/>
    <m/>
    <m/>
    <m/>
    <m/>
    <m/>
    <n v="1"/>
    <s v="Away"/>
    <m/>
    <m/>
    <m/>
    <m/>
    <s v=""/>
    <s v="Blackpool-"/>
    <s v=""/>
    <s v="Blackpool-"/>
  </r>
  <r>
    <s v="L1_0307"/>
    <x v="41"/>
    <x v="5"/>
    <s v="Peterborough United"/>
    <m/>
    <m/>
    <m/>
    <m/>
    <m/>
    <m/>
    <n v="1"/>
    <s v="Away"/>
    <m/>
    <m/>
    <m/>
    <m/>
    <s v=""/>
    <s v="Huddersfield Town-"/>
    <s v=""/>
    <s v="Huddersfield Town-"/>
  </r>
  <r>
    <s v="L1_0308"/>
    <x v="41"/>
    <x v="20"/>
    <s v="Plymouth Argyle"/>
    <m/>
    <m/>
    <m/>
    <m/>
    <m/>
    <m/>
    <n v="1"/>
    <s v="Away"/>
    <m/>
    <m/>
    <m/>
    <m/>
    <s v=""/>
    <s v="Stevenage-"/>
    <s v=""/>
    <s v="Stevenage-"/>
  </r>
  <r>
    <s v="L1_0309"/>
    <x v="41"/>
    <x v="8"/>
    <s v="Sheffield Wednesday"/>
    <m/>
    <m/>
    <m/>
    <m/>
    <m/>
    <m/>
    <n v="1"/>
    <s v="Away"/>
    <m/>
    <m/>
    <m/>
    <m/>
    <s v=""/>
    <s v="Notts County-"/>
    <s v=""/>
    <s v="Notts County-"/>
  </r>
  <r>
    <s v="L1_0310"/>
    <x v="41"/>
    <x v="15"/>
    <s v="Stockport County"/>
    <m/>
    <m/>
    <m/>
    <m/>
    <m/>
    <m/>
    <n v="1"/>
    <s v="Away"/>
    <m/>
    <m/>
    <m/>
    <m/>
    <s v=""/>
    <s v="Doncaster Rovers-"/>
    <s v=""/>
    <s v="Doncaster Rovers-"/>
  </r>
  <r>
    <s v="L1_0311"/>
    <x v="41"/>
    <x v="9"/>
    <s v="Wigan Athletic"/>
    <m/>
    <m/>
    <m/>
    <m/>
    <m/>
    <m/>
    <n v="1"/>
    <s v="Away"/>
    <m/>
    <m/>
    <m/>
    <m/>
    <s v=""/>
    <s v="Oxford United-"/>
    <s v=""/>
    <s v="Oxford United-"/>
  </r>
  <r>
    <s v="L1_0312"/>
    <x v="41"/>
    <x v="4"/>
    <s v="Wycombe Wanderers"/>
    <m/>
    <m/>
    <m/>
    <m/>
    <m/>
    <m/>
    <n v="1"/>
    <s v="Away"/>
    <m/>
    <m/>
    <m/>
    <m/>
    <s v=""/>
    <s v="Cambridge United-"/>
    <s v=""/>
    <s v="Cambridge United-"/>
  </r>
  <r>
    <s v="L1_0313"/>
    <x v="42"/>
    <x v="11"/>
    <s v="Barnsley"/>
    <m/>
    <m/>
    <m/>
    <m/>
    <m/>
    <m/>
    <n v="1"/>
    <s v="Away"/>
    <m/>
    <m/>
    <m/>
    <m/>
    <s v=""/>
    <s v="Reading-"/>
    <s v=""/>
    <s v="Reading-"/>
  </r>
  <r>
    <s v="L1_0314"/>
    <x v="42"/>
    <x v="9"/>
    <s v="Bradford City"/>
    <m/>
    <m/>
    <m/>
    <m/>
    <m/>
    <m/>
    <n v="1"/>
    <s v="Away"/>
    <m/>
    <m/>
    <m/>
    <m/>
    <s v=""/>
    <s v="Oxford United-"/>
    <s v=""/>
    <s v="Oxford United-"/>
  </r>
  <r>
    <s v="L1_0315"/>
    <x v="42"/>
    <x v="17"/>
    <s v="Leicester City"/>
    <m/>
    <m/>
    <m/>
    <m/>
    <m/>
    <m/>
    <n v="1"/>
    <s v="Away"/>
    <m/>
    <m/>
    <m/>
    <m/>
    <s v=""/>
    <s v="Luton Town-"/>
    <s v=""/>
    <s v="Luton Town-"/>
  </r>
  <r>
    <s v="L1_0316"/>
    <x v="42"/>
    <x v="3"/>
    <s v="Leyton Orient"/>
    <m/>
    <m/>
    <m/>
    <m/>
    <m/>
    <m/>
    <n v="1"/>
    <s v="Away"/>
    <m/>
    <m/>
    <m/>
    <m/>
    <s v=""/>
    <s v="Burton Albion-"/>
    <s v=""/>
    <s v="Burton Albion-"/>
  </r>
  <r>
    <s v="L1_0317"/>
    <x v="42"/>
    <x v="1"/>
    <s v="Mansfield Town"/>
    <m/>
    <m/>
    <m/>
    <m/>
    <m/>
    <m/>
    <n v="1"/>
    <s v="Away"/>
    <m/>
    <m/>
    <m/>
    <m/>
    <s v=""/>
    <s v="Blackpool-"/>
    <s v=""/>
    <s v="Blackpool-"/>
  </r>
  <r>
    <s v="L1_0318"/>
    <x v="42"/>
    <x v="20"/>
    <s v="Milton Keynes Dons"/>
    <m/>
    <m/>
    <m/>
    <m/>
    <m/>
    <m/>
    <n v="1"/>
    <s v="Away"/>
    <m/>
    <m/>
    <m/>
    <m/>
    <s v=""/>
    <s v="Stevenage-"/>
    <s v=""/>
    <s v="Stevenage-"/>
  </r>
  <r>
    <s v="L1_0319"/>
    <x v="42"/>
    <x v="14"/>
    <s v="Peterborough United"/>
    <m/>
    <m/>
    <m/>
    <m/>
    <m/>
    <m/>
    <n v="1"/>
    <s v="Away"/>
    <m/>
    <m/>
    <m/>
    <m/>
    <s v=""/>
    <s v="Bromley-"/>
    <s v=""/>
    <s v="Bromley-"/>
  </r>
  <r>
    <s v="L1_0320"/>
    <x v="42"/>
    <x v="4"/>
    <s v="Plymouth Argyle"/>
    <m/>
    <m/>
    <m/>
    <m/>
    <m/>
    <m/>
    <n v="1"/>
    <s v="Away"/>
    <m/>
    <m/>
    <m/>
    <m/>
    <s v=""/>
    <s v="Cambridge United-"/>
    <s v=""/>
    <s v="Cambridge United-"/>
  </r>
  <r>
    <s v="L1_0321"/>
    <x v="42"/>
    <x v="15"/>
    <s v="Sheffield Wednesday"/>
    <m/>
    <m/>
    <m/>
    <m/>
    <m/>
    <m/>
    <n v="1"/>
    <s v="Away"/>
    <m/>
    <m/>
    <m/>
    <m/>
    <s v=""/>
    <s v="Doncaster Rovers-"/>
    <s v=""/>
    <s v="Doncaster Rovers-"/>
  </r>
  <r>
    <s v="L1_0322"/>
    <x v="42"/>
    <x v="8"/>
    <s v="Stockport County"/>
    <m/>
    <m/>
    <m/>
    <m/>
    <m/>
    <m/>
    <n v="1"/>
    <s v="Away"/>
    <m/>
    <m/>
    <m/>
    <m/>
    <s v=""/>
    <s v="Notts County-"/>
    <s v=""/>
    <s v="Notts County-"/>
  </r>
  <r>
    <s v="L1_0323"/>
    <x v="42"/>
    <x v="5"/>
    <s v="Wigan Athletic"/>
    <m/>
    <m/>
    <m/>
    <m/>
    <m/>
    <m/>
    <n v="1"/>
    <s v="Away"/>
    <m/>
    <m/>
    <m/>
    <m/>
    <s v=""/>
    <s v="Huddersfield Town-"/>
    <s v=""/>
    <s v="Huddersfield Town-"/>
  </r>
  <r>
    <s v="L1_0324"/>
    <x v="42"/>
    <x v="13"/>
    <s v="Wycombe Wanderers"/>
    <m/>
    <m/>
    <m/>
    <m/>
    <m/>
    <m/>
    <n v="1"/>
    <s v="Away"/>
    <m/>
    <m/>
    <m/>
    <m/>
    <s v=""/>
    <s v="AFC Wimbledon-"/>
    <s v=""/>
    <s v="AFC Wimbledon-"/>
  </r>
  <r>
    <s v="L1_0325"/>
    <x v="43"/>
    <x v="21"/>
    <s v="AFC Wimbledon"/>
    <m/>
    <m/>
    <m/>
    <m/>
    <m/>
    <m/>
    <n v="1"/>
    <s v="Away"/>
    <m/>
    <m/>
    <m/>
    <m/>
    <s v=""/>
    <s v="Stockport County-"/>
    <s v=""/>
    <s v="Stockport County-"/>
  </r>
  <r>
    <s v="L1_0326"/>
    <x v="43"/>
    <x v="12"/>
    <s v="Blackpool"/>
    <m/>
    <m/>
    <m/>
    <m/>
    <m/>
    <m/>
    <n v="1"/>
    <s v="Away"/>
    <m/>
    <m/>
    <m/>
    <m/>
    <s v=""/>
    <s v="Sheffield Wednesday-"/>
    <s v=""/>
    <s v="Sheffield Wednesday-"/>
  </r>
  <r>
    <s v="L1_0327"/>
    <x v="43"/>
    <x v="22"/>
    <s v="Bromley"/>
    <m/>
    <m/>
    <m/>
    <m/>
    <m/>
    <m/>
    <n v="1"/>
    <s v="Away"/>
    <m/>
    <m/>
    <m/>
    <m/>
    <s v=""/>
    <s v="Wigan Athletic-"/>
    <s v=""/>
    <s v="Wigan Athletic-"/>
  </r>
  <r>
    <s v="L1_0328"/>
    <x v="43"/>
    <x v="23"/>
    <s v="Burton Albion"/>
    <m/>
    <m/>
    <m/>
    <m/>
    <m/>
    <m/>
    <n v="1"/>
    <s v="Away"/>
    <m/>
    <m/>
    <m/>
    <m/>
    <s v=""/>
    <s v="Wycombe Wanderers-"/>
    <s v=""/>
    <s v="Wycombe Wanderers-"/>
  </r>
  <r>
    <s v="L1_0329"/>
    <x v="43"/>
    <x v="6"/>
    <s v="Cambridge United"/>
    <m/>
    <m/>
    <m/>
    <m/>
    <m/>
    <m/>
    <n v="1"/>
    <s v="Away"/>
    <m/>
    <m/>
    <m/>
    <m/>
    <s v=""/>
    <s v="Leyton Orient-"/>
    <s v=""/>
    <s v="Leyton Orient-"/>
  </r>
  <r>
    <s v="L1_0330"/>
    <x v="43"/>
    <x v="18"/>
    <s v="Doncaster Rovers"/>
    <m/>
    <m/>
    <m/>
    <m/>
    <m/>
    <m/>
    <n v="1"/>
    <s v="Away"/>
    <m/>
    <m/>
    <m/>
    <m/>
    <s v=""/>
    <s v="Milton Keynes Dons-"/>
    <s v=""/>
    <s v="Milton Keynes Dons-"/>
  </r>
  <r>
    <s v="L1_0331"/>
    <x v="43"/>
    <x v="2"/>
    <s v="Huddersfield Town"/>
    <m/>
    <m/>
    <m/>
    <m/>
    <m/>
    <m/>
    <n v="1"/>
    <s v="Away"/>
    <m/>
    <m/>
    <m/>
    <m/>
    <s v=""/>
    <s v="Bradford City-"/>
    <s v=""/>
    <s v="Bradford City-"/>
  </r>
  <r>
    <s v="L1_0332"/>
    <x v="43"/>
    <x v="19"/>
    <s v="Luton Town"/>
    <m/>
    <m/>
    <m/>
    <m/>
    <m/>
    <m/>
    <n v="1"/>
    <s v="Away"/>
    <m/>
    <m/>
    <m/>
    <m/>
    <s v=""/>
    <s v="Peterborough United-"/>
    <s v=""/>
    <s v="Peterborough United-"/>
  </r>
  <r>
    <s v="L1_0333"/>
    <x v="43"/>
    <x v="7"/>
    <s v="Notts County"/>
    <m/>
    <m/>
    <m/>
    <m/>
    <m/>
    <m/>
    <n v="1"/>
    <s v="Away"/>
    <m/>
    <m/>
    <m/>
    <m/>
    <s v=""/>
    <s v="Mansfield Town-"/>
    <s v=""/>
    <s v="Mansfield Town-"/>
  </r>
  <r>
    <s v="L1_0334"/>
    <x v="43"/>
    <x v="0"/>
    <s v="Oxford United"/>
    <m/>
    <m/>
    <m/>
    <m/>
    <m/>
    <m/>
    <n v="1"/>
    <s v="Away"/>
    <m/>
    <m/>
    <m/>
    <m/>
    <s v=""/>
    <s v="Barnsley-"/>
    <s v=""/>
    <s v="Barnsley-"/>
  </r>
  <r>
    <s v="L1_0335"/>
    <x v="43"/>
    <x v="10"/>
    <s v="Reading"/>
    <m/>
    <m/>
    <m/>
    <m/>
    <m/>
    <m/>
    <n v="1"/>
    <s v="Away"/>
    <m/>
    <m/>
    <m/>
    <m/>
    <s v=""/>
    <s v="Plymouth Argyle-"/>
    <s v=""/>
    <s v="Plymouth Argyle-"/>
  </r>
  <r>
    <s v="L1_0336"/>
    <x v="43"/>
    <x v="16"/>
    <s v="Stevenage"/>
    <m/>
    <m/>
    <m/>
    <m/>
    <m/>
    <m/>
    <n v="1"/>
    <s v="Away"/>
    <m/>
    <m/>
    <m/>
    <m/>
    <s v=""/>
    <s v="Leicester City-"/>
    <s v=""/>
    <s v="Leicester City-"/>
  </r>
  <r>
    <s v="L1_0337"/>
    <x v="44"/>
    <x v="6"/>
    <s v="Barnsley"/>
    <m/>
    <m/>
    <m/>
    <m/>
    <m/>
    <m/>
    <n v="1"/>
    <s v="Away"/>
    <m/>
    <m/>
    <m/>
    <m/>
    <s v=""/>
    <s v="Leyton Orient-"/>
    <s v=""/>
    <s v="Leyton Orient-"/>
  </r>
  <r>
    <s v="L1_0338"/>
    <x v="44"/>
    <x v="10"/>
    <s v="Bradford City"/>
    <m/>
    <m/>
    <m/>
    <m/>
    <m/>
    <m/>
    <n v="1"/>
    <s v="Away"/>
    <m/>
    <m/>
    <m/>
    <m/>
    <s v=""/>
    <s v="Plymouth Argyle-"/>
    <s v=""/>
    <s v="Plymouth Argyle-"/>
  </r>
  <r>
    <s v="L1_0339"/>
    <x v="44"/>
    <x v="12"/>
    <s v="Bromley"/>
    <m/>
    <m/>
    <m/>
    <m/>
    <m/>
    <m/>
    <n v="1"/>
    <s v="Away"/>
    <m/>
    <m/>
    <m/>
    <m/>
    <s v=""/>
    <s v="Sheffield Wednesday-"/>
    <s v=""/>
    <s v="Sheffield Wednesday-"/>
  </r>
  <r>
    <s v="L1_0340"/>
    <x v="44"/>
    <x v="8"/>
    <s v="Burton Albion"/>
    <m/>
    <m/>
    <m/>
    <m/>
    <m/>
    <m/>
    <n v="1"/>
    <s v="Away"/>
    <m/>
    <m/>
    <m/>
    <m/>
    <s v=""/>
    <s v="Notts County-"/>
    <s v=""/>
    <s v="Notts County-"/>
  </r>
  <r>
    <s v="L1_0341"/>
    <x v="44"/>
    <x v="20"/>
    <s v="Doncaster Rovers"/>
    <m/>
    <m/>
    <m/>
    <m/>
    <m/>
    <m/>
    <n v="1"/>
    <s v="Away"/>
    <m/>
    <m/>
    <m/>
    <m/>
    <s v=""/>
    <s v="Stevenage-"/>
    <s v=""/>
    <s v="Stevenage-"/>
  </r>
  <r>
    <s v="L1_0342"/>
    <x v="44"/>
    <x v="4"/>
    <s v="Huddersfield Town"/>
    <m/>
    <m/>
    <m/>
    <m/>
    <m/>
    <m/>
    <n v="1"/>
    <s v="Away"/>
    <m/>
    <m/>
    <m/>
    <m/>
    <s v=""/>
    <s v="Cambridge United-"/>
    <s v=""/>
    <s v="Cambridge United-"/>
  </r>
  <r>
    <s v="L1_0343"/>
    <x v="44"/>
    <x v="18"/>
    <s v="Leicester City"/>
    <m/>
    <m/>
    <m/>
    <m/>
    <m/>
    <m/>
    <n v="1"/>
    <s v="Away"/>
    <m/>
    <m/>
    <m/>
    <m/>
    <s v=""/>
    <s v="Milton Keynes Dons-"/>
    <s v=""/>
    <s v="Milton Keynes Dons-"/>
  </r>
  <r>
    <s v="L1_0344"/>
    <x v="44"/>
    <x v="7"/>
    <s v="Luton Town"/>
    <m/>
    <m/>
    <m/>
    <m/>
    <m/>
    <m/>
    <n v="1"/>
    <s v="Away"/>
    <m/>
    <m/>
    <m/>
    <m/>
    <s v=""/>
    <s v="Mansfield Town-"/>
    <s v=""/>
    <s v="Mansfield Town-"/>
  </r>
  <r>
    <s v="L1_0345"/>
    <x v="44"/>
    <x v="1"/>
    <s v="Peterborough United"/>
    <m/>
    <m/>
    <m/>
    <m/>
    <m/>
    <m/>
    <n v="1"/>
    <s v="Away"/>
    <m/>
    <m/>
    <m/>
    <m/>
    <s v=""/>
    <s v="Blackpool-"/>
    <s v=""/>
    <s v="Blackpool-"/>
  </r>
  <r>
    <s v="L1_0346"/>
    <x v="44"/>
    <x v="9"/>
    <s v="Reading"/>
    <m/>
    <m/>
    <m/>
    <m/>
    <m/>
    <m/>
    <n v="1"/>
    <s v="Away"/>
    <m/>
    <m/>
    <m/>
    <m/>
    <s v=""/>
    <s v="Oxford United-"/>
    <s v=""/>
    <s v="Oxford United-"/>
  </r>
  <r>
    <s v="L1_0347"/>
    <x v="44"/>
    <x v="13"/>
    <s v="Wigan Athletic"/>
    <m/>
    <m/>
    <m/>
    <m/>
    <m/>
    <m/>
    <n v="1"/>
    <s v="Away"/>
    <m/>
    <m/>
    <m/>
    <m/>
    <s v=""/>
    <s v="AFC Wimbledon-"/>
    <s v=""/>
    <s v="AFC Wimbledon-"/>
  </r>
  <r>
    <s v="L1_0348"/>
    <x v="44"/>
    <x v="21"/>
    <s v="Wycombe Wanderers"/>
    <m/>
    <m/>
    <m/>
    <m/>
    <m/>
    <m/>
    <n v="1"/>
    <s v="Away"/>
    <m/>
    <m/>
    <m/>
    <m/>
    <s v=""/>
    <s v="Stockport County-"/>
    <s v=""/>
    <s v="Stockport County-"/>
  </r>
  <r>
    <s v="L1_0349"/>
    <x v="45"/>
    <x v="3"/>
    <s v="AFC Wimbledon"/>
    <m/>
    <m/>
    <m/>
    <m/>
    <m/>
    <m/>
    <n v="1"/>
    <s v="Away"/>
    <m/>
    <m/>
    <m/>
    <m/>
    <s v=""/>
    <s v="Burton Albion-"/>
    <s v=""/>
    <s v="Burton Albion-"/>
  </r>
  <r>
    <s v="L1_0350"/>
    <x v="45"/>
    <x v="0"/>
    <s v="Blackpool"/>
    <m/>
    <m/>
    <m/>
    <m/>
    <m/>
    <m/>
    <n v="1"/>
    <s v="Away"/>
    <m/>
    <m/>
    <m/>
    <m/>
    <s v=""/>
    <s v="Barnsley-"/>
    <s v=""/>
    <s v="Barnsley-"/>
  </r>
  <r>
    <s v="L1_0351"/>
    <x v="45"/>
    <x v="2"/>
    <s v="Cambridge United"/>
    <m/>
    <m/>
    <m/>
    <m/>
    <m/>
    <m/>
    <n v="1"/>
    <s v="Away"/>
    <m/>
    <m/>
    <m/>
    <m/>
    <s v=""/>
    <s v="Bradford City-"/>
    <s v=""/>
    <s v="Bradford City-"/>
  </r>
  <r>
    <s v="L1_0352"/>
    <x v="45"/>
    <x v="14"/>
    <s v="Leyton Orient"/>
    <m/>
    <m/>
    <m/>
    <m/>
    <m/>
    <m/>
    <n v="1"/>
    <s v="Away"/>
    <m/>
    <m/>
    <m/>
    <m/>
    <s v=""/>
    <s v="Bromley-"/>
    <s v=""/>
    <s v="Bromley-"/>
  </r>
  <r>
    <s v="L1_0353"/>
    <x v="45"/>
    <x v="11"/>
    <s v="Mansfield Town"/>
    <m/>
    <m/>
    <m/>
    <m/>
    <m/>
    <m/>
    <n v="1"/>
    <s v="Away"/>
    <m/>
    <m/>
    <m/>
    <m/>
    <s v=""/>
    <s v="Reading-"/>
    <s v=""/>
    <s v="Reading-"/>
  </r>
  <r>
    <s v="L1_0354"/>
    <x v="45"/>
    <x v="22"/>
    <s v="Milton Keynes Dons"/>
    <m/>
    <m/>
    <m/>
    <m/>
    <m/>
    <m/>
    <n v="1"/>
    <s v="Away"/>
    <m/>
    <m/>
    <m/>
    <m/>
    <s v=""/>
    <s v="Wigan Athletic-"/>
    <s v=""/>
    <s v="Wigan Athletic-"/>
  </r>
  <r>
    <s v="L1_0355"/>
    <x v="45"/>
    <x v="15"/>
    <s v="Notts County"/>
    <m/>
    <m/>
    <m/>
    <m/>
    <m/>
    <m/>
    <n v="1"/>
    <s v="Away"/>
    <m/>
    <m/>
    <m/>
    <m/>
    <s v=""/>
    <s v="Doncaster Rovers-"/>
    <s v=""/>
    <s v="Doncaster Rovers-"/>
  </r>
  <r>
    <s v="L1_0356"/>
    <x v="45"/>
    <x v="5"/>
    <s v="Oxford United"/>
    <m/>
    <m/>
    <m/>
    <m/>
    <m/>
    <m/>
    <n v="1"/>
    <s v="Away"/>
    <m/>
    <m/>
    <m/>
    <m/>
    <s v=""/>
    <s v="Huddersfield Town-"/>
    <s v=""/>
    <s v="Huddersfield Town-"/>
  </r>
  <r>
    <s v="L1_0357"/>
    <x v="45"/>
    <x v="16"/>
    <s v="Plymouth Argyle"/>
    <m/>
    <m/>
    <m/>
    <m/>
    <m/>
    <m/>
    <n v="1"/>
    <s v="Away"/>
    <m/>
    <m/>
    <m/>
    <m/>
    <s v=""/>
    <s v="Leicester City-"/>
    <s v=""/>
    <s v="Leicester City-"/>
  </r>
  <r>
    <s v="L1_0358"/>
    <x v="45"/>
    <x v="23"/>
    <s v="Sheffield Wednesday"/>
    <m/>
    <m/>
    <m/>
    <m/>
    <m/>
    <m/>
    <n v="1"/>
    <s v="Away"/>
    <m/>
    <m/>
    <m/>
    <m/>
    <s v=""/>
    <s v="Wycombe Wanderers-"/>
    <s v=""/>
    <s v="Wycombe Wanderers-"/>
  </r>
  <r>
    <s v="L1_0359"/>
    <x v="45"/>
    <x v="19"/>
    <s v="Stevenage"/>
    <m/>
    <m/>
    <m/>
    <m/>
    <m/>
    <m/>
    <n v="1"/>
    <s v="Away"/>
    <m/>
    <m/>
    <m/>
    <m/>
    <s v=""/>
    <s v="Peterborough United-"/>
    <s v=""/>
    <s v="Peterborough United-"/>
  </r>
  <r>
    <s v="L1_0360"/>
    <x v="45"/>
    <x v="17"/>
    <s v="Stockport County"/>
    <m/>
    <m/>
    <m/>
    <m/>
    <m/>
    <m/>
    <n v="1"/>
    <s v="Away"/>
    <m/>
    <m/>
    <m/>
    <m/>
    <s v=""/>
    <s v="Luton Town-"/>
    <s v=""/>
    <s v="Luton Town-"/>
  </r>
  <r>
    <s v="L1_0361"/>
    <x v="46"/>
    <x v="14"/>
    <s v="AFC Wimbledon"/>
    <m/>
    <m/>
    <m/>
    <m/>
    <m/>
    <m/>
    <n v="1"/>
    <s v="Away"/>
    <m/>
    <m/>
    <m/>
    <m/>
    <s v=""/>
    <s v="Bromley-"/>
    <s v=""/>
    <s v="Bromley-"/>
  </r>
  <r>
    <s v="L1_0362"/>
    <x v="46"/>
    <x v="11"/>
    <s v="Blackpool"/>
    <m/>
    <m/>
    <m/>
    <m/>
    <m/>
    <m/>
    <n v="1"/>
    <s v="Away"/>
    <m/>
    <m/>
    <m/>
    <m/>
    <s v=""/>
    <s v="Reading-"/>
    <s v=""/>
    <s v="Reading-"/>
  </r>
  <r>
    <s v="L1_0363"/>
    <x v="46"/>
    <x v="3"/>
    <s v="Cambridge United"/>
    <m/>
    <m/>
    <m/>
    <m/>
    <m/>
    <m/>
    <n v="1"/>
    <s v="Away"/>
    <m/>
    <m/>
    <m/>
    <m/>
    <s v=""/>
    <s v="Burton Albion-"/>
    <s v=""/>
    <s v="Burton Albion-"/>
  </r>
  <r>
    <s v="L1_0364"/>
    <x v="46"/>
    <x v="17"/>
    <s v="Leyton Orient"/>
    <m/>
    <m/>
    <m/>
    <m/>
    <m/>
    <m/>
    <n v="1"/>
    <s v="Away"/>
    <m/>
    <m/>
    <m/>
    <m/>
    <s v=""/>
    <s v="Luton Town-"/>
    <s v=""/>
    <s v="Luton Town-"/>
  </r>
  <r>
    <s v="L1_0365"/>
    <x v="46"/>
    <x v="2"/>
    <s v="Mansfield Town"/>
    <m/>
    <m/>
    <m/>
    <m/>
    <m/>
    <m/>
    <n v="1"/>
    <s v="Away"/>
    <m/>
    <m/>
    <m/>
    <m/>
    <s v=""/>
    <s v="Bradford City-"/>
    <s v=""/>
    <s v="Bradford City-"/>
  </r>
  <r>
    <s v="L1_0366"/>
    <x v="46"/>
    <x v="23"/>
    <s v="Milton Keynes Dons"/>
    <m/>
    <m/>
    <m/>
    <m/>
    <m/>
    <m/>
    <n v="1"/>
    <s v="Away"/>
    <m/>
    <m/>
    <m/>
    <m/>
    <s v=""/>
    <s v="Wycombe Wanderers-"/>
    <s v=""/>
    <s v="Wycombe Wanderers-"/>
  </r>
  <r>
    <s v="L1_0367"/>
    <x v="46"/>
    <x v="5"/>
    <s v="Notts County"/>
    <m/>
    <m/>
    <m/>
    <m/>
    <m/>
    <m/>
    <n v="1"/>
    <s v="Away"/>
    <m/>
    <m/>
    <m/>
    <m/>
    <s v=""/>
    <s v="Huddersfield Town-"/>
    <s v=""/>
    <s v="Huddersfield Town-"/>
  </r>
  <r>
    <s v="L1_0368"/>
    <x v="46"/>
    <x v="16"/>
    <s v="Oxford United"/>
    <m/>
    <m/>
    <m/>
    <m/>
    <m/>
    <m/>
    <n v="1"/>
    <s v="Away"/>
    <m/>
    <m/>
    <m/>
    <m/>
    <s v=""/>
    <s v="Leicester City-"/>
    <s v=""/>
    <s v="Leicester City-"/>
  </r>
  <r>
    <s v="L1_0369"/>
    <x v="46"/>
    <x v="15"/>
    <s v="Plymouth Argyle"/>
    <m/>
    <m/>
    <m/>
    <m/>
    <m/>
    <m/>
    <n v="1"/>
    <s v="Away"/>
    <m/>
    <m/>
    <m/>
    <m/>
    <s v=""/>
    <s v="Doncaster Rovers-"/>
    <s v=""/>
    <s v="Doncaster Rovers-"/>
  </r>
  <r>
    <s v="L1_0370"/>
    <x v="46"/>
    <x v="19"/>
    <s v="Sheffield Wednesday"/>
    <m/>
    <m/>
    <m/>
    <m/>
    <m/>
    <m/>
    <n v="1"/>
    <s v="Away"/>
    <m/>
    <m/>
    <m/>
    <m/>
    <s v=""/>
    <s v="Peterborough United-"/>
    <s v=""/>
    <s v="Peterborough United-"/>
  </r>
  <r>
    <s v="L1_0371"/>
    <x v="46"/>
    <x v="0"/>
    <s v="Stevenage"/>
    <m/>
    <m/>
    <m/>
    <m/>
    <m/>
    <m/>
    <n v="1"/>
    <s v="Away"/>
    <m/>
    <m/>
    <m/>
    <m/>
    <s v=""/>
    <s v="Barnsley-"/>
    <s v=""/>
    <s v="Barnsley-"/>
  </r>
  <r>
    <s v="L1_0372"/>
    <x v="46"/>
    <x v="22"/>
    <s v="Stockport County"/>
    <m/>
    <m/>
    <m/>
    <m/>
    <m/>
    <m/>
    <n v="1"/>
    <s v="Away"/>
    <m/>
    <m/>
    <m/>
    <m/>
    <s v=""/>
    <s v="Wigan Athletic-"/>
    <s v=""/>
    <s v="Wigan Athletic-"/>
  </r>
  <r>
    <s v="L1_0373"/>
    <x v="47"/>
    <x v="10"/>
    <s v="Barnsley"/>
    <m/>
    <m/>
    <m/>
    <m/>
    <m/>
    <m/>
    <n v="1"/>
    <s v="Away"/>
    <m/>
    <m/>
    <m/>
    <m/>
    <s v=""/>
    <s v="Plymouth Argyle-"/>
    <s v=""/>
    <s v="Plymouth Argyle-"/>
  </r>
  <r>
    <s v="L1_0374"/>
    <x v="47"/>
    <x v="8"/>
    <s v="Bradford City"/>
    <m/>
    <m/>
    <m/>
    <m/>
    <m/>
    <m/>
    <n v="1"/>
    <s v="Away"/>
    <m/>
    <m/>
    <m/>
    <m/>
    <s v=""/>
    <s v="Notts County-"/>
    <s v=""/>
    <s v="Notts County-"/>
  </r>
  <r>
    <s v="L1_0375"/>
    <x v="47"/>
    <x v="1"/>
    <s v="Bromley"/>
    <m/>
    <m/>
    <m/>
    <m/>
    <m/>
    <m/>
    <n v="1"/>
    <s v="Away"/>
    <m/>
    <m/>
    <m/>
    <m/>
    <s v=""/>
    <s v="Blackpool-"/>
    <s v=""/>
    <s v="Blackpool-"/>
  </r>
  <r>
    <s v="L1_0376"/>
    <x v="47"/>
    <x v="9"/>
    <s v="Burton Albion"/>
    <m/>
    <m/>
    <m/>
    <m/>
    <m/>
    <m/>
    <n v="1"/>
    <s v="Away"/>
    <m/>
    <m/>
    <m/>
    <m/>
    <s v=""/>
    <s v="Oxford United-"/>
    <s v=""/>
    <s v="Oxford United-"/>
  </r>
  <r>
    <s v="L1_0377"/>
    <x v="47"/>
    <x v="13"/>
    <s v="Doncaster Rovers"/>
    <m/>
    <m/>
    <m/>
    <m/>
    <m/>
    <m/>
    <n v="1"/>
    <s v="Away"/>
    <m/>
    <m/>
    <m/>
    <m/>
    <s v=""/>
    <s v="AFC Wimbledon-"/>
    <s v=""/>
    <s v="AFC Wimbledon-"/>
  </r>
  <r>
    <s v="L1_0378"/>
    <x v="47"/>
    <x v="7"/>
    <s v="Huddersfield Town"/>
    <m/>
    <m/>
    <m/>
    <m/>
    <m/>
    <m/>
    <n v="1"/>
    <s v="Away"/>
    <m/>
    <m/>
    <m/>
    <m/>
    <s v=""/>
    <s v="Mansfield Town-"/>
    <s v=""/>
    <s v="Mansfield Town-"/>
  </r>
  <r>
    <s v="L1_0379"/>
    <x v="47"/>
    <x v="21"/>
    <s v="Leicester City"/>
    <m/>
    <m/>
    <m/>
    <m/>
    <m/>
    <m/>
    <n v="1"/>
    <s v="Away"/>
    <m/>
    <m/>
    <m/>
    <m/>
    <s v=""/>
    <s v="Stockport County-"/>
    <s v=""/>
    <s v="Stockport County-"/>
  </r>
  <r>
    <s v="L1_0380"/>
    <x v="47"/>
    <x v="20"/>
    <s v="Luton Town"/>
    <m/>
    <m/>
    <m/>
    <m/>
    <m/>
    <m/>
    <n v="1"/>
    <s v="Away"/>
    <m/>
    <m/>
    <m/>
    <m/>
    <s v=""/>
    <s v="Stevenage-"/>
    <s v=""/>
    <s v="Stevenage-"/>
  </r>
  <r>
    <s v="L1_0381"/>
    <x v="47"/>
    <x v="18"/>
    <s v="Peterborough United"/>
    <m/>
    <m/>
    <m/>
    <m/>
    <m/>
    <m/>
    <n v="1"/>
    <s v="Away"/>
    <m/>
    <m/>
    <m/>
    <m/>
    <s v=""/>
    <s v="Milton Keynes Dons-"/>
    <s v=""/>
    <s v="Milton Keynes Dons-"/>
  </r>
  <r>
    <s v="L1_0382"/>
    <x v="47"/>
    <x v="4"/>
    <s v="Reading"/>
    <m/>
    <m/>
    <m/>
    <m/>
    <m/>
    <m/>
    <n v="1"/>
    <s v="Away"/>
    <m/>
    <m/>
    <m/>
    <m/>
    <s v=""/>
    <s v="Cambridge United-"/>
    <s v=""/>
    <s v="Cambridge United-"/>
  </r>
  <r>
    <s v="L1_0383"/>
    <x v="47"/>
    <x v="12"/>
    <s v="Wigan Athletic"/>
    <m/>
    <m/>
    <m/>
    <m/>
    <m/>
    <m/>
    <n v="1"/>
    <s v="Away"/>
    <m/>
    <m/>
    <m/>
    <m/>
    <s v=""/>
    <s v="Sheffield Wednesday-"/>
    <s v=""/>
    <s v="Sheffield Wednesday-"/>
  </r>
  <r>
    <s v="L1_0384"/>
    <x v="47"/>
    <x v="6"/>
    <s v="Wycombe Wanderers"/>
    <m/>
    <m/>
    <m/>
    <m/>
    <m/>
    <m/>
    <n v="1"/>
    <s v="Away"/>
    <m/>
    <m/>
    <m/>
    <m/>
    <s v=""/>
    <s v="Leyton Orient-"/>
    <s v=""/>
    <s v="Leyton Orient-"/>
  </r>
  <r>
    <s v="L1_0385"/>
    <x v="48"/>
    <x v="22"/>
    <s v="Barnsley"/>
    <m/>
    <m/>
    <m/>
    <m/>
    <m/>
    <m/>
    <n v="1"/>
    <s v="Away"/>
    <m/>
    <m/>
    <m/>
    <m/>
    <s v=""/>
    <s v="Wigan Athletic-"/>
    <s v=""/>
    <s v="Wigan Athletic-"/>
  </r>
  <r>
    <s v="L1_0386"/>
    <x v="48"/>
    <x v="13"/>
    <s v="Blackpool"/>
    <m/>
    <m/>
    <m/>
    <m/>
    <m/>
    <m/>
    <n v="1"/>
    <s v="Away"/>
    <m/>
    <m/>
    <m/>
    <m/>
    <s v=""/>
    <s v="AFC Wimbledon-"/>
    <s v=""/>
    <s v="AFC Wimbledon-"/>
  </r>
  <r>
    <s v="L1_0387"/>
    <x v="48"/>
    <x v="16"/>
    <s v="Bradford City"/>
    <m/>
    <m/>
    <m/>
    <m/>
    <m/>
    <m/>
    <n v="1"/>
    <s v="Away"/>
    <m/>
    <m/>
    <m/>
    <m/>
    <s v=""/>
    <s v="Leicester City-"/>
    <s v=""/>
    <s v="Leicester City-"/>
  </r>
  <r>
    <s v="L1_0388"/>
    <x v="48"/>
    <x v="18"/>
    <s v="Burton Albion"/>
    <m/>
    <m/>
    <m/>
    <m/>
    <m/>
    <m/>
    <n v="1"/>
    <s v="Away"/>
    <m/>
    <m/>
    <m/>
    <m/>
    <s v=""/>
    <s v="Milton Keynes Dons-"/>
    <s v=""/>
    <s v="Milton Keynes Dons-"/>
  </r>
  <r>
    <s v="L1_0389"/>
    <x v="48"/>
    <x v="19"/>
    <s v="Cambridge United"/>
    <m/>
    <m/>
    <m/>
    <m/>
    <m/>
    <m/>
    <n v="1"/>
    <s v="Away"/>
    <m/>
    <m/>
    <m/>
    <m/>
    <s v=""/>
    <s v="Peterborough United-"/>
    <s v=""/>
    <s v="Peterborough United-"/>
  </r>
  <r>
    <s v="L1_0390"/>
    <x v="48"/>
    <x v="23"/>
    <s v="Huddersfield Town"/>
    <m/>
    <m/>
    <m/>
    <m/>
    <m/>
    <m/>
    <n v="1"/>
    <s v="Away"/>
    <m/>
    <m/>
    <m/>
    <m/>
    <s v=""/>
    <s v="Wycombe Wanderers-"/>
    <s v=""/>
    <s v="Wycombe Wanderers-"/>
  </r>
  <r>
    <s v="L1_0391"/>
    <x v="48"/>
    <x v="15"/>
    <s v="Leyton Orient"/>
    <m/>
    <m/>
    <m/>
    <m/>
    <m/>
    <m/>
    <n v="1"/>
    <s v="Away"/>
    <m/>
    <m/>
    <m/>
    <m/>
    <s v=""/>
    <s v="Doncaster Rovers-"/>
    <s v=""/>
    <s v="Doncaster Rovers-"/>
  </r>
  <r>
    <s v="L1_0392"/>
    <x v="48"/>
    <x v="20"/>
    <s v="Mansfield Town"/>
    <m/>
    <m/>
    <m/>
    <m/>
    <m/>
    <m/>
    <n v="1"/>
    <s v="Away"/>
    <m/>
    <m/>
    <m/>
    <m/>
    <s v=""/>
    <s v="Stevenage-"/>
    <s v=""/>
    <s v="Stevenage-"/>
  </r>
  <r>
    <s v="L1_0393"/>
    <x v="48"/>
    <x v="14"/>
    <s v="Notts County"/>
    <m/>
    <m/>
    <m/>
    <m/>
    <m/>
    <m/>
    <n v="1"/>
    <s v="Away"/>
    <m/>
    <m/>
    <m/>
    <m/>
    <s v=""/>
    <s v="Bromley-"/>
    <s v=""/>
    <s v="Bromley-"/>
  </r>
  <r>
    <s v="L1_0394"/>
    <x v="48"/>
    <x v="17"/>
    <s v="Oxford United"/>
    <m/>
    <m/>
    <m/>
    <m/>
    <m/>
    <m/>
    <n v="1"/>
    <s v="Away"/>
    <m/>
    <m/>
    <m/>
    <m/>
    <s v=""/>
    <s v="Luton Town-"/>
    <s v=""/>
    <s v="Luton Town-"/>
  </r>
  <r>
    <s v="L1_0395"/>
    <x v="48"/>
    <x v="12"/>
    <s v="Plymouth Argyle"/>
    <m/>
    <m/>
    <m/>
    <m/>
    <m/>
    <m/>
    <n v="1"/>
    <s v="Away"/>
    <m/>
    <m/>
    <m/>
    <m/>
    <s v=""/>
    <s v="Sheffield Wednesday-"/>
    <s v=""/>
    <s v="Sheffield Wednesday-"/>
  </r>
  <r>
    <s v="L1_0396"/>
    <x v="48"/>
    <x v="21"/>
    <s v="Reading"/>
    <m/>
    <m/>
    <m/>
    <m/>
    <m/>
    <m/>
    <n v="1"/>
    <s v="Away"/>
    <m/>
    <m/>
    <m/>
    <m/>
    <s v=""/>
    <s v="Stockport County-"/>
    <s v=""/>
    <s v="Stockport County-"/>
  </r>
  <r>
    <s v="L1_0397"/>
    <x v="49"/>
    <x v="5"/>
    <s v="AFC Wimbledon"/>
    <m/>
    <m/>
    <m/>
    <m/>
    <m/>
    <m/>
    <n v="1"/>
    <s v="Away"/>
    <m/>
    <m/>
    <m/>
    <m/>
    <s v=""/>
    <s v="Huddersfield Town-"/>
    <s v=""/>
    <s v="Huddersfield Town-"/>
  </r>
  <r>
    <s v="L1_0398"/>
    <x v="49"/>
    <x v="0"/>
    <s v="Bromley"/>
    <m/>
    <m/>
    <m/>
    <m/>
    <m/>
    <m/>
    <n v="1"/>
    <s v="Away"/>
    <m/>
    <m/>
    <m/>
    <m/>
    <s v=""/>
    <s v="Barnsley-"/>
    <s v=""/>
    <s v="Barnsley-"/>
  </r>
  <r>
    <s v="L1_0399"/>
    <x v="49"/>
    <x v="7"/>
    <s v="Doncaster Rovers"/>
    <m/>
    <m/>
    <m/>
    <m/>
    <m/>
    <m/>
    <n v="1"/>
    <s v="Away"/>
    <m/>
    <m/>
    <m/>
    <m/>
    <s v=""/>
    <s v="Mansfield Town-"/>
    <s v=""/>
    <s v="Mansfield Town-"/>
  </r>
  <r>
    <s v="L1_0400"/>
    <x v="49"/>
    <x v="8"/>
    <s v="Leicester City"/>
    <m/>
    <m/>
    <m/>
    <m/>
    <m/>
    <m/>
    <n v="1"/>
    <s v="Away"/>
    <m/>
    <m/>
    <m/>
    <m/>
    <s v=""/>
    <s v="Notts County-"/>
    <s v=""/>
    <s v="Notts County-"/>
  </r>
  <r>
    <s v="L1_0401"/>
    <x v="49"/>
    <x v="11"/>
    <s v="Luton Town"/>
    <m/>
    <m/>
    <m/>
    <m/>
    <m/>
    <m/>
    <n v="1"/>
    <s v="Away"/>
    <m/>
    <m/>
    <m/>
    <m/>
    <s v=""/>
    <s v="Reading-"/>
    <s v=""/>
    <s v="Reading-"/>
  </r>
  <r>
    <s v="L1_0402"/>
    <x v="49"/>
    <x v="9"/>
    <s v="Milton Keynes Dons"/>
    <m/>
    <m/>
    <m/>
    <m/>
    <m/>
    <m/>
    <n v="1"/>
    <s v="Away"/>
    <m/>
    <m/>
    <m/>
    <m/>
    <s v=""/>
    <s v="Oxford United-"/>
    <s v=""/>
    <s v="Oxford United-"/>
  </r>
  <r>
    <s v="L1_0403"/>
    <x v="49"/>
    <x v="2"/>
    <s v="Peterborough United"/>
    <m/>
    <m/>
    <m/>
    <m/>
    <m/>
    <m/>
    <n v="1"/>
    <s v="Away"/>
    <m/>
    <m/>
    <m/>
    <m/>
    <s v=""/>
    <s v="Bradford City-"/>
    <s v=""/>
    <s v="Bradford City-"/>
  </r>
  <r>
    <s v="L1_0404"/>
    <x v="49"/>
    <x v="6"/>
    <s v="Sheffield Wednesday"/>
    <m/>
    <m/>
    <m/>
    <m/>
    <m/>
    <m/>
    <n v="1"/>
    <s v="Away"/>
    <m/>
    <m/>
    <m/>
    <m/>
    <s v=""/>
    <s v="Leyton Orient-"/>
    <s v=""/>
    <s v="Leyton Orient-"/>
  </r>
  <r>
    <s v="L1_0405"/>
    <x v="49"/>
    <x v="3"/>
    <s v="Stevenage"/>
    <m/>
    <m/>
    <m/>
    <m/>
    <m/>
    <m/>
    <n v="1"/>
    <s v="Away"/>
    <m/>
    <m/>
    <m/>
    <m/>
    <s v=""/>
    <s v="Burton Albion-"/>
    <s v=""/>
    <s v="Burton Albion-"/>
  </r>
  <r>
    <s v="L1_0406"/>
    <x v="49"/>
    <x v="10"/>
    <s v="Stockport County"/>
    <m/>
    <m/>
    <m/>
    <m/>
    <m/>
    <m/>
    <n v="1"/>
    <s v="Away"/>
    <m/>
    <m/>
    <m/>
    <m/>
    <s v=""/>
    <s v="Plymouth Argyle-"/>
    <s v=""/>
    <s v="Plymouth Argyle-"/>
  </r>
  <r>
    <s v="L1_0407"/>
    <x v="49"/>
    <x v="4"/>
    <s v="Wigan Athletic"/>
    <m/>
    <m/>
    <m/>
    <m/>
    <m/>
    <m/>
    <n v="1"/>
    <s v="Away"/>
    <m/>
    <m/>
    <m/>
    <m/>
    <s v=""/>
    <s v="Cambridge United-"/>
    <s v=""/>
    <s v="Cambridge United-"/>
  </r>
  <r>
    <s v="L1_0408"/>
    <x v="49"/>
    <x v="1"/>
    <s v="Wycombe Wanderers"/>
    <m/>
    <m/>
    <m/>
    <m/>
    <m/>
    <m/>
    <n v="1"/>
    <s v="Away"/>
    <m/>
    <m/>
    <m/>
    <m/>
    <s v=""/>
    <s v="Blackpool-"/>
    <s v=""/>
    <s v="Blackpool-"/>
  </r>
  <r>
    <s v="L1_0409"/>
    <x v="50"/>
    <x v="15"/>
    <s v="Barnsley"/>
    <m/>
    <m/>
    <m/>
    <m/>
    <m/>
    <m/>
    <n v="1"/>
    <s v="Away"/>
    <m/>
    <m/>
    <m/>
    <m/>
    <s v=""/>
    <s v="Doncaster Rovers-"/>
    <s v=""/>
    <s v="Doncaster Rovers-"/>
  </r>
  <r>
    <s v="L1_0410"/>
    <x v="50"/>
    <x v="21"/>
    <s v="Blackpool"/>
    <m/>
    <m/>
    <m/>
    <m/>
    <m/>
    <m/>
    <n v="1"/>
    <s v="Away"/>
    <m/>
    <m/>
    <m/>
    <m/>
    <s v=""/>
    <s v="Stockport County-"/>
    <s v=""/>
    <s v="Stockport County-"/>
  </r>
  <r>
    <s v="L1_0411"/>
    <x v="50"/>
    <x v="12"/>
    <s v="Bradford City"/>
    <m/>
    <m/>
    <m/>
    <m/>
    <m/>
    <m/>
    <n v="1"/>
    <s v="Away"/>
    <m/>
    <m/>
    <m/>
    <m/>
    <s v=""/>
    <s v="Sheffield Wednesday-"/>
    <s v=""/>
    <s v="Sheffield Wednesday-"/>
  </r>
  <r>
    <s v="L1_0412"/>
    <x v="50"/>
    <x v="16"/>
    <s v="Burton Albion"/>
    <m/>
    <m/>
    <m/>
    <m/>
    <m/>
    <m/>
    <n v="1"/>
    <s v="Away"/>
    <m/>
    <m/>
    <m/>
    <m/>
    <s v=""/>
    <s v="Leicester City-"/>
    <s v=""/>
    <s v="Leicester City-"/>
  </r>
  <r>
    <s v="L1_0413"/>
    <x v="50"/>
    <x v="14"/>
    <s v="Cambridge United"/>
    <m/>
    <m/>
    <m/>
    <m/>
    <m/>
    <m/>
    <n v="1"/>
    <s v="Away"/>
    <m/>
    <m/>
    <m/>
    <m/>
    <s v=""/>
    <s v="Bromley-"/>
    <s v=""/>
    <s v="Bromley-"/>
  </r>
  <r>
    <s v="L1_0414"/>
    <x v="50"/>
    <x v="18"/>
    <s v="Huddersfield Town"/>
    <m/>
    <m/>
    <m/>
    <m/>
    <m/>
    <m/>
    <n v="1"/>
    <s v="Away"/>
    <m/>
    <m/>
    <m/>
    <m/>
    <s v=""/>
    <s v="Milton Keynes Dons-"/>
    <s v=""/>
    <s v="Milton Keynes Dons-"/>
  </r>
  <r>
    <s v="L1_0415"/>
    <x v="50"/>
    <x v="22"/>
    <s v="Leyton Orient"/>
    <m/>
    <m/>
    <m/>
    <m/>
    <m/>
    <m/>
    <n v="1"/>
    <s v="Away"/>
    <m/>
    <m/>
    <m/>
    <m/>
    <s v=""/>
    <s v="Wigan Athletic-"/>
    <s v=""/>
    <s v="Wigan Athletic-"/>
  </r>
  <r>
    <s v="L1_0416"/>
    <x v="50"/>
    <x v="19"/>
    <s v="Mansfield Town"/>
    <m/>
    <m/>
    <m/>
    <m/>
    <m/>
    <m/>
    <n v="1"/>
    <s v="Away"/>
    <m/>
    <m/>
    <m/>
    <m/>
    <s v=""/>
    <s v="Peterborough United-"/>
    <s v=""/>
    <s v="Peterborough United-"/>
  </r>
  <r>
    <s v="L1_0417"/>
    <x v="50"/>
    <x v="17"/>
    <s v="Notts County"/>
    <m/>
    <m/>
    <m/>
    <m/>
    <m/>
    <m/>
    <n v="1"/>
    <s v="Away"/>
    <m/>
    <m/>
    <m/>
    <m/>
    <s v=""/>
    <s v="Luton Town-"/>
    <s v=""/>
    <s v="Luton Town-"/>
  </r>
  <r>
    <s v="L1_0418"/>
    <x v="50"/>
    <x v="20"/>
    <s v="Oxford United"/>
    <m/>
    <m/>
    <m/>
    <m/>
    <m/>
    <m/>
    <n v="1"/>
    <s v="Away"/>
    <m/>
    <m/>
    <m/>
    <m/>
    <s v=""/>
    <s v="Stevenage-"/>
    <s v=""/>
    <s v="Stevenage-"/>
  </r>
  <r>
    <s v="L1_0419"/>
    <x v="50"/>
    <x v="23"/>
    <s v="Plymouth Argyle"/>
    <m/>
    <m/>
    <m/>
    <m/>
    <m/>
    <m/>
    <n v="1"/>
    <s v="Away"/>
    <m/>
    <m/>
    <m/>
    <m/>
    <s v=""/>
    <s v="Wycombe Wanderers-"/>
    <s v=""/>
    <s v="Wycombe Wanderers-"/>
  </r>
  <r>
    <s v="L1_0420"/>
    <x v="50"/>
    <x v="13"/>
    <s v="Reading"/>
    <m/>
    <m/>
    <m/>
    <m/>
    <m/>
    <m/>
    <n v="1"/>
    <s v="Away"/>
    <m/>
    <m/>
    <m/>
    <m/>
    <s v=""/>
    <s v="AFC Wimbledon-"/>
    <s v=""/>
    <s v="AFC Wimbledon-"/>
  </r>
  <r>
    <s v="L1_0421"/>
    <x v="51"/>
    <x v="6"/>
    <s v="AFC Wimbledon"/>
    <m/>
    <m/>
    <m/>
    <m/>
    <m/>
    <m/>
    <n v="1"/>
    <s v="Away"/>
    <m/>
    <m/>
    <m/>
    <m/>
    <s v=""/>
    <s v="Leyton Orient-"/>
    <s v=""/>
    <s v="Leyton Orient-"/>
  </r>
  <r>
    <s v="L1_0422"/>
    <x v="51"/>
    <x v="11"/>
    <s v="Bromley"/>
    <m/>
    <m/>
    <m/>
    <m/>
    <m/>
    <m/>
    <n v="1"/>
    <s v="Away"/>
    <m/>
    <m/>
    <m/>
    <m/>
    <s v=""/>
    <s v="Reading-"/>
    <s v=""/>
    <s v="Reading-"/>
  </r>
  <r>
    <s v="L1_0423"/>
    <x v="51"/>
    <x v="2"/>
    <s v="Doncaster Rovers"/>
    <m/>
    <m/>
    <m/>
    <m/>
    <m/>
    <m/>
    <n v="1"/>
    <s v="Away"/>
    <m/>
    <m/>
    <m/>
    <m/>
    <s v=""/>
    <s v="Bradford City-"/>
    <s v=""/>
    <s v="Bradford City-"/>
  </r>
  <r>
    <s v="L1_0424"/>
    <x v="51"/>
    <x v="5"/>
    <s v="Leicester City"/>
    <m/>
    <m/>
    <m/>
    <m/>
    <m/>
    <m/>
    <n v="1"/>
    <s v="Away"/>
    <m/>
    <m/>
    <m/>
    <m/>
    <s v=""/>
    <s v="Huddersfield Town-"/>
    <s v=""/>
    <s v="Huddersfield Town-"/>
  </r>
  <r>
    <s v="L1_0425"/>
    <x v="51"/>
    <x v="3"/>
    <s v="Luton Town"/>
    <m/>
    <m/>
    <m/>
    <m/>
    <m/>
    <m/>
    <n v="1"/>
    <s v="Away"/>
    <m/>
    <m/>
    <m/>
    <m/>
    <s v=""/>
    <s v="Burton Albion-"/>
    <s v=""/>
    <s v="Burton Albion-"/>
  </r>
  <r>
    <s v="L1_0426"/>
    <x v="51"/>
    <x v="7"/>
    <s v="Milton Keynes Dons"/>
    <m/>
    <m/>
    <m/>
    <m/>
    <m/>
    <m/>
    <n v="1"/>
    <s v="Away"/>
    <m/>
    <m/>
    <m/>
    <m/>
    <s v=""/>
    <s v="Mansfield Town-"/>
    <s v=""/>
    <s v="Mansfield Town-"/>
  </r>
  <r>
    <s v="L1_0427"/>
    <x v="51"/>
    <x v="10"/>
    <s v="Peterborough United"/>
    <m/>
    <m/>
    <m/>
    <m/>
    <m/>
    <m/>
    <n v="1"/>
    <s v="Away"/>
    <m/>
    <m/>
    <m/>
    <m/>
    <s v=""/>
    <s v="Plymouth Argyle-"/>
    <s v=""/>
    <s v="Plymouth Argyle-"/>
  </r>
  <r>
    <s v="L1_0428"/>
    <x v="51"/>
    <x v="0"/>
    <s v="Sheffield Wednesday"/>
    <m/>
    <m/>
    <m/>
    <m/>
    <m/>
    <m/>
    <n v="1"/>
    <s v="Away"/>
    <m/>
    <m/>
    <m/>
    <m/>
    <s v=""/>
    <s v="Barnsley-"/>
    <s v=""/>
    <s v="Barnsley-"/>
  </r>
  <r>
    <s v="L1_0429"/>
    <x v="51"/>
    <x v="8"/>
    <s v="Stevenage"/>
    <m/>
    <m/>
    <m/>
    <m/>
    <m/>
    <m/>
    <n v="1"/>
    <s v="Away"/>
    <m/>
    <m/>
    <m/>
    <m/>
    <s v=""/>
    <s v="Notts County-"/>
    <s v=""/>
    <s v="Notts County-"/>
  </r>
  <r>
    <s v="L1_0430"/>
    <x v="51"/>
    <x v="4"/>
    <s v="Stockport County"/>
    <m/>
    <m/>
    <m/>
    <m/>
    <m/>
    <m/>
    <n v="1"/>
    <s v="Away"/>
    <m/>
    <m/>
    <m/>
    <m/>
    <s v=""/>
    <s v="Cambridge United-"/>
    <s v=""/>
    <s v="Cambridge United-"/>
  </r>
  <r>
    <s v="L1_0431"/>
    <x v="51"/>
    <x v="1"/>
    <s v="Wigan Athletic"/>
    <m/>
    <m/>
    <m/>
    <m/>
    <m/>
    <m/>
    <n v="1"/>
    <s v="Away"/>
    <m/>
    <m/>
    <m/>
    <m/>
    <s v=""/>
    <s v="Blackpool-"/>
    <s v=""/>
    <s v="Blackpool-"/>
  </r>
  <r>
    <s v="L1_0432"/>
    <x v="51"/>
    <x v="9"/>
    <s v="Wycombe Wanderers"/>
    <m/>
    <m/>
    <m/>
    <m/>
    <m/>
    <m/>
    <n v="1"/>
    <s v="Away"/>
    <m/>
    <m/>
    <m/>
    <m/>
    <s v=""/>
    <s v="Oxford United-"/>
    <s v=""/>
    <s v="Oxford United-"/>
  </r>
  <r>
    <s v="L1_0433"/>
    <x v="52"/>
    <x v="22"/>
    <s v="Bradford City"/>
    <m/>
    <m/>
    <m/>
    <m/>
    <m/>
    <m/>
    <n v="1"/>
    <s v="Away"/>
    <m/>
    <m/>
    <m/>
    <m/>
    <s v=""/>
    <s v="Wigan Athletic-"/>
    <s v=""/>
    <s v="Wigan Athletic-"/>
  </r>
  <r>
    <s v="L1_0434"/>
    <x v="52"/>
    <x v="21"/>
    <s v="Burton Albion"/>
    <m/>
    <m/>
    <m/>
    <m/>
    <m/>
    <m/>
    <n v="1"/>
    <s v="Away"/>
    <m/>
    <m/>
    <m/>
    <m/>
    <s v=""/>
    <s v="Stockport County-"/>
    <s v=""/>
    <s v="Stockport County-"/>
  </r>
  <r>
    <s v="L1_0435"/>
    <x v="52"/>
    <x v="1"/>
    <s v="Doncaster Rovers"/>
    <m/>
    <m/>
    <m/>
    <m/>
    <m/>
    <m/>
    <n v="1"/>
    <s v="Away"/>
    <m/>
    <m/>
    <m/>
    <m/>
    <s v=""/>
    <s v="Blackpool-"/>
    <s v=""/>
    <s v="Blackpool-"/>
  </r>
  <r>
    <s v="L1_0436"/>
    <x v="52"/>
    <x v="11"/>
    <s v="Huddersfield Town"/>
    <m/>
    <m/>
    <m/>
    <m/>
    <m/>
    <m/>
    <n v="1"/>
    <s v="Away"/>
    <m/>
    <m/>
    <m/>
    <m/>
    <s v=""/>
    <s v="Reading-"/>
    <s v=""/>
    <s v="Reading-"/>
  </r>
  <r>
    <s v="L1_0437"/>
    <x v="52"/>
    <x v="23"/>
    <s v="Leicester City"/>
    <m/>
    <m/>
    <m/>
    <m/>
    <m/>
    <m/>
    <n v="1"/>
    <s v="Away"/>
    <m/>
    <m/>
    <m/>
    <m/>
    <s v=""/>
    <s v="Wycombe Wanderers-"/>
    <s v=""/>
    <s v="Wycombe Wanderers-"/>
  </r>
  <r>
    <s v="L1_0438"/>
    <x v="52"/>
    <x v="10"/>
    <s v="Luton Town"/>
    <m/>
    <m/>
    <m/>
    <m/>
    <m/>
    <m/>
    <n v="1"/>
    <s v="Away"/>
    <m/>
    <m/>
    <m/>
    <m/>
    <s v=""/>
    <s v="Plymouth Argyle-"/>
    <s v=""/>
    <s v="Plymouth Argyle-"/>
  </r>
  <r>
    <s v="L1_0439"/>
    <x v="52"/>
    <x v="4"/>
    <s v="Mansfield Town"/>
    <m/>
    <m/>
    <m/>
    <m/>
    <m/>
    <m/>
    <n v="1"/>
    <s v="Away"/>
    <m/>
    <m/>
    <m/>
    <m/>
    <s v=""/>
    <s v="Cambridge United-"/>
    <s v=""/>
    <s v="Cambridge United-"/>
  </r>
  <r>
    <s v="L1_0440"/>
    <x v="52"/>
    <x v="12"/>
    <s v="Milton Keynes Dons"/>
    <m/>
    <m/>
    <m/>
    <m/>
    <m/>
    <m/>
    <n v="1"/>
    <s v="Away"/>
    <m/>
    <m/>
    <m/>
    <m/>
    <s v=""/>
    <s v="Sheffield Wednesday-"/>
    <s v=""/>
    <s v="Sheffield Wednesday-"/>
  </r>
  <r>
    <s v="L1_0441"/>
    <x v="52"/>
    <x v="0"/>
    <s v="Notts County"/>
    <m/>
    <m/>
    <m/>
    <m/>
    <m/>
    <m/>
    <n v="1"/>
    <s v="Away"/>
    <m/>
    <m/>
    <m/>
    <m/>
    <s v=""/>
    <s v="Barnsley-"/>
    <s v=""/>
    <s v="Barnsley-"/>
  </r>
  <r>
    <s v="L1_0442"/>
    <x v="52"/>
    <x v="6"/>
    <s v="Oxford United"/>
    <m/>
    <m/>
    <m/>
    <m/>
    <m/>
    <m/>
    <n v="1"/>
    <s v="Away"/>
    <m/>
    <m/>
    <m/>
    <m/>
    <s v=""/>
    <s v="Leyton Orient-"/>
    <s v=""/>
    <s v="Leyton Orient-"/>
  </r>
  <r>
    <s v="L1_0443"/>
    <x v="52"/>
    <x v="13"/>
    <s v="Peterborough United"/>
    <m/>
    <m/>
    <m/>
    <m/>
    <m/>
    <m/>
    <n v="1"/>
    <s v="Away"/>
    <m/>
    <m/>
    <m/>
    <m/>
    <s v=""/>
    <s v="AFC Wimbledon-"/>
    <s v=""/>
    <s v="AFC Wimbledon-"/>
  </r>
  <r>
    <s v="L1_0444"/>
    <x v="52"/>
    <x v="14"/>
    <s v="Stevenage"/>
    <m/>
    <m/>
    <m/>
    <m/>
    <m/>
    <m/>
    <n v="1"/>
    <s v="Away"/>
    <m/>
    <m/>
    <m/>
    <m/>
    <s v=""/>
    <s v="Bromley-"/>
    <s v=""/>
    <s v="Bromley-"/>
  </r>
  <r>
    <s v="L1_0445"/>
    <x v="53"/>
    <x v="16"/>
    <s v="AFC Wimbledon"/>
    <m/>
    <m/>
    <m/>
    <m/>
    <m/>
    <m/>
    <n v="1"/>
    <s v="Away"/>
    <m/>
    <m/>
    <m/>
    <m/>
    <s v=""/>
    <s v="Leicester City-"/>
    <s v=""/>
    <s v="Leicester City-"/>
  </r>
  <r>
    <s v="L1_0446"/>
    <x v="53"/>
    <x v="7"/>
    <s v="Barnsley"/>
    <m/>
    <m/>
    <m/>
    <m/>
    <m/>
    <m/>
    <n v="1"/>
    <s v="Away"/>
    <m/>
    <m/>
    <m/>
    <m/>
    <s v=""/>
    <s v="Mansfield Town-"/>
    <s v=""/>
    <s v="Mansfield Town-"/>
  </r>
  <r>
    <s v="L1_0447"/>
    <x v="53"/>
    <x v="9"/>
    <s v="Blackpool"/>
    <m/>
    <m/>
    <m/>
    <m/>
    <m/>
    <m/>
    <n v="1"/>
    <s v="Away"/>
    <m/>
    <m/>
    <m/>
    <m/>
    <s v=""/>
    <s v="Oxford United-"/>
    <s v=""/>
    <s v="Oxford United-"/>
  </r>
  <r>
    <s v="L1_0448"/>
    <x v="53"/>
    <x v="15"/>
    <s v="Bromley"/>
    <m/>
    <m/>
    <m/>
    <m/>
    <m/>
    <m/>
    <n v="1"/>
    <s v="Away"/>
    <m/>
    <m/>
    <m/>
    <m/>
    <s v=""/>
    <s v="Doncaster Rovers-"/>
    <s v=""/>
    <s v="Doncaster Rovers-"/>
  </r>
  <r>
    <s v="L1_0449"/>
    <x v="53"/>
    <x v="18"/>
    <s v="Cambridge United"/>
    <m/>
    <m/>
    <m/>
    <m/>
    <m/>
    <m/>
    <n v="1"/>
    <s v="Away"/>
    <m/>
    <m/>
    <m/>
    <m/>
    <s v=""/>
    <s v="Milton Keynes Dons-"/>
    <s v=""/>
    <s v="Milton Keynes Dons-"/>
  </r>
  <r>
    <s v="L1_0450"/>
    <x v="53"/>
    <x v="5"/>
    <s v="Leyton Orient"/>
    <m/>
    <m/>
    <m/>
    <m/>
    <m/>
    <m/>
    <n v="1"/>
    <s v="Away"/>
    <m/>
    <m/>
    <m/>
    <m/>
    <s v=""/>
    <s v="Huddersfield Town-"/>
    <s v=""/>
    <s v="Huddersfield Town-"/>
  </r>
  <r>
    <s v="L1_0451"/>
    <x v="53"/>
    <x v="8"/>
    <s v="Plymouth Argyle"/>
    <m/>
    <m/>
    <m/>
    <m/>
    <m/>
    <m/>
    <n v="1"/>
    <s v="Away"/>
    <m/>
    <m/>
    <m/>
    <m/>
    <s v=""/>
    <s v="Notts County-"/>
    <s v=""/>
    <s v="Notts County-"/>
  </r>
  <r>
    <s v="L1_0452"/>
    <x v="53"/>
    <x v="20"/>
    <s v="Reading"/>
    <m/>
    <m/>
    <m/>
    <m/>
    <m/>
    <m/>
    <n v="1"/>
    <s v="Away"/>
    <m/>
    <m/>
    <m/>
    <m/>
    <s v=""/>
    <s v="Stevenage-"/>
    <s v=""/>
    <s v="Stevenage-"/>
  </r>
  <r>
    <s v="L1_0453"/>
    <x v="53"/>
    <x v="3"/>
    <s v="Sheffield Wednesday"/>
    <m/>
    <m/>
    <m/>
    <m/>
    <m/>
    <m/>
    <n v="1"/>
    <s v="Away"/>
    <m/>
    <m/>
    <m/>
    <m/>
    <s v=""/>
    <s v="Burton Albion-"/>
    <s v=""/>
    <s v="Burton Albion-"/>
  </r>
  <r>
    <s v="L1_0454"/>
    <x v="53"/>
    <x v="2"/>
    <s v="Stockport County"/>
    <m/>
    <m/>
    <m/>
    <m/>
    <m/>
    <m/>
    <n v="1"/>
    <s v="Away"/>
    <m/>
    <m/>
    <m/>
    <m/>
    <s v=""/>
    <s v="Bradford City-"/>
    <s v=""/>
    <s v="Bradford City-"/>
  </r>
  <r>
    <s v="L1_0455"/>
    <x v="53"/>
    <x v="17"/>
    <s v="Wigan Athletic"/>
    <m/>
    <m/>
    <m/>
    <m/>
    <m/>
    <m/>
    <n v="1"/>
    <s v="Away"/>
    <m/>
    <m/>
    <m/>
    <m/>
    <s v=""/>
    <s v="Luton Town-"/>
    <s v=""/>
    <s v="Luton Town-"/>
  </r>
  <r>
    <s v="L1_0456"/>
    <x v="53"/>
    <x v="19"/>
    <s v="Wycombe Wanderers"/>
    <m/>
    <m/>
    <m/>
    <m/>
    <m/>
    <m/>
    <n v="1"/>
    <s v="Away"/>
    <m/>
    <m/>
    <m/>
    <m/>
    <s v=""/>
    <s v="Peterborough United-"/>
    <s v=""/>
    <s v="Peterborough United-"/>
  </r>
  <r>
    <s v="L1_0457"/>
    <x v="54"/>
    <x v="1"/>
    <s v="Bradford City"/>
    <m/>
    <m/>
    <m/>
    <m/>
    <m/>
    <m/>
    <n v="1"/>
    <s v="Away"/>
    <m/>
    <m/>
    <m/>
    <m/>
    <s v=""/>
    <s v="Blackpool-"/>
    <s v=""/>
    <s v="Blackpool-"/>
  </r>
  <r>
    <s v="L1_0458"/>
    <x v="54"/>
    <x v="0"/>
    <s v="Burton Albion"/>
    <m/>
    <m/>
    <m/>
    <m/>
    <m/>
    <m/>
    <n v="1"/>
    <s v="Away"/>
    <m/>
    <m/>
    <m/>
    <m/>
    <s v=""/>
    <s v="Barnsley-"/>
    <s v=""/>
    <s v="Barnsley-"/>
  </r>
  <r>
    <s v="L1_0459"/>
    <x v="54"/>
    <x v="4"/>
    <s v="Doncaster Rovers"/>
    <m/>
    <m/>
    <m/>
    <m/>
    <m/>
    <m/>
    <n v="1"/>
    <s v="Away"/>
    <m/>
    <m/>
    <m/>
    <m/>
    <s v=""/>
    <s v="Cambridge United-"/>
    <s v=""/>
    <s v="Cambridge United-"/>
  </r>
  <r>
    <s v="L1_0460"/>
    <x v="54"/>
    <x v="21"/>
    <s v="Huddersfield Town"/>
    <m/>
    <m/>
    <m/>
    <m/>
    <m/>
    <m/>
    <n v="1"/>
    <s v="Away"/>
    <m/>
    <m/>
    <m/>
    <m/>
    <s v=""/>
    <s v="Stockport County-"/>
    <s v=""/>
    <s v="Stockport County-"/>
  </r>
  <r>
    <s v="L1_0461"/>
    <x v="54"/>
    <x v="6"/>
    <s v="Leicester City"/>
    <m/>
    <m/>
    <m/>
    <m/>
    <m/>
    <m/>
    <n v="1"/>
    <s v="Away"/>
    <m/>
    <m/>
    <m/>
    <m/>
    <s v=""/>
    <s v="Leyton Orient-"/>
    <s v=""/>
    <s v="Leyton Orient-"/>
  </r>
  <r>
    <s v="L1_0462"/>
    <x v="54"/>
    <x v="13"/>
    <s v="Luton Town"/>
    <m/>
    <m/>
    <m/>
    <m/>
    <m/>
    <m/>
    <n v="1"/>
    <s v="Away"/>
    <m/>
    <m/>
    <m/>
    <m/>
    <s v=""/>
    <s v="AFC Wimbledon-"/>
    <s v=""/>
    <s v="AFC Wimbledon-"/>
  </r>
  <r>
    <s v="L1_0463"/>
    <x v="54"/>
    <x v="12"/>
    <s v="Mansfield Town"/>
    <m/>
    <m/>
    <m/>
    <m/>
    <m/>
    <m/>
    <n v="1"/>
    <s v="Away"/>
    <m/>
    <m/>
    <m/>
    <m/>
    <s v=""/>
    <s v="Sheffield Wednesday-"/>
    <s v=""/>
    <s v="Sheffield Wednesday-"/>
  </r>
  <r>
    <s v="L1_0464"/>
    <x v="54"/>
    <x v="10"/>
    <s v="Milton Keynes Dons"/>
    <m/>
    <m/>
    <m/>
    <m/>
    <m/>
    <m/>
    <n v="1"/>
    <s v="Away"/>
    <m/>
    <m/>
    <m/>
    <m/>
    <s v=""/>
    <s v="Plymouth Argyle-"/>
    <s v=""/>
    <s v="Plymouth Argyle-"/>
  </r>
  <r>
    <s v="L1_0465"/>
    <x v="54"/>
    <x v="22"/>
    <s v="Notts County"/>
    <m/>
    <m/>
    <m/>
    <m/>
    <m/>
    <m/>
    <n v="1"/>
    <s v="Away"/>
    <m/>
    <m/>
    <m/>
    <m/>
    <s v=""/>
    <s v="Wigan Athletic-"/>
    <s v=""/>
    <s v="Wigan Athletic-"/>
  </r>
  <r>
    <s v="L1_0466"/>
    <x v="54"/>
    <x v="14"/>
    <s v="Oxford United"/>
    <m/>
    <m/>
    <m/>
    <m/>
    <m/>
    <m/>
    <n v="1"/>
    <s v="Away"/>
    <m/>
    <m/>
    <m/>
    <m/>
    <s v=""/>
    <s v="Bromley-"/>
    <s v=""/>
    <s v="Bromley-"/>
  </r>
  <r>
    <s v="L1_0467"/>
    <x v="54"/>
    <x v="11"/>
    <s v="Peterborough United"/>
    <m/>
    <m/>
    <m/>
    <m/>
    <m/>
    <m/>
    <n v="1"/>
    <s v="Away"/>
    <m/>
    <m/>
    <m/>
    <m/>
    <s v=""/>
    <s v="Reading-"/>
    <s v=""/>
    <s v="Reading-"/>
  </r>
  <r>
    <s v="L1_0468"/>
    <x v="54"/>
    <x v="23"/>
    <s v="Stevenage"/>
    <m/>
    <m/>
    <m/>
    <m/>
    <m/>
    <m/>
    <n v="1"/>
    <s v="Away"/>
    <m/>
    <m/>
    <m/>
    <m/>
    <s v=""/>
    <s v="Wycombe Wanderers-"/>
    <s v=""/>
    <s v="Wycombe Wanderers-"/>
  </r>
  <r>
    <s v="L1_0469"/>
    <x v="55"/>
    <x v="2"/>
    <s v="AFC Wimbledon"/>
    <m/>
    <m/>
    <m/>
    <m/>
    <m/>
    <m/>
    <n v="1"/>
    <s v="Away"/>
    <m/>
    <m/>
    <m/>
    <m/>
    <s v=""/>
    <s v="Bradford City-"/>
    <s v=""/>
    <s v="Bradford City-"/>
  </r>
  <r>
    <s v="L1_0470"/>
    <x v="55"/>
    <x v="19"/>
    <s v="Barnsley"/>
    <m/>
    <m/>
    <m/>
    <m/>
    <m/>
    <m/>
    <n v="1"/>
    <s v="Away"/>
    <m/>
    <m/>
    <m/>
    <m/>
    <s v=""/>
    <s v="Peterborough United-"/>
    <s v=""/>
    <s v="Peterborough United-"/>
  </r>
  <r>
    <s v="L1_0471"/>
    <x v="55"/>
    <x v="5"/>
    <s v="Blackpool"/>
    <m/>
    <m/>
    <m/>
    <m/>
    <m/>
    <m/>
    <n v="1"/>
    <s v="Away"/>
    <m/>
    <m/>
    <m/>
    <m/>
    <s v=""/>
    <s v="Huddersfield Town-"/>
    <s v=""/>
    <s v="Huddersfield Town-"/>
  </r>
  <r>
    <s v="L1_0472"/>
    <x v="55"/>
    <x v="17"/>
    <s v="Bromley"/>
    <m/>
    <m/>
    <m/>
    <m/>
    <m/>
    <m/>
    <n v="1"/>
    <s v="Away"/>
    <m/>
    <m/>
    <m/>
    <m/>
    <s v=""/>
    <s v="Luton Town-"/>
    <s v=""/>
    <s v="Luton Town-"/>
  </r>
  <r>
    <s v="L1_0473"/>
    <x v="55"/>
    <x v="8"/>
    <s v="Cambridge United"/>
    <m/>
    <m/>
    <m/>
    <m/>
    <m/>
    <m/>
    <n v="1"/>
    <s v="Away"/>
    <m/>
    <m/>
    <m/>
    <m/>
    <s v=""/>
    <s v="Notts County-"/>
    <s v=""/>
    <s v="Notts County-"/>
  </r>
  <r>
    <s v="L1_0474"/>
    <x v="55"/>
    <x v="18"/>
    <s v="Leyton Orient"/>
    <m/>
    <m/>
    <m/>
    <m/>
    <m/>
    <m/>
    <n v="1"/>
    <s v="Away"/>
    <m/>
    <m/>
    <m/>
    <m/>
    <s v=""/>
    <s v="Milton Keynes Dons-"/>
    <s v=""/>
    <s v="Milton Keynes Dons-"/>
  </r>
  <r>
    <s v="L1_0475"/>
    <x v="55"/>
    <x v="9"/>
    <s v="Plymouth Argyle"/>
    <m/>
    <m/>
    <m/>
    <m/>
    <m/>
    <m/>
    <n v="1"/>
    <s v="Away"/>
    <m/>
    <m/>
    <m/>
    <m/>
    <s v=""/>
    <s v="Oxford United-"/>
    <s v=""/>
    <s v="Oxford United-"/>
  </r>
  <r>
    <s v="L1_0476"/>
    <x v="55"/>
    <x v="3"/>
    <s v="Reading"/>
    <m/>
    <m/>
    <m/>
    <m/>
    <m/>
    <m/>
    <n v="1"/>
    <s v="Away"/>
    <m/>
    <m/>
    <m/>
    <m/>
    <s v=""/>
    <s v="Burton Albion-"/>
    <s v=""/>
    <s v="Burton Albion-"/>
  </r>
  <r>
    <s v="L1_0477"/>
    <x v="55"/>
    <x v="16"/>
    <s v="Sheffield Wednesday"/>
    <m/>
    <m/>
    <m/>
    <m/>
    <m/>
    <m/>
    <n v="1"/>
    <s v="Away"/>
    <m/>
    <m/>
    <m/>
    <m/>
    <s v=""/>
    <s v="Leicester City-"/>
    <s v=""/>
    <s v="Leicester City-"/>
  </r>
  <r>
    <s v="L1_0478"/>
    <x v="55"/>
    <x v="20"/>
    <s v="Stockport County"/>
    <m/>
    <m/>
    <m/>
    <m/>
    <m/>
    <m/>
    <n v="1"/>
    <s v="Away"/>
    <m/>
    <m/>
    <m/>
    <m/>
    <s v=""/>
    <s v="Stevenage-"/>
    <s v=""/>
    <s v="Stevenage-"/>
  </r>
  <r>
    <s v="L1_0479"/>
    <x v="55"/>
    <x v="15"/>
    <s v="Wigan Athletic"/>
    <m/>
    <m/>
    <m/>
    <m/>
    <m/>
    <m/>
    <n v="1"/>
    <s v="Away"/>
    <m/>
    <m/>
    <m/>
    <m/>
    <s v=""/>
    <s v="Doncaster Rovers-"/>
    <s v=""/>
    <s v="Doncaster Rovers-"/>
  </r>
  <r>
    <s v="L1_0480"/>
    <x v="55"/>
    <x v="7"/>
    <s v="Wycombe Wanderers"/>
    <m/>
    <m/>
    <m/>
    <m/>
    <m/>
    <m/>
    <n v="1"/>
    <s v="Away"/>
    <m/>
    <m/>
    <m/>
    <m/>
    <s v=""/>
    <s v="Mansfield Town-"/>
    <s v=""/>
    <s v="Mansfield Town-"/>
  </r>
  <r>
    <s v="L1_0481"/>
    <x v="56"/>
    <x v="4"/>
    <s v="AFC Wimbledon"/>
    <m/>
    <m/>
    <m/>
    <m/>
    <m/>
    <m/>
    <n v="1"/>
    <s v="Away"/>
    <m/>
    <m/>
    <m/>
    <m/>
    <s v=""/>
    <s v="Cambridge United-"/>
    <s v=""/>
    <s v="Cambridge United-"/>
  </r>
  <r>
    <s v="L1_0482"/>
    <x v="56"/>
    <x v="2"/>
    <s v="Barnsley"/>
    <m/>
    <m/>
    <m/>
    <m/>
    <m/>
    <m/>
    <n v="1"/>
    <s v="Away"/>
    <m/>
    <m/>
    <m/>
    <m/>
    <s v=""/>
    <s v="Bradford City-"/>
    <s v=""/>
    <s v="Bradford City-"/>
  </r>
  <r>
    <s v="L1_0483"/>
    <x v="56"/>
    <x v="8"/>
    <s v="Blackpool"/>
    <m/>
    <m/>
    <m/>
    <m/>
    <m/>
    <m/>
    <n v="1"/>
    <s v="Away"/>
    <m/>
    <m/>
    <m/>
    <m/>
    <s v=""/>
    <s v="Notts County-"/>
    <s v=""/>
    <s v="Notts County-"/>
  </r>
  <r>
    <s v="L1_0484"/>
    <x v="56"/>
    <x v="18"/>
    <s v="Bromley"/>
    <m/>
    <m/>
    <m/>
    <m/>
    <m/>
    <m/>
    <n v="1"/>
    <s v="Away"/>
    <m/>
    <m/>
    <m/>
    <m/>
    <s v=""/>
    <s v="Milton Keynes Dons-"/>
    <s v=""/>
    <s v="Milton Keynes Dons-"/>
  </r>
  <r>
    <s v="L1_0485"/>
    <x v="56"/>
    <x v="10"/>
    <s v="Burton Albion"/>
    <m/>
    <m/>
    <m/>
    <m/>
    <m/>
    <m/>
    <n v="1"/>
    <s v="Away"/>
    <m/>
    <m/>
    <m/>
    <m/>
    <s v=""/>
    <s v="Plymouth Argyle-"/>
    <s v=""/>
    <s v="Plymouth Argyle-"/>
  </r>
  <r>
    <s v="L1_0486"/>
    <x v="56"/>
    <x v="7"/>
    <s v="Leyton Orient"/>
    <m/>
    <m/>
    <m/>
    <m/>
    <m/>
    <m/>
    <n v="1"/>
    <s v="Away"/>
    <m/>
    <m/>
    <m/>
    <m/>
    <s v=""/>
    <s v="Mansfield Town-"/>
    <s v=""/>
    <s v="Mansfield Town-"/>
  </r>
  <r>
    <s v="L1_0487"/>
    <x v="56"/>
    <x v="5"/>
    <s v="Luton Town"/>
    <m/>
    <m/>
    <m/>
    <m/>
    <m/>
    <m/>
    <n v="1"/>
    <s v="Away"/>
    <m/>
    <m/>
    <m/>
    <m/>
    <s v=""/>
    <s v="Huddersfield Town-"/>
    <s v=""/>
    <s v="Huddersfield Town-"/>
  </r>
  <r>
    <s v="L1_0488"/>
    <x v="56"/>
    <x v="15"/>
    <s v="Oxford United"/>
    <m/>
    <m/>
    <m/>
    <m/>
    <m/>
    <m/>
    <n v="1"/>
    <s v="Away"/>
    <m/>
    <m/>
    <m/>
    <m/>
    <s v=""/>
    <s v="Doncaster Rovers-"/>
    <s v=""/>
    <s v="Doncaster Rovers-"/>
  </r>
  <r>
    <s v="L1_0489"/>
    <x v="56"/>
    <x v="21"/>
    <s v="Peterborough United"/>
    <m/>
    <m/>
    <m/>
    <m/>
    <m/>
    <m/>
    <n v="1"/>
    <s v="Away"/>
    <m/>
    <m/>
    <m/>
    <m/>
    <s v=""/>
    <s v="Stockport County-"/>
    <s v=""/>
    <s v="Stockport County-"/>
  </r>
  <r>
    <s v="L1_0490"/>
    <x v="56"/>
    <x v="23"/>
    <s v="Reading"/>
    <m/>
    <m/>
    <m/>
    <m/>
    <m/>
    <m/>
    <n v="1"/>
    <s v="Away"/>
    <m/>
    <m/>
    <m/>
    <m/>
    <s v=""/>
    <s v="Wycombe Wanderers-"/>
    <s v=""/>
    <s v="Wycombe Wanderers-"/>
  </r>
  <r>
    <s v="L1_0491"/>
    <x v="56"/>
    <x v="20"/>
    <s v="Sheffield Wednesday"/>
    <m/>
    <m/>
    <m/>
    <m/>
    <m/>
    <m/>
    <n v="1"/>
    <s v="Away"/>
    <m/>
    <m/>
    <m/>
    <m/>
    <s v=""/>
    <s v="Stevenage-"/>
    <s v=""/>
    <s v="Stevenage-"/>
  </r>
  <r>
    <s v="L1_0492"/>
    <x v="56"/>
    <x v="16"/>
    <s v="Wigan Athletic"/>
    <m/>
    <m/>
    <m/>
    <m/>
    <m/>
    <m/>
    <n v="1"/>
    <s v="Away"/>
    <m/>
    <m/>
    <m/>
    <m/>
    <s v=""/>
    <s v="Leicester City-"/>
    <s v=""/>
    <s v="Leicester City-"/>
  </r>
  <r>
    <s v="L1_0493"/>
    <x v="57"/>
    <x v="17"/>
    <s v="Bradford City"/>
    <m/>
    <m/>
    <m/>
    <m/>
    <m/>
    <m/>
    <n v="1"/>
    <s v="Away"/>
    <m/>
    <m/>
    <m/>
    <m/>
    <s v=""/>
    <s v="Luton Town-"/>
    <s v=""/>
    <s v="Luton Town-"/>
  </r>
  <r>
    <s v="L1_0494"/>
    <x v="57"/>
    <x v="9"/>
    <s v="Cambridge United"/>
    <m/>
    <m/>
    <m/>
    <m/>
    <m/>
    <m/>
    <n v="1"/>
    <s v="Away"/>
    <m/>
    <m/>
    <m/>
    <m/>
    <s v=""/>
    <s v="Oxford United-"/>
    <s v=""/>
    <s v="Oxford United-"/>
  </r>
  <r>
    <s v="L1_0495"/>
    <x v="57"/>
    <x v="19"/>
    <s v="Doncaster Rovers"/>
    <m/>
    <m/>
    <m/>
    <m/>
    <m/>
    <m/>
    <n v="1"/>
    <s v="Away"/>
    <m/>
    <m/>
    <m/>
    <m/>
    <s v=""/>
    <s v="Peterborough United-"/>
    <s v=""/>
    <s v="Peterborough United-"/>
  </r>
  <r>
    <s v="L1_0496"/>
    <x v="57"/>
    <x v="14"/>
    <s v="Huddersfield Town"/>
    <m/>
    <m/>
    <m/>
    <m/>
    <m/>
    <m/>
    <n v="1"/>
    <s v="Away"/>
    <m/>
    <m/>
    <m/>
    <m/>
    <s v=""/>
    <s v="Bromley-"/>
    <s v=""/>
    <s v="Bromley-"/>
  </r>
  <r>
    <s v="L1_0497"/>
    <x v="57"/>
    <x v="0"/>
    <s v="Leicester City"/>
    <m/>
    <m/>
    <m/>
    <m/>
    <m/>
    <m/>
    <n v="1"/>
    <s v="Away"/>
    <m/>
    <m/>
    <m/>
    <m/>
    <s v=""/>
    <s v="Barnsley-"/>
    <s v=""/>
    <s v="Barnsley-"/>
  </r>
  <r>
    <s v="L1_0498"/>
    <x v="57"/>
    <x v="3"/>
    <s v="Mansfield Town"/>
    <m/>
    <m/>
    <m/>
    <m/>
    <m/>
    <m/>
    <n v="1"/>
    <s v="Away"/>
    <m/>
    <m/>
    <m/>
    <m/>
    <s v=""/>
    <s v="Burton Albion-"/>
    <s v=""/>
    <s v="Burton Albion-"/>
  </r>
  <r>
    <s v="L1_0499"/>
    <x v="57"/>
    <x v="13"/>
    <s v="Milton Keynes Dons"/>
    <m/>
    <m/>
    <m/>
    <m/>
    <m/>
    <m/>
    <n v="1"/>
    <s v="Away"/>
    <m/>
    <m/>
    <m/>
    <m/>
    <s v=""/>
    <s v="AFC Wimbledon-"/>
    <s v=""/>
    <s v="AFC Wimbledon-"/>
  </r>
  <r>
    <s v="L1_0500"/>
    <x v="57"/>
    <x v="11"/>
    <s v="Notts County"/>
    <m/>
    <m/>
    <m/>
    <m/>
    <m/>
    <m/>
    <n v="1"/>
    <s v="Away"/>
    <m/>
    <m/>
    <m/>
    <m/>
    <s v=""/>
    <s v="Reading-"/>
    <s v=""/>
    <s v="Reading-"/>
  </r>
  <r>
    <s v="L1_0501"/>
    <x v="57"/>
    <x v="1"/>
    <s v="Plymouth Argyle"/>
    <m/>
    <m/>
    <m/>
    <m/>
    <m/>
    <m/>
    <n v="1"/>
    <s v="Away"/>
    <m/>
    <m/>
    <m/>
    <m/>
    <s v=""/>
    <s v="Blackpool-"/>
    <s v=""/>
    <s v="Blackpool-"/>
  </r>
  <r>
    <s v="L1_0502"/>
    <x v="57"/>
    <x v="6"/>
    <s v="Stevenage"/>
    <m/>
    <m/>
    <m/>
    <m/>
    <m/>
    <m/>
    <n v="1"/>
    <s v="Away"/>
    <m/>
    <m/>
    <m/>
    <m/>
    <s v=""/>
    <s v="Leyton Orient-"/>
    <s v=""/>
    <s v="Leyton Orient-"/>
  </r>
  <r>
    <s v="L1_0503"/>
    <x v="57"/>
    <x v="12"/>
    <s v="Stockport County"/>
    <m/>
    <m/>
    <m/>
    <m/>
    <m/>
    <m/>
    <n v="1"/>
    <s v="Away"/>
    <m/>
    <m/>
    <m/>
    <m/>
    <s v=""/>
    <s v="Sheffield Wednesday-"/>
    <s v=""/>
    <s v="Sheffield Wednesday-"/>
  </r>
  <r>
    <s v="L1_0504"/>
    <x v="57"/>
    <x v="22"/>
    <s v="Wycombe Wanderers"/>
    <m/>
    <m/>
    <m/>
    <m/>
    <m/>
    <m/>
    <n v="1"/>
    <s v="Away"/>
    <m/>
    <m/>
    <m/>
    <m/>
    <s v=""/>
    <s v="Wigan Athletic-"/>
    <s v=""/>
    <s v="Wigan Athletic-"/>
  </r>
  <r>
    <s v="L1_0505"/>
    <x v="58"/>
    <x v="10"/>
    <s v="AFC Wimbledon"/>
    <m/>
    <m/>
    <m/>
    <m/>
    <m/>
    <m/>
    <n v="1"/>
    <s v="Away"/>
    <m/>
    <m/>
    <m/>
    <m/>
    <s v=""/>
    <s v="Plymouth Argyle-"/>
    <s v=""/>
    <s v="Plymouth Argyle-"/>
  </r>
  <r>
    <s v="L1_0506"/>
    <x v="58"/>
    <x v="21"/>
    <s v="Barnsley"/>
    <m/>
    <m/>
    <m/>
    <m/>
    <m/>
    <m/>
    <n v="1"/>
    <s v="Away"/>
    <m/>
    <m/>
    <m/>
    <m/>
    <s v=""/>
    <s v="Stockport County-"/>
    <s v=""/>
    <s v="Stockport County-"/>
  </r>
  <r>
    <s v="L1_0507"/>
    <x v="58"/>
    <x v="4"/>
    <s v="Blackpool"/>
    <m/>
    <m/>
    <m/>
    <m/>
    <m/>
    <m/>
    <n v="1"/>
    <s v="Away"/>
    <m/>
    <m/>
    <m/>
    <m/>
    <s v=""/>
    <s v="Cambridge United-"/>
    <s v=""/>
    <s v="Cambridge United-"/>
  </r>
  <r>
    <s v="L1_0508"/>
    <x v="58"/>
    <x v="7"/>
    <s v="Bromley"/>
    <m/>
    <m/>
    <m/>
    <m/>
    <m/>
    <m/>
    <n v="1"/>
    <s v="Away"/>
    <m/>
    <m/>
    <m/>
    <m/>
    <s v=""/>
    <s v="Mansfield Town-"/>
    <s v=""/>
    <s v="Mansfield Town-"/>
  </r>
  <r>
    <s v="L1_0509"/>
    <x v="58"/>
    <x v="15"/>
    <s v="Burton Albion"/>
    <m/>
    <m/>
    <m/>
    <m/>
    <m/>
    <m/>
    <n v="1"/>
    <s v="Away"/>
    <m/>
    <m/>
    <m/>
    <m/>
    <s v=""/>
    <s v="Doncaster Rovers-"/>
    <s v=""/>
    <s v="Doncaster Rovers-"/>
  </r>
  <r>
    <s v="L1_0510"/>
    <x v="58"/>
    <x v="2"/>
    <s v="Leyton Orient"/>
    <m/>
    <m/>
    <m/>
    <m/>
    <m/>
    <m/>
    <n v="1"/>
    <s v="Away"/>
    <m/>
    <m/>
    <m/>
    <m/>
    <s v=""/>
    <s v="Bradford City-"/>
    <s v=""/>
    <s v="Bradford City-"/>
  </r>
  <r>
    <s v="L1_0511"/>
    <x v="58"/>
    <x v="23"/>
    <s v="Luton Town"/>
    <m/>
    <m/>
    <m/>
    <m/>
    <m/>
    <m/>
    <n v="1"/>
    <s v="Away"/>
    <m/>
    <m/>
    <m/>
    <m/>
    <s v=""/>
    <s v="Wycombe Wanderers-"/>
    <s v=""/>
    <s v="Wycombe Wanderers-"/>
  </r>
  <r>
    <s v="L1_0512"/>
    <x v="58"/>
    <x v="8"/>
    <s v="Oxford United"/>
    <m/>
    <m/>
    <m/>
    <m/>
    <m/>
    <m/>
    <n v="1"/>
    <s v="Away"/>
    <m/>
    <m/>
    <m/>
    <m/>
    <s v=""/>
    <s v="Notts County-"/>
    <s v=""/>
    <s v="Notts County-"/>
  </r>
  <r>
    <s v="L1_0513"/>
    <x v="58"/>
    <x v="16"/>
    <s v="Peterborough United"/>
    <m/>
    <m/>
    <m/>
    <m/>
    <m/>
    <m/>
    <n v="1"/>
    <s v="Away"/>
    <m/>
    <m/>
    <m/>
    <m/>
    <s v=""/>
    <s v="Leicester City-"/>
    <s v=""/>
    <s v="Leicester City-"/>
  </r>
  <r>
    <s v="L1_0514"/>
    <x v="58"/>
    <x v="5"/>
    <s v="Reading"/>
    <m/>
    <m/>
    <m/>
    <m/>
    <m/>
    <m/>
    <n v="1"/>
    <s v="Away"/>
    <m/>
    <m/>
    <m/>
    <m/>
    <s v=""/>
    <s v="Huddersfield Town-"/>
    <s v=""/>
    <s v="Huddersfield Town-"/>
  </r>
  <r>
    <s v="L1_0515"/>
    <x v="58"/>
    <x v="18"/>
    <s v="Sheffield Wednesday"/>
    <m/>
    <m/>
    <m/>
    <m/>
    <m/>
    <m/>
    <n v="1"/>
    <s v="Away"/>
    <m/>
    <m/>
    <m/>
    <m/>
    <s v=""/>
    <s v="Milton Keynes Dons-"/>
    <s v=""/>
    <s v="Milton Keynes Dons-"/>
  </r>
  <r>
    <s v="L1_0516"/>
    <x v="58"/>
    <x v="20"/>
    <s v="Wigan Athletic"/>
    <m/>
    <m/>
    <m/>
    <m/>
    <m/>
    <m/>
    <n v="1"/>
    <s v="Away"/>
    <m/>
    <m/>
    <m/>
    <m/>
    <s v=""/>
    <s v="Stevenage-"/>
    <s v=""/>
    <s v="Stevenage-"/>
  </r>
  <r>
    <s v="L1_0517"/>
    <x v="59"/>
    <x v="11"/>
    <s v="Bradford City"/>
    <m/>
    <m/>
    <m/>
    <m/>
    <m/>
    <m/>
    <n v="1"/>
    <s v="Away"/>
    <m/>
    <m/>
    <m/>
    <m/>
    <s v=""/>
    <s v="Reading-"/>
    <s v=""/>
    <s v="Reading-"/>
  </r>
  <r>
    <s v="L1_0518"/>
    <x v="59"/>
    <x v="12"/>
    <s v="Cambridge United"/>
    <m/>
    <m/>
    <m/>
    <m/>
    <m/>
    <m/>
    <n v="1"/>
    <s v="Away"/>
    <m/>
    <m/>
    <m/>
    <m/>
    <s v=""/>
    <s v="Sheffield Wednesday-"/>
    <s v=""/>
    <s v="Sheffield Wednesday-"/>
  </r>
  <r>
    <s v="L1_0519"/>
    <x v="59"/>
    <x v="17"/>
    <s v="Doncaster Rovers"/>
    <m/>
    <m/>
    <m/>
    <m/>
    <m/>
    <m/>
    <n v="1"/>
    <s v="Away"/>
    <m/>
    <m/>
    <m/>
    <m/>
    <s v=""/>
    <s v="Luton Town-"/>
    <s v=""/>
    <s v="Luton Town-"/>
  </r>
  <r>
    <s v="L1_0520"/>
    <x v="59"/>
    <x v="3"/>
    <s v="Huddersfield Town"/>
    <m/>
    <m/>
    <m/>
    <m/>
    <m/>
    <m/>
    <n v="1"/>
    <s v="Away"/>
    <m/>
    <m/>
    <m/>
    <m/>
    <s v=""/>
    <s v="Burton Albion-"/>
    <s v=""/>
    <s v="Burton Albion-"/>
  </r>
  <r>
    <s v="L1_0521"/>
    <x v="59"/>
    <x v="1"/>
    <s v="Leicester City"/>
    <m/>
    <m/>
    <m/>
    <m/>
    <m/>
    <m/>
    <n v="1"/>
    <s v="Away"/>
    <m/>
    <m/>
    <m/>
    <m/>
    <s v=""/>
    <s v="Blackpool-"/>
    <s v=""/>
    <s v="Blackpool-"/>
  </r>
  <r>
    <s v="L1_0522"/>
    <x v="59"/>
    <x v="22"/>
    <s v="Mansfield Town"/>
    <m/>
    <m/>
    <m/>
    <m/>
    <m/>
    <m/>
    <n v="1"/>
    <s v="Away"/>
    <m/>
    <m/>
    <m/>
    <m/>
    <s v=""/>
    <s v="Wigan Athletic-"/>
    <s v=""/>
    <s v="Wigan Athletic-"/>
  </r>
  <r>
    <s v="L1_0523"/>
    <x v="59"/>
    <x v="0"/>
    <s v="Milton Keynes Dons"/>
    <m/>
    <m/>
    <m/>
    <m/>
    <m/>
    <m/>
    <n v="1"/>
    <s v="Away"/>
    <m/>
    <m/>
    <m/>
    <m/>
    <s v=""/>
    <s v="Barnsley-"/>
    <s v=""/>
    <s v="Barnsley-"/>
  </r>
  <r>
    <s v="L1_0524"/>
    <x v="59"/>
    <x v="19"/>
    <s v="Notts County"/>
    <m/>
    <m/>
    <m/>
    <m/>
    <m/>
    <m/>
    <n v="1"/>
    <s v="Away"/>
    <m/>
    <m/>
    <m/>
    <m/>
    <s v=""/>
    <s v="Peterborough United-"/>
    <s v=""/>
    <s v="Peterborough United-"/>
  </r>
  <r>
    <s v="L1_0525"/>
    <x v="59"/>
    <x v="6"/>
    <s v="Plymouth Argyle"/>
    <m/>
    <m/>
    <m/>
    <m/>
    <m/>
    <m/>
    <n v="1"/>
    <s v="Away"/>
    <m/>
    <m/>
    <m/>
    <m/>
    <s v=""/>
    <s v="Leyton Orient-"/>
    <s v=""/>
    <s v="Leyton Orient-"/>
  </r>
  <r>
    <s v="L1_0526"/>
    <x v="59"/>
    <x v="13"/>
    <s v="Stevenage"/>
    <m/>
    <m/>
    <m/>
    <m/>
    <m/>
    <m/>
    <n v="1"/>
    <s v="Away"/>
    <m/>
    <m/>
    <m/>
    <m/>
    <s v=""/>
    <s v="AFC Wimbledon-"/>
    <s v=""/>
    <s v="AFC Wimbledon-"/>
  </r>
  <r>
    <s v="L1_0527"/>
    <x v="59"/>
    <x v="9"/>
    <s v="Stockport County"/>
    <m/>
    <m/>
    <m/>
    <m/>
    <m/>
    <m/>
    <n v="1"/>
    <s v="Away"/>
    <m/>
    <m/>
    <m/>
    <m/>
    <s v=""/>
    <s v="Oxford United-"/>
    <s v=""/>
    <s v="Oxford United-"/>
  </r>
  <r>
    <s v="L1_0528"/>
    <x v="59"/>
    <x v="14"/>
    <s v="Wycombe Wanderers"/>
    <m/>
    <m/>
    <m/>
    <m/>
    <m/>
    <m/>
    <n v="1"/>
    <s v="Away"/>
    <m/>
    <m/>
    <m/>
    <m/>
    <s v=""/>
    <s v="Bromley-"/>
    <s v=""/>
    <s v="Bromley-"/>
  </r>
  <r>
    <s v="L1_0529"/>
    <x v="60"/>
    <x v="13"/>
    <s v="Barnsley"/>
    <m/>
    <m/>
    <m/>
    <m/>
    <m/>
    <m/>
    <n v="1"/>
    <s v="Away"/>
    <m/>
    <m/>
    <m/>
    <m/>
    <s v=""/>
    <s v="AFC Wimbledon-"/>
    <s v=""/>
    <s v="AFC Wimbledon-"/>
  </r>
  <r>
    <s v="L1_0530"/>
    <x v="60"/>
    <x v="20"/>
    <s v="Blackpool"/>
    <m/>
    <m/>
    <m/>
    <m/>
    <m/>
    <m/>
    <n v="1"/>
    <s v="Away"/>
    <m/>
    <m/>
    <m/>
    <m/>
    <s v=""/>
    <s v="Stevenage-"/>
    <s v=""/>
    <s v="Stevenage-"/>
  </r>
  <r>
    <s v="L1_0531"/>
    <x v="60"/>
    <x v="23"/>
    <s v="Bradford City"/>
    <m/>
    <m/>
    <m/>
    <m/>
    <m/>
    <m/>
    <n v="1"/>
    <s v="Away"/>
    <m/>
    <m/>
    <m/>
    <m/>
    <s v=""/>
    <s v="Wycombe Wanderers-"/>
    <s v=""/>
    <s v="Wycombe Wanderers-"/>
  </r>
  <r>
    <s v="L1_0532"/>
    <x v="60"/>
    <x v="14"/>
    <s v="Burton Albion"/>
    <m/>
    <m/>
    <m/>
    <m/>
    <m/>
    <m/>
    <n v="1"/>
    <s v="Away"/>
    <m/>
    <m/>
    <m/>
    <m/>
    <s v=""/>
    <s v="Bromley-"/>
    <s v=""/>
    <s v="Bromley-"/>
  </r>
  <r>
    <s v="L1_0533"/>
    <x v="60"/>
    <x v="17"/>
    <s v="Cambridge United"/>
    <m/>
    <m/>
    <m/>
    <m/>
    <m/>
    <m/>
    <n v="1"/>
    <s v="Away"/>
    <m/>
    <m/>
    <m/>
    <m/>
    <s v=""/>
    <s v="Luton Town-"/>
    <s v=""/>
    <s v="Luton Town-"/>
  </r>
  <r>
    <s v="L1_0534"/>
    <x v="60"/>
    <x v="15"/>
    <s v="Huddersfield Town"/>
    <m/>
    <m/>
    <m/>
    <m/>
    <m/>
    <m/>
    <n v="1"/>
    <s v="Away"/>
    <m/>
    <m/>
    <m/>
    <m/>
    <s v=""/>
    <s v="Doncaster Rovers-"/>
    <s v=""/>
    <s v="Doncaster Rovers-"/>
  </r>
  <r>
    <s v="L1_0535"/>
    <x v="60"/>
    <x v="21"/>
    <s v="Leyton Orient"/>
    <m/>
    <m/>
    <m/>
    <m/>
    <m/>
    <m/>
    <n v="1"/>
    <s v="Away"/>
    <m/>
    <m/>
    <m/>
    <m/>
    <s v=""/>
    <s v="Stockport County-"/>
    <s v=""/>
    <s v="Stockport County-"/>
  </r>
  <r>
    <s v="L1_0536"/>
    <x v="60"/>
    <x v="16"/>
    <s v="Mansfield Town"/>
    <m/>
    <m/>
    <m/>
    <m/>
    <m/>
    <m/>
    <n v="1"/>
    <s v="Away"/>
    <m/>
    <m/>
    <m/>
    <m/>
    <s v=""/>
    <s v="Leicester City-"/>
    <s v=""/>
    <s v="Leicester City-"/>
  </r>
  <r>
    <s v="L1_0537"/>
    <x v="60"/>
    <x v="18"/>
    <s v="Notts County"/>
    <m/>
    <m/>
    <m/>
    <m/>
    <m/>
    <m/>
    <n v="1"/>
    <s v="Away"/>
    <m/>
    <m/>
    <m/>
    <m/>
    <s v=""/>
    <s v="Milton Keynes Dons-"/>
    <s v=""/>
    <s v="Milton Keynes Dons-"/>
  </r>
  <r>
    <s v="L1_0538"/>
    <x v="60"/>
    <x v="19"/>
    <s v="Oxford United"/>
    <m/>
    <m/>
    <m/>
    <m/>
    <m/>
    <m/>
    <n v="1"/>
    <s v="Away"/>
    <m/>
    <m/>
    <m/>
    <m/>
    <s v=""/>
    <s v="Peterborough United-"/>
    <s v=""/>
    <s v="Peterborough United-"/>
  </r>
  <r>
    <s v="L1_0539"/>
    <x v="60"/>
    <x v="22"/>
    <s v="Plymouth Argyle"/>
    <m/>
    <m/>
    <m/>
    <m/>
    <m/>
    <m/>
    <n v="1"/>
    <s v="Away"/>
    <m/>
    <m/>
    <m/>
    <m/>
    <s v=""/>
    <s v="Wigan Athletic-"/>
    <s v=""/>
    <s v="Wigan Athletic-"/>
  </r>
  <r>
    <s v="L1_0540"/>
    <x v="60"/>
    <x v="12"/>
    <s v="Reading"/>
    <m/>
    <m/>
    <m/>
    <m/>
    <m/>
    <m/>
    <n v="1"/>
    <s v="Away"/>
    <m/>
    <m/>
    <m/>
    <m/>
    <s v=""/>
    <s v="Sheffield Wednesday-"/>
    <s v=""/>
    <s v="Sheffield Wednesday-"/>
  </r>
  <r>
    <s v="L1_0541"/>
    <x v="61"/>
    <x v="8"/>
    <s v="AFC Wimbledon"/>
    <m/>
    <m/>
    <m/>
    <m/>
    <m/>
    <m/>
    <n v="1"/>
    <s v="Away"/>
    <m/>
    <m/>
    <m/>
    <m/>
    <s v=""/>
    <s v="Notts County-"/>
    <s v=""/>
    <s v="Notts County-"/>
  </r>
  <r>
    <s v="L1_0542"/>
    <x v="61"/>
    <x v="10"/>
    <s v="Bromley"/>
    <m/>
    <m/>
    <m/>
    <m/>
    <m/>
    <m/>
    <n v="1"/>
    <s v="Away"/>
    <m/>
    <m/>
    <m/>
    <m/>
    <s v=""/>
    <s v="Plymouth Argyle-"/>
    <s v=""/>
    <s v="Plymouth Argyle-"/>
  </r>
  <r>
    <s v="L1_0543"/>
    <x v="61"/>
    <x v="11"/>
    <s v="Doncaster Rovers"/>
    <m/>
    <m/>
    <m/>
    <m/>
    <m/>
    <m/>
    <n v="1"/>
    <s v="Away"/>
    <m/>
    <m/>
    <m/>
    <m/>
    <s v=""/>
    <s v="Reading-"/>
    <s v=""/>
    <s v="Reading-"/>
  </r>
  <r>
    <s v="L1_0544"/>
    <x v="61"/>
    <x v="4"/>
    <s v="Leicester City"/>
    <m/>
    <m/>
    <m/>
    <m/>
    <m/>
    <m/>
    <n v="1"/>
    <s v="Away"/>
    <m/>
    <m/>
    <m/>
    <m/>
    <s v=""/>
    <s v="Cambridge United-"/>
    <s v=""/>
    <s v="Cambridge United-"/>
  </r>
  <r>
    <s v="L1_0545"/>
    <x v="61"/>
    <x v="1"/>
    <s v="Luton Town"/>
    <m/>
    <m/>
    <m/>
    <m/>
    <m/>
    <m/>
    <n v="1"/>
    <s v="Away"/>
    <m/>
    <m/>
    <m/>
    <m/>
    <s v=""/>
    <s v="Blackpool-"/>
    <s v=""/>
    <s v="Blackpool-"/>
  </r>
  <r>
    <s v="L1_0546"/>
    <x v="61"/>
    <x v="2"/>
    <s v="Milton Keynes Dons"/>
    <m/>
    <m/>
    <m/>
    <m/>
    <m/>
    <m/>
    <n v="1"/>
    <s v="Away"/>
    <m/>
    <m/>
    <m/>
    <m/>
    <s v=""/>
    <s v="Bradford City-"/>
    <s v=""/>
    <s v="Bradford City-"/>
  </r>
  <r>
    <s v="L1_0547"/>
    <x v="61"/>
    <x v="6"/>
    <s v="Peterborough United"/>
    <m/>
    <m/>
    <m/>
    <m/>
    <m/>
    <m/>
    <n v="1"/>
    <s v="Away"/>
    <m/>
    <m/>
    <m/>
    <m/>
    <s v=""/>
    <s v="Leyton Orient-"/>
    <s v=""/>
    <s v="Leyton Orient-"/>
  </r>
  <r>
    <s v="L1_0548"/>
    <x v="61"/>
    <x v="9"/>
    <s v="Sheffield Wednesday"/>
    <m/>
    <m/>
    <m/>
    <m/>
    <m/>
    <m/>
    <n v="1"/>
    <s v="Away"/>
    <m/>
    <m/>
    <m/>
    <m/>
    <s v=""/>
    <s v="Oxford United-"/>
    <s v=""/>
    <s v="Oxford United-"/>
  </r>
  <r>
    <s v="L1_0549"/>
    <x v="61"/>
    <x v="5"/>
    <s v="Stevenage"/>
    <m/>
    <m/>
    <m/>
    <m/>
    <m/>
    <m/>
    <n v="1"/>
    <s v="Away"/>
    <m/>
    <m/>
    <m/>
    <m/>
    <s v=""/>
    <s v="Huddersfield Town-"/>
    <s v=""/>
    <s v="Huddersfield Town-"/>
  </r>
  <r>
    <s v="L1_0550"/>
    <x v="61"/>
    <x v="7"/>
    <s v="Stockport County"/>
    <m/>
    <m/>
    <m/>
    <m/>
    <m/>
    <m/>
    <n v="1"/>
    <s v="Away"/>
    <m/>
    <m/>
    <m/>
    <m/>
    <s v=""/>
    <s v="Mansfield Town-"/>
    <s v=""/>
    <s v="Mansfield Town-"/>
  </r>
  <r>
    <s v="L1_0551"/>
    <x v="61"/>
    <x v="3"/>
    <s v="Wigan Athletic"/>
    <m/>
    <m/>
    <m/>
    <m/>
    <m/>
    <m/>
    <n v="1"/>
    <s v="Away"/>
    <m/>
    <m/>
    <m/>
    <m/>
    <s v=""/>
    <s v="Burton Albion-"/>
    <s v=""/>
    <s v="Burton Albion-"/>
  </r>
  <r>
    <s v="L1_0552"/>
    <x v="61"/>
    <x v="0"/>
    <s v="Wycombe Wanderers"/>
    <m/>
    <m/>
    <m/>
    <m/>
    <m/>
    <m/>
    <n v="1"/>
    <s v="Away"/>
    <m/>
    <m/>
    <m/>
    <m/>
    <s v=""/>
    <s v="Barnsley-"/>
    <s v=""/>
    <s v="Barnsley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5">
  <r>
    <s v="L1_0001"/>
    <d v="2026-08-15T00:00:00"/>
    <x v="0"/>
    <s v="Bromley"/>
    <n v="1.32"/>
    <n v="1.42"/>
    <n v="0"/>
    <n v="1"/>
    <n v="2.74"/>
    <n v="1"/>
    <n v="1"/>
    <s v="Home"/>
    <n v="-9.9999999999999867E-2"/>
    <n v="-1"/>
    <n v="-1.32"/>
    <s v="Loss"/>
    <n v="6"/>
  </r>
  <r>
    <s v="L1_0002"/>
    <d v="2026-08-15T00:00:00"/>
    <x v="1"/>
    <s v="Wycombe Wanderers"/>
    <n v="2.37"/>
    <n v="1.29"/>
    <n v="1"/>
    <n v="1"/>
    <n v="3.66"/>
    <n v="2"/>
    <n v="1"/>
    <s v="Home"/>
    <n v="1.08"/>
    <n v="0"/>
    <n v="-1.37"/>
    <s v="Draw"/>
    <n v="6"/>
  </r>
  <r>
    <s v="L1_0003"/>
    <d v="2026-08-15T00:00:00"/>
    <x v="2"/>
    <s v="Peterborough United"/>
    <n v="1.97"/>
    <n v="1.1100000000000001"/>
    <n v="2"/>
    <n v="0"/>
    <n v="3.08"/>
    <n v="2"/>
    <n v="1"/>
    <s v="Home"/>
    <n v="0.85999999999999988"/>
    <n v="2"/>
    <n v="3.0000000000000027E-2"/>
    <s v="Win"/>
    <n v="6"/>
  </r>
  <r>
    <s v="L1_0004"/>
    <d v="2026-08-15T00:00:00"/>
    <x v="3"/>
    <s v="Stevenage"/>
    <n v="0.94"/>
    <n v="0.53"/>
    <n v="1"/>
    <n v="1"/>
    <n v="1.47"/>
    <n v="2"/>
    <n v="1"/>
    <s v="Home"/>
    <n v="0.40999999999999992"/>
    <n v="0"/>
    <n v="6.0000000000000053E-2"/>
    <s v="Draw"/>
    <n v="6"/>
  </r>
  <r>
    <s v="L1_0005"/>
    <d v="2026-08-15T00:00:00"/>
    <x v="4"/>
    <s v="Wigan Athletic"/>
    <n v="1.74"/>
    <n v="2.2000000000000002"/>
    <n v="3"/>
    <n v="2"/>
    <n v="3.9400000000000004"/>
    <n v="5"/>
    <n v="1"/>
    <s v="Home"/>
    <n v="-0.46000000000000019"/>
    <n v="1"/>
    <n v="1.26"/>
    <s v="Win"/>
    <n v="6"/>
  </r>
  <r>
    <s v="L1_0006"/>
    <d v="2026-08-15T00:00:00"/>
    <x v="5"/>
    <s v="AFC Wimbledon"/>
    <n v="1.24"/>
    <n v="0.38"/>
    <n v="3"/>
    <n v="0"/>
    <n v="1.62"/>
    <n v="3"/>
    <n v="1"/>
    <s v="Home"/>
    <n v="0.86"/>
    <n v="3"/>
    <n v="1.76"/>
    <s v="Win"/>
    <n v="6"/>
  </r>
  <r>
    <s v="L1_0007"/>
    <d v="2026-08-15T00:00:00"/>
    <x v="6"/>
    <s v="Sheffield Wednesday"/>
    <n v="1.38"/>
    <n v="2.84"/>
    <n v="1"/>
    <n v="2"/>
    <n v="4.22"/>
    <n v="3"/>
    <n v="1"/>
    <s v="Home"/>
    <n v="-1.46"/>
    <n v="-1"/>
    <n v="-0.37999999999999989"/>
    <s v="Loss"/>
    <n v="6"/>
  </r>
  <r>
    <s v="L1_0008"/>
    <d v="2026-08-15T00:00:00"/>
    <x v="7"/>
    <s v="Doncaster Rovers"/>
    <n v="1.44"/>
    <n v="1.06"/>
    <n v="2"/>
    <n v="1"/>
    <n v="2.5"/>
    <n v="3"/>
    <n v="1"/>
    <s v="Home"/>
    <n v="0.37999999999999989"/>
    <n v="1"/>
    <n v="0.56000000000000005"/>
    <s v="Win"/>
    <n v="6"/>
  </r>
  <r>
    <s v="L1_0009"/>
    <d v="2026-08-15T00:00:00"/>
    <x v="8"/>
    <s v="Leicester City"/>
    <n v="2.1800000000000002"/>
    <n v="0.74"/>
    <n v="1"/>
    <n v="1"/>
    <n v="2.92"/>
    <n v="2"/>
    <n v="1"/>
    <s v="Home"/>
    <n v="1.4400000000000002"/>
    <n v="0"/>
    <n v="-1.1800000000000002"/>
    <s v="Draw"/>
    <n v="6"/>
  </r>
  <r>
    <s v="L1_0010"/>
    <d v="2026-08-15T00:00:00"/>
    <x v="9"/>
    <s v="Milton Keynes Dons"/>
    <n v="1.83"/>
    <n v="2.2000000000000002"/>
    <n v="2"/>
    <n v="2"/>
    <n v="4.03"/>
    <n v="4"/>
    <n v="1"/>
    <s v="Home"/>
    <n v="-0.37000000000000011"/>
    <n v="0"/>
    <n v="0.16999999999999993"/>
    <s v="Draw"/>
    <n v="5"/>
  </r>
  <r>
    <s v="L1_0011"/>
    <d v="2026-08-15T00:00:00"/>
    <x v="10"/>
    <s v="Stockport County"/>
    <n v="0.92"/>
    <n v="1.81"/>
    <n v="1"/>
    <n v="3"/>
    <n v="2.73"/>
    <n v="4"/>
    <n v="1"/>
    <s v="Home"/>
    <n v="-0.89"/>
    <n v="-2"/>
    <n v="7.999999999999996E-2"/>
    <s v="Loss"/>
    <n v="6"/>
  </r>
  <r>
    <s v="L1_0012"/>
    <d v="2026-08-15T00:00:00"/>
    <x v="11"/>
    <s v="Luton Town"/>
    <n v="1.61"/>
    <n v="1.65"/>
    <n v="3"/>
    <n v="4"/>
    <n v="3.26"/>
    <n v="7"/>
    <n v="1"/>
    <s v="Home"/>
    <n v="-3.9999999999999813E-2"/>
    <n v="-1"/>
    <n v="1.39"/>
    <s v="Loss"/>
    <n v="5"/>
  </r>
  <r>
    <s v="L1_0013"/>
    <d v="2026-08-20T00:00:00"/>
    <x v="12"/>
    <s v="Bradford City"/>
    <n v="1.49"/>
    <n v="0.59"/>
    <n v="0"/>
    <n v="1"/>
    <n v="2.08"/>
    <n v="1"/>
    <n v="1"/>
    <s v="Home"/>
    <n v="0.9"/>
    <n v="-1"/>
    <n v="-1.49"/>
    <s v="Loss"/>
    <n v="5"/>
  </r>
  <r>
    <s v="L1_0014"/>
    <d v="2026-08-22T00:00:00"/>
    <x v="13"/>
    <s v="Reading"/>
    <n v="0.37"/>
    <n v="1.28"/>
    <n v="0"/>
    <n v="0"/>
    <n v="1.65"/>
    <n v="0"/>
    <n v="1"/>
    <s v="Home"/>
    <n v="-0.91"/>
    <n v="0"/>
    <n v="-0.37"/>
    <s v="Draw"/>
    <n v="5"/>
  </r>
  <r>
    <s v="L1_0015"/>
    <d v="2026-08-22T00:00:00"/>
    <x v="14"/>
    <s v="Cambridge United"/>
    <n v="0.57999999999999996"/>
    <n v="0.59"/>
    <n v="1"/>
    <n v="1"/>
    <n v="1.17"/>
    <n v="2"/>
    <n v="1"/>
    <s v="Home"/>
    <n v="-1.0000000000000009E-2"/>
    <n v="0"/>
    <n v="0.42000000000000004"/>
    <s v="Draw"/>
    <n v="5"/>
  </r>
  <r>
    <s v="L1_0016"/>
    <d v="2026-08-22T00:00:00"/>
    <x v="15"/>
    <s v="Barnsley"/>
    <n v="1.82"/>
    <n v="0.45"/>
    <n v="0"/>
    <n v="0"/>
    <n v="2.27"/>
    <n v="0"/>
    <n v="1"/>
    <s v="Home"/>
    <n v="1.37"/>
    <n v="0"/>
    <n v="-1.82"/>
    <s v="Draw"/>
    <n v="5"/>
  </r>
  <r>
    <s v="L1_0017"/>
    <d v="2026-08-22T00:00:00"/>
    <x v="16"/>
    <s v="Burton Albion"/>
    <n v="1.31"/>
    <n v="0.81"/>
    <n v="1"/>
    <n v="2"/>
    <n v="2.12"/>
    <n v="3"/>
    <n v="1"/>
    <s v="Home"/>
    <n v="0.5"/>
    <n v="-1"/>
    <n v="-0.31000000000000005"/>
    <s v="Loss"/>
    <n v="5"/>
  </r>
  <r>
    <s v="L1_0018"/>
    <d v="2026-08-22T00:00:00"/>
    <x v="17"/>
    <s v="Notts County"/>
    <n v="1.85"/>
    <n v="0.76"/>
    <n v="2"/>
    <n v="2"/>
    <n v="2.6100000000000003"/>
    <n v="4"/>
    <n v="1"/>
    <s v="Home"/>
    <n v="1.0900000000000001"/>
    <n v="0"/>
    <n v="0.14999999999999991"/>
    <s v="Draw"/>
    <n v="5"/>
  </r>
  <r>
    <s v="L1_0019"/>
    <d v="2026-08-22T00:00:00"/>
    <x v="18"/>
    <s v="Huddersfield Town"/>
    <n v="1.54"/>
    <n v="2.2799999999999998"/>
    <n v="1"/>
    <n v="1"/>
    <n v="3.82"/>
    <n v="2"/>
    <n v="1"/>
    <s v="Home"/>
    <n v="-0.73999999999999977"/>
    <n v="0"/>
    <n v="-0.54"/>
    <s v="Draw"/>
    <n v="5"/>
  </r>
  <r>
    <s v="L1_0020"/>
    <d v="2026-08-22T00:00:00"/>
    <x v="19"/>
    <s v="Mansfield Town"/>
    <n v="1.39"/>
    <n v="1.25"/>
    <n v="2"/>
    <n v="1"/>
    <n v="2.6399999999999997"/>
    <n v="3"/>
    <n v="1"/>
    <s v="Home"/>
    <n v="0.1399999999999999"/>
    <n v="1"/>
    <n v="0.6100000000000001"/>
    <s v="Win"/>
    <n v="5"/>
  </r>
  <r>
    <s v="L1_0021"/>
    <d v="2026-08-22T00:00:00"/>
    <x v="20"/>
    <s v="Oxford United"/>
    <n v="1.17"/>
    <n v="1.36"/>
    <n v="1"/>
    <n v="2"/>
    <n v="2.5300000000000002"/>
    <n v="3"/>
    <n v="1"/>
    <s v="Home"/>
    <n v="-0.19000000000000017"/>
    <n v="-1"/>
    <n v="-0.16999999999999993"/>
    <s v="Loss"/>
    <n v="5"/>
  </r>
  <r>
    <s v="L1_0022"/>
    <d v="2026-08-22T00:00:00"/>
    <x v="21"/>
    <s v="Blackpool"/>
    <n v="3.54"/>
    <n v="1.79"/>
    <n v="1"/>
    <n v="2"/>
    <n v="5.33"/>
    <n v="3"/>
    <n v="1"/>
    <s v="Home"/>
    <n v="1.75"/>
    <n v="-1"/>
    <n v="-2.54"/>
    <s v="Loss"/>
    <n v="5"/>
  </r>
  <r>
    <s v="L1_0023"/>
    <d v="2026-08-22T00:00:00"/>
    <x v="22"/>
    <s v="Leyton Orient"/>
    <n v="1.6"/>
    <n v="1.25"/>
    <n v="0"/>
    <n v="2"/>
    <n v="2.85"/>
    <n v="2"/>
    <n v="1"/>
    <s v="Home"/>
    <n v="0.35000000000000009"/>
    <n v="-2"/>
    <n v="-1.6"/>
    <s v="Loss"/>
    <n v="5"/>
  </r>
  <r>
    <s v="L1_0024"/>
    <d v="2026-08-22T00:00:00"/>
    <x v="23"/>
    <s v="Plymouth Argyle"/>
    <n v="1.89"/>
    <n v="0.76"/>
    <n v="1"/>
    <n v="1"/>
    <n v="2.65"/>
    <n v="2"/>
    <n v="1"/>
    <s v="Home"/>
    <n v="1.1299999999999999"/>
    <n v="0"/>
    <n v="-0.8899999999999999"/>
    <s v="Draw"/>
    <n v="5"/>
  </r>
  <r>
    <s v="L1_0025"/>
    <d v="2026-08-29T00:00:00"/>
    <x v="1"/>
    <s v="Peterborough United"/>
    <n v="2.73"/>
    <n v="1.72"/>
    <n v="4"/>
    <n v="0"/>
    <n v="4.45"/>
    <n v="4"/>
    <n v="1"/>
    <s v="Home"/>
    <n v="1.01"/>
    <n v="4"/>
    <n v="1.27"/>
    <s v="Win"/>
    <n v="4"/>
  </r>
  <r>
    <s v="L1_0026"/>
    <d v="2026-08-29T00:00:00"/>
    <x v="4"/>
    <s v="Huddersfield Town"/>
    <n v="1.22"/>
    <n v="1.1299999999999999"/>
    <n v="1"/>
    <n v="2"/>
    <n v="2.3499999999999996"/>
    <n v="3"/>
    <n v="1"/>
    <s v="Home"/>
    <n v="9.000000000000008E-2"/>
    <n v="-1"/>
    <n v="-0.21999999999999997"/>
    <s v="Loss"/>
    <n v="4"/>
  </r>
  <r>
    <s v="L1_0027"/>
    <d v="2026-08-29T00:00:00"/>
    <x v="6"/>
    <s v="Barnsley"/>
    <n v="0.73"/>
    <n v="1.99"/>
    <n v="1"/>
    <n v="3"/>
    <n v="2.7199999999999998"/>
    <n v="4"/>
    <n v="1"/>
    <s v="Home"/>
    <n v="-1.26"/>
    <n v="-2"/>
    <n v="0.27"/>
    <s v="Loss"/>
    <n v="4"/>
  </r>
  <r>
    <s v="L1_0028"/>
    <d v="2026-08-29T00:00:00"/>
    <x v="18"/>
    <s v="Leicester City"/>
    <n v="0.56999999999999995"/>
    <n v="1.53"/>
    <n v="0"/>
    <n v="0"/>
    <n v="2.1"/>
    <n v="0"/>
    <n v="1"/>
    <s v="Home"/>
    <n v="-0.96000000000000008"/>
    <n v="0"/>
    <n v="-0.56999999999999995"/>
    <s v="Draw"/>
    <n v="4"/>
  </r>
  <r>
    <s v="L1_0029"/>
    <d v="2026-08-29T00:00:00"/>
    <x v="8"/>
    <s v="Burton Albion"/>
    <n v="2.29"/>
    <n v="0.11"/>
    <n v="2"/>
    <n v="1"/>
    <n v="2.4"/>
    <n v="3"/>
    <n v="1"/>
    <s v="Home"/>
    <n v="2.1800000000000002"/>
    <n v="1"/>
    <n v="-0.29000000000000004"/>
    <s v="Win"/>
    <n v="4"/>
  </r>
  <r>
    <s v="L1_0030"/>
    <d v="2026-08-29T00:00:00"/>
    <x v="10"/>
    <s v="Bradford City"/>
    <n v="1.1599999999999999"/>
    <n v="0.9"/>
    <n v="2"/>
    <n v="0"/>
    <n v="2.06"/>
    <n v="2"/>
    <n v="1"/>
    <s v="Home"/>
    <n v="0.2599999999999999"/>
    <n v="2"/>
    <n v="0.84000000000000008"/>
    <s v="Win"/>
    <n v="4"/>
  </r>
  <r>
    <s v="L1_0031"/>
    <d v="2026-08-29T00:00:00"/>
    <x v="12"/>
    <s v="Bromley"/>
    <n v="4.5199999999999996"/>
    <n v="1.5"/>
    <n v="7"/>
    <n v="2"/>
    <n v="6.02"/>
    <n v="9"/>
    <n v="1"/>
    <s v="Home"/>
    <n v="3.0199999999999996"/>
    <n v="5"/>
    <n v="2.4800000000000004"/>
    <s v="Win"/>
    <n v="4"/>
  </r>
  <r>
    <s v="L1_0032"/>
    <d v="2026-08-29T00:00:00"/>
    <x v="20"/>
    <s v="Doncaster Rovers"/>
    <n v="0.47"/>
    <n v="0.65"/>
    <n v="2"/>
    <n v="2"/>
    <n v="1.1200000000000001"/>
    <n v="4"/>
    <n v="1"/>
    <s v="Home"/>
    <n v="-0.18000000000000005"/>
    <n v="0"/>
    <n v="1.53"/>
    <s v="Draw"/>
    <n v="4"/>
  </r>
  <r>
    <s v="L1_0033"/>
    <d v="2026-08-29T00:00:00"/>
    <x v="21"/>
    <s v="Wycombe Wanderers"/>
    <n v="1.34"/>
    <n v="0.94"/>
    <n v="5"/>
    <n v="1"/>
    <n v="2.2800000000000002"/>
    <n v="6"/>
    <n v="1"/>
    <s v="Home"/>
    <n v="0.40000000000000013"/>
    <n v="4"/>
    <n v="3.66"/>
    <s v="Win"/>
    <n v="4"/>
  </r>
  <r>
    <s v="L1_0034"/>
    <d v="2026-08-30T00:00:00"/>
    <x v="13"/>
    <s v="Wigan Athletic"/>
    <n v="0.72"/>
    <n v="2.99"/>
    <n v="1"/>
    <n v="0"/>
    <n v="3.71"/>
    <n v="1"/>
    <n v="1"/>
    <s v="Home"/>
    <n v="-2.2700000000000005"/>
    <n v="1"/>
    <n v="0.28000000000000003"/>
    <s v="Win"/>
    <n v="4"/>
  </r>
  <r>
    <s v="L1_0035"/>
    <d v="2026-08-30T00:00:00"/>
    <x v="7"/>
    <s v="Luton Town"/>
    <n v="1.37"/>
    <n v="1.35"/>
    <n v="5"/>
    <n v="2"/>
    <n v="2.72"/>
    <n v="7"/>
    <n v="1"/>
    <s v="Home"/>
    <n v="2.0000000000000018E-2"/>
    <n v="3"/>
    <n v="3.63"/>
    <s v="Win"/>
    <n v="4"/>
  </r>
  <r>
    <s v="L1_0036"/>
    <d v="2026-09-01T00:00:00"/>
    <x v="2"/>
    <s v="Cambridge United"/>
    <n v="2.1800000000000002"/>
    <n v="0.44"/>
    <n v="1"/>
    <n v="2"/>
    <n v="2.62"/>
    <n v="3"/>
    <n v="1"/>
    <s v="Home"/>
    <n v="1.7400000000000002"/>
    <n v="-1"/>
    <n v="-1.1800000000000002"/>
    <s v="Loss"/>
    <n v="3"/>
  </r>
  <r>
    <s v="L1_0037"/>
    <d v="2026-09-01T00:00:00"/>
    <x v="14"/>
    <s v="Leyton Orient"/>
    <n v="0.63"/>
    <n v="1.94"/>
    <n v="0"/>
    <n v="5"/>
    <n v="2.57"/>
    <n v="5"/>
    <n v="1"/>
    <s v="Home"/>
    <n v="-1.31"/>
    <n v="-5"/>
    <n v="-0.63"/>
    <s v="Loss"/>
    <n v="3"/>
  </r>
  <r>
    <s v="L1_0038"/>
    <d v="2026-09-01T00:00:00"/>
    <x v="15"/>
    <s v="Notts County"/>
    <n v="1.1200000000000001"/>
    <n v="0.87"/>
    <n v="1"/>
    <n v="1"/>
    <n v="1.9900000000000002"/>
    <n v="2"/>
    <n v="1"/>
    <s v="Home"/>
    <n v="0.25000000000000011"/>
    <n v="0"/>
    <n v="-0.12000000000000011"/>
    <s v="Draw"/>
    <n v="3"/>
  </r>
  <r>
    <s v="L1_0039"/>
    <d v="2026-09-01T00:00:00"/>
    <x v="5"/>
    <s v="Oxford United"/>
    <n v="3.62"/>
    <n v="1.01"/>
    <n v="3"/>
    <n v="1"/>
    <n v="4.63"/>
    <n v="4"/>
    <n v="1"/>
    <s v="Home"/>
    <n v="2.6100000000000003"/>
    <n v="2"/>
    <n v="-0.62000000000000011"/>
    <s v="Win"/>
    <n v="3"/>
  </r>
  <r>
    <s v="L1_0040"/>
    <d v="2026-09-01T00:00:00"/>
    <x v="16"/>
    <s v="Plymouth Argyle"/>
    <n v="1.76"/>
    <n v="1.1299999999999999"/>
    <n v="2"/>
    <n v="0"/>
    <n v="2.8899999999999997"/>
    <n v="2"/>
    <n v="1"/>
    <s v="Home"/>
    <n v="0.63000000000000012"/>
    <n v="2"/>
    <n v="0.24"/>
    <s v="Win"/>
    <n v="3"/>
  </r>
  <r>
    <s v="L1_0041"/>
    <d v="2026-09-01T00:00:00"/>
    <x v="19"/>
    <s v="Stevenage"/>
    <n v="0.91"/>
    <n v="0.47"/>
    <n v="0"/>
    <n v="0"/>
    <n v="1.38"/>
    <n v="0"/>
    <n v="1"/>
    <s v="Home"/>
    <n v="0.44000000000000006"/>
    <n v="0"/>
    <n v="-0.91"/>
    <s v="Draw"/>
    <n v="3"/>
  </r>
  <r>
    <s v="L1_0042"/>
    <d v="2026-09-01T00:00:00"/>
    <x v="23"/>
    <s v="Sheffield Wednesday"/>
    <n v="1.02"/>
    <n v="2.56"/>
    <n v="1"/>
    <n v="2"/>
    <n v="3.58"/>
    <n v="3"/>
    <n v="1"/>
    <s v="Home"/>
    <n v="-1.54"/>
    <n v="-1"/>
    <n v="-2.0000000000000018E-2"/>
    <s v="Loss"/>
    <n v="3"/>
  </r>
  <r>
    <s v="L1_0043"/>
    <d v="2026-09-02T00:00:00"/>
    <x v="0"/>
    <s v="Blackpool"/>
    <n v="1.97"/>
    <n v="2.4"/>
    <n v="2"/>
    <n v="1"/>
    <n v="4.37"/>
    <n v="3"/>
    <n v="1"/>
    <s v="Home"/>
    <n v="-0.42999999999999994"/>
    <n v="1"/>
    <n v="3.0000000000000027E-2"/>
    <s v="Win"/>
    <n v="3"/>
  </r>
  <r>
    <s v="L1_0044"/>
    <d v="2026-09-02T00:00:00"/>
    <x v="3"/>
    <s v="AFC Wimbledon"/>
    <n v="0.93"/>
    <n v="1.43"/>
    <n v="4"/>
    <n v="1"/>
    <n v="2.36"/>
    <n v="5"/>
    <n v="1"/>
    <s v="Home"/>
    <n v="-0.49999999999999989"/>
    <n v="3"/>
    <n v="3.07"/>
    <s v="Win"/>
    <n v="3"/>
  </r>
  <r>
    <s v="L1_0045"/>
    <d v="2026-09-02T00:00:00"/>
    <x v="17"/>
    <s v="Stockport County"/>
    <n v="1.4"/>
    <n v="0.84"/>
    <n v="2"/>
    <n v="0"/>
    <n v="2.2399999999999998"/>
    <n v="2"/>
    <n v="1"/>
    <s v="Home"/>
    <n v="0.55999999999999994"/>
    <n v="2"/>
    <n v="0.60000000000000009"/>
    <s v="Win"/>
    <n v="3"/>
  </r>
  <r>
    <s v="L1_0046"/>
    <d v="2026-09-02T00:00:00"/>
    <x v="11"/>
    <s v="Mansfield Town"/>
    <n v="2.35"/>
    <n v="2.8"/>
    <n v="5"/>
    <n v="0"/>
    <n v="5.15"/>
    <n v="5"/>
    <n v="1"/>
    <s v="Home"/>
    <n v="-0.44999999999999973"/>
    <n v="5"/>
    <n v="2.65"/>
    <s v="Win"/>
    <n v="3"/>
  </r>
  <r>
    <s v="L1_0047"/>
    <d v="2026-09-02T00:00:00"/>
    <x v="22"/>
    <s v="Milton Keynes Dons"/>
    <n v="2.68"/>
    <n v="1.37"/>
    <n v="3"/>
    <n v="1"/>
    <n v="4.0500000000000007"/>
    <n v="4"/>
    <n v="1"/>
    <s v="Home"/>
    <n v="1.31"/>
    <n v="2"/>
    <n v="0.31999999999999984"/>
    <s v="Win"/>
    <n v="3"/>
  </r>
  <r>
    <s v="L1_0048"/>
    <d v="2026-09-05T00:00:00"/>
    <x v="0"/>
    <s v="Stevenage"/>
    <n v="1.83"/>
    <n v="1.93"/>
    <n v="1"/>
    <n v="5"/>
    <n v="3.76"/>
    <n v="6"/>
    <n v="1"/>
    <s v="Home"/>
    <n v="-9.9999999999999867E-2"/>
    <n v="-4"/>
    <n v="-0.83000000000000007"/>
    <s v="Loss"/>
    <n v="2"/>
  </r>
  <r>
    <s v="L1_0049"/>
    <d v="2026-09-05T00:00:00"/>
    <x v="2"/>
    <s v="Mansfield Town"/>
    <n v="1.03"/>
    <n v="0.48"/>
    <n v="1"/>
    <n v="0"/>
    <n v="1.51"/>
    <n v="1"/>
    <n v="1"/>
    <s v="Home"/>
    <n v="0.55000000000000004"/>
    <n v="1"/>
    <n v="-3.0000000000000027E-2"/>
    <s v="Win"/>
    <n v="2"/>
  </r>
  <r>
    <s v="L1_0050"/>
    <d v="2026-09-05T00:00:00"/>
    <x v="3"/>
    <s v="Cambridge United"/>
    <n v="2.31"/>
    <n v="0.9"/>
    <n v="2"/>
    <n v="2"/>
    <n v="3.21"/>
    <n v="4"/>
    <n v="1"/>
    <s v="Home"/>
    <n v="1.4100000000000001"/>
    <n v="0"/>
    <n v="-0.31000000000000005"/>
    <s v="Draw"/>
    <n v="2"/>
  </r>
  <r>
    <s v="L1_0051"/>
    <d v="2026-09-05T00:00:00"/>
    <x v="15"/>
    <s v="Plymouth Argyle"/>
    <n v="2.33"/>
    <n v="2.65"/>
    <n v="2"/>
    <n v="3"/>
    <n v="4.9800000000000004"/>
    <n v="5"/>
    <n v="1"/>
    <s v="Home"/>
    <n v="-0.31999999999999984"/>
    <n v="-1"/>
    <n v="-0.33000000000000007"/>
    <s v="Loss"/>
    <n v="2"/>
  </r>
  <r>
    <s v="L1_0052"/>
    <d v="2026-09-05T00:00:00"/>
    <x v="5"/>
    <s v="Notts County"/>
    <n v="1.41"/>
    <n v="1.24"/>
    <n v="1"/>
    <n v="1"/>
    <n v="2.65"/>
    <n v="2"/>
    <n v="1"/>
    <s v="Home"/>
    <n v="0.16999999999999993"/>
    <n v="0"/>
    <n v="-0.40999999999999992"/>
    <s v="Draw"/>
    <n v="2"/>
  </r>
  <r>
    <s v="L1_0053"/>
    <d v="2026-09-05T00:00:00"/>
    <x v="16"/>
    <s v="Oxford United"/>
    <n v="1.03"/>
    <n v="2.31"/>
    <n v="0"/>
    <n v="4"/>
    <n v="3.34"/>
    <n v="4"/>
    <n v="1"/>
    <s v="Home"/>
    <n v="-1.28"/>
    <n v="-4"/>
    <n v="-1.03"/>
    <s v="Loss"/>
    <n v="2"/>
  </r>
  <r>
    <s v="L1_0054"/>
    <d v="2026-09-05T00:00:00"/>
    <x v="17"/>
    <s v="Leyton Orient"/>
    <n v="2.21"/>
    <n v="0.56000000000000005"/>
    <n v="1"/>
    <n v="1"/>
    <n v="2.77"/>
    <n v="2"/>
    <n v="1"/>
    <s v="Home"/>
    <n v="1.65"/>
    <n v="0"/>
    <n v="-1.21"/>
    <s v="Draw"/>
    <n v="2"/>
  </r>
  <r>
    <s v="L1_0055"/>
    <d v="2026-09-05T00:00:00"/>
    <x v="19"/>
    <s v="Sheffield Wednesday"/>
    <n v="1.97"/>
    <n v="1.36"/>
    <n v="1"/>
    <n v="2"/>
    <n v="3.33"/>
    <n v="3"/>
    <n v="1"/>
    <s v="Home"/>
    <n v="0.60999999999999988"/>
    <n v="-1"/>
    <n v="-0.97"/>
    <s v="Loss"/>
    <n v="2"/>
  </r>
  <r>
    <s v="L1_0056"/>
    <d v="2026-09-05T00:00:00"/>
    <x v="11"/>
    <s v="Blackpool"/>
    <n v="3.5"/>
    <n v="0.51"/>
    <n v="3"/>
    <n v="1"/>
    <n v="4.01"/>
    <n v="4"/>
    <n v="1"/>
    <s v="Home"/>
    <n v="2.99"/>
    <n v="2"/>
    <n v="-0.5"/>
    <s v="Win"/>
    <n v="2"/>
  </r>
  <r>
    <s v="L1_0057"/>
    <d v="2026-09-05T00:00:00"/>
    <x v="22"/>
    <s v="Stockport County"/>
    <n v="0.73"/>
    <n v="2.15"/>
    <n v="0"/>
    <n v="4"/>
    <n v="2.88"/>
    <n v="4"/>
    <n v="1"/>
    <s v="Home"/>
    <n v="-1.42"/>
    <n v="-4"/>
    <n v="-0.73"/>
    <s v="Loss"/>
    <n v="2"/>
  </r>
  <r>
    <s v="L1_0058"/>
    <d v="2026-09-05T00:00:00"/>
    <x v="23"/>
    <s v="Milton Keynes Dons"/>
    <n v="0.89"/>
    <n v="1.65"/>
    <n v="3"/>
    <n v="3"/>
    <n v="2.54"/>
    <n v="6"/>
    <n v="1"/>
    <s v="Home"/>
    <n v="-0.7599999999999999"/>
    <n v="0"/>
    <n v="2.11"/>
    <s v="Draw"/>
    <n v="2"/>
  </r>
  <r>
    <s v="L1_0059"/>
    <d v="2026-09-07T00:00:00"/>
    <x v="14"/>
    <s v="AFC Wimbledon"/>
    <n v="0.55000000000000004"/>
    <n v="1.22"/>
    <n v="0"/>
    <n v="2"/>
    <n v="1.77"/>
    <n v="2"/>
    <n v="1"/>
    <s v="Home"/>
    <n v="-0.66999999999999993"/>
    <n v="-2"/>
    <n v="-0.55000000000000004"/>
    <s v="Loss"/>
    <n v="2"/>
  </r>
  <r>
    <s v="L1_0060"/>
    <d v="2026-09-08T00:00:00"/>
    <x v="9"/>
    <s v="Reading"/>
    <m/>
    <m/>
    <m/>
    <m/>
    <m/>
    <m/>
    <n v="1"/>
    <s v="Home"/>
    <m/>
    <m/>
    <m/>
    <m/>
    <s v=""/>
  </r>
  <r>
    <s v="L1_0061"/>
    <d v="2026-09-10T00:00:00"/>
    <x v="20"/>
    <s v="Luton Town"/>
    <n v="1.31"/>
    <n v="0.89"/>
    <n v="2"/>
    <n v="1"/>
    <n v="2.2000000000000002"/>
    <n v="3"/>
    <n v="1"/>
    <s v="Home"/>
    <n v="0.42000000000000004"/>
    <n v="1"/>
    <n v="0.69"/>
    <s v="Win"/>
    <n v="1"/>
  </r>
  <r>
    <s v="L1_0062"/>
    <d v="2026-09-12T00:00:00"/>
    <x v="13"/>
    <s v="Doncaster Rovers"/>
    <n v="0.81"/>
    <n v="2.41"/>
    <n v="1"/>
    <n v="0"/>
    <n v="3.22"/>
    <n v="1"/>
    <n v="1"/>
    <s v="Home"/>
    <n v="-1.6"/>
    <n v="1"/>
    <n v="0.18999999999999995"/>
    <s v="Win"/>
    <n v="1"/>
  </r>
  <r>
    <s v="L1_0063"/>
    <d v="2026-09-12T00:00:00"/>
    <x v="1"/>
    <s v="Bromley"/>
    <n v="1.17"/>
    <n v="1.38"/>
    <n v="2"/>
    <n v="2"/>
    <n v="2.5499999999999998"/>
    <n v="4"/>
    <n v="1"/>
    <s v="Home"/>
    <n v="-0.20999999999999996"/>
    <n v="0"/>
    <n v="0.83000000000000007"/>
    <s v="Draw"/>
    <n v="1"/>
  </r>
  <r>
    <s v="L1_0064"/>
    <d v="2026-09-12T00:00:00"/>
    <x v="4"/>
    <s v="Reading"/>
    <n v="0.94"/>
    <n v="1.99"/>
    <n v="2"/>
    <n v="1"/>
    <n v="2.9299999999999997"/>
    <n v="3"/>
    <n v="1"/>
    <s v="Home"/>
    <n v="-1.05"/>
    <n v="1"/>
    <n v="1.06"/>
    <s v="Win"/>
    <n v="1"/>
  </r>
  <r>
    <s v="L1_0065"/>
    <d v="2026-09-12T00:00:00"/>
    <x v="6"/>
    <s v="Wycombe Wanderers"/>
    <n v="0.88"/>
    <n v="1.1599999999999999"/>
    <n v="2"/>
    <n v="3"/>
    <n v="2.04"/>
    <n v="5"/>
    <n v="1"/>
    <s v="Home"/>
    <n v="-0.27999999999999992"/>
    <n v="-1"/>
    <n v="1.1200000000000001"/>
    <s v="Loss"/>
    <n v="1"/>
  </r>
  <r>
    <s v="L1_0066"/>
    <d v="2026-09-12T00:00:00"/>
    <x v="7"/>
    <s v="Huddersfield Town"/>
    <n v="0.86"/>
    <n v="1.36"/>
    <n v="0"/>
    <n v="0"/>
    <n v="2.2200000000000002"/>
    <n v="0"/>
    <n v="1"/>
    <s v="Home"/>
    <n v="-0.50000000000000011"/>
    <n v="0"/>
    <n v="-0.86"/>
    <s v="Draw"/>
    <n v="1"/>
  </r>
  <r>
    <s v="L1_0067"/>
    <d v="2026-09-12T00:00:00"/>
    <x v="18"/>
    <s v="Peterborough United"/>
    <n v="1.24"/>
    <n v="1.21"/>
    <n v="1"/>
    <n v="1"/>
    <n v="2.4500000000000002"/>
    <n v="2"/>
    <n v="1"/>
    <s v="Home"/>
    <n v="3.0000000000000027E-2"/>
    <n v="0"/>
    <n v="-0.24"/>
    <s v="Draw"/>
    <n v="1"/>
  </r>
  <r>
    <s v="L1_0068"/>
    <d v="2026-09-12T00:00:00"/>
    <x v="8"/>
    <s v="Bradford City"/>
    <n v="0.49"/>
    <n v="0.5"/>
    <n v="0"/>
    <n v="1"/>
    <n v="0.99"/>
    <n v="1"/>
    <n v="1"/>
    <s v="Home"/>
    <n v="-1.0000000000000009E-2"/>
    <n v="-1"/>
    <n v="-0.49"/>
    <s v="Loss"/>
    <n v="1"/>
  </r>
  <r>
    <s v="L1_0069"/>
    <d v="2026-09-12T00:00:00"/>
    <x v="9"/>
    <s v="Burton Albion"/>
    <n v="1.21"/>
    <n v="0.47"/>
    <n v="3"/>
    <n v="0"/>
    <n v="1.68"/>
    <n v="3"/>
    <n v="1"/>
    <s v="Home"/>
    <n v="0.74"/>
    <n v="3"/>
    <n v="1.79"/>
    <s v="Win"/>
    <n v="1"/>
  </r>
  <r>
    <s v="L1_0070"/>
    <d v="2026-09-12T00:00:00"/>
    <x v="10"/>
    <s v="Barnsley"/>
    <n v="0.99"/>
    <n v="0.77"/>
    <n v="3"/>
    <n v="0"/>
    <n v="1.76"/>
    <n v="3"/>
    <n v="1"/>
    <s v="Home"/>
    <n v="0.21999999999999997"/>
    <n v="3"/>
    <n v="2.0099999999999998"/>
    <s v="Win"/>
    <n v="1"/>
  </r>
  <r>
    <s v="L1_0071"/>
    <d v="2026-09-12T00:00:00"/>
    <x v="12"/>
    <s v="Wigan Athletic"/>
    <n v="0.82"/>
    <n v="1.59"/>
    <n v="0"/>
    <n v="0"/>
    <n v="2.41"/>
    <n v="0"/>
    <n v="1"/>
    <s v="Home"/>
    <n v="-0.77000000000000013"/>
    <n v="0"/>
    <n v="-0.82"/>
    <s v="Draw"/>
    <n v="1"/>
  </r>
  <r>
    <s v="L1_0072"/>
    <d v="2026-09-12T00:00:00"/>
    <x v="21"/>
    <s v="Leicester City"/>
    <n v="2.29"/>
    <n v="1.21"/>
    <n v="3"/>
    <n v="4"/>
    <n v="3.5"/>
    <n v="7"/>
    <n v="1"/>
    <s v="Home"/>
    <n v="1.08"/>
    <n v="-1"/>
    <n v="0.71"/>
    <s v="Loss"/>
    <n v="1"/>
  </r>
  <r>
    <s v="L1_0073"/>
    <d v="2026-09-17T00:00:00"/>
    <x v="13"/>
    <s v="Milton Keynes Dons"/>
    <m/>
    <m/>
    <m/>
    <m/>
    <m/>
    <m/>
    <n v="1"/>
    <s v="Home"/>
    <m/>
    <m/>
    <m/>
    <m/>
    <s v=""/>
  </r>
  <r>
    <s v="L1_0074"/>
    <d v="2026-09-19T00:00:00"/>
    <x v="0"/>
    <s v="Leicester City"/>
    <m/>
    <m/>
    <m/>
    <m/>
    <m/>
    <m/>
    <n v="1"/>
    <s v="Home"/>
    <m/>
    <m/>
    <m/>
    <m/>
    <s v=""/>
  </r>
  <r>
    <s v="L1_0075"/>
    <d v="2026-09-19T00:00:00"/>
    <x v="1"/>
    <s v="Plymouth Argyle"/>
    <m/>
    <m/>
    <m/>
    <m/>
    <m/>
    <m/>
    <n v="1"/>
    <s v="Home"/>
    <m/>
    <m/>
    <m/>
    <m/>
    <s v=""/>
  </r>
  <r>
    <s v="L1_0076"/>
    <d v="2026-09-19T00:00:00"/>
    <x v="14"/>
    <s v="Huddersfield Town"/>
    <m/>
    <m/>
    <m/>
    <m/>
    <m/>
    <m/>
    <n v="1"/>
    <s v="Home"/>
    <m/>
    <m/>
    <m/>
    <m/>
    <s v=""/>
  </r>
  <r>
    <s v="L1_0077"/>
    <d v="2026-09-19T00:00:00"/>
    <x v="3"/>
    <s v="Mansfield Town"/>
    <m/>
    <m/>
    <m/>
    <m/>
    <m/>
    <m/>
    <n v="1"/>
    <s v="Home"/>
    <m/>
    <m/>
    <m/>
    <m/>
    <s v=""/>
  </r>
  <r>
    <s v="L1_0078"/>
    <d v="2026-09-19T00:00:00"/>
    <x v="6"/>
    <s v="Stevenage"/>
    <m/>
    <m/>
    <m/>
    <m/>
    <m/>
    <m/>
    <n v="1"/>
    <s v="Home"/>
    <m/>
    <m/>
    <m/>
    <m/>
    <s v=""/>
  </r>
  <r>
    <s v="L1_0079"/>
    <d v="2026-09-19T00:00:00"/>
    <x v="17"/>
    <s v="Bradford City"/>
    <m/>
    <m/>
    <m/>
    <m/>
    <m/>
    <m/>
    <n v="1"/>
    <s v="Home"/>
    <m/>
    <m/>
    <m/>
    <m/>
    <s v=""/>
  </r>
  <r>
    <s v="L1_0080"/>
    <d v="2026-09-19T00:00:00"/>
    <x v="9"/>
    <s v="Cambridge United"/>
    <m/>
    <m/>
    <m/>
    <m/>
    <m/>
    <m/>
    <n v="1"/>
    <s v="Home"/>
    <m/>
    <m/>
    <m/>
    <m/>
    <s v=""/>
  </r>
  <r>
    <s v="L1_0081"/>
    <d v="2026-09-19T00:00:00"/>
    <x v="19"/>
    <s v="Doncaster Rovers"/>
    <m/>
    <m/>
    <m/>
    <m/>
    <m/>
    <m/>
    <n v="1"/>
    <s v="Home"/>
    <m/>
    <m/>
    <m/>
    <m/>
    <s v=""/>
  </r>
  <r>
    <s v="L1_0082"/>
    <d v="2026-09-19T00:00:00"/>
    <x v="11"/>
    <s v="Notts County"/>
    <m/>
    <m/>
    <m/>
    <m/>
    <m/>
    <m/>
    <n v="1"/>
    <s v="Home"/>
    <m/>
    <m/>
    <m/>
    <m/>
    <s v=""/>
  </r>
  <r>
    <s v="L1_0083"/>
    <d v="2026-09-19T00:00:00"/>
    <x v="12"/>
    <s v="Stockport County"/>
    <m/>
    <m/>
    <m/>
    <m/>
    <m/>
    <m/>
    <n v="1"/>
    <s v="Home"/>
    <m/>
    <m/>
    <m/>
    <m/>
    <s v=""/>
  </r>
  <r>
    <s v="L1_0084"/>
    <d v="2026-09-19T00:00:00"/>
    <x v="22"/>
    <s v="Wycombe Wanderers"/>
    <m/>
    <m/>
    <m/>
    <m/>
    <m/>
    <m/>
    <n v="1"/>
    <s v="Home"/>
    <m/>
    <m/>
    <m/>
    <m/>
    <s v=""/>
  </r>
  <r>
    <s v="L1_0085"/>
    <d v="2026-09-26T00:00:00"/>
    <x v="2"/>
    <s v="Barnsley"/>
    <m/>
    <m/>
    <m/>
    <m/>
    <m/>
    <m/>
    <n v="1"/>
    <s v="Home"/>
    <m/>
    <m/>
    <m/>
    <m/>
    <s v=""/>
  </r>
  <r>
    <s v="L1_0086"/>
    <d v="2026-09-26T00:00:00"/>
    <x v="4"/>
    <s v="AFC Wimbledon"/>
    <m/>
    <m/>
    <m/>
    <m/>
    <m/>
    <m/>
    <n v="1"/>
    <s v="Home"/>
    <m/>
    <m/>
    <m/>
    <m/>
    <s v=""/>
  </r>
  <r>
    <s v="L1_0087"/>
    <d v="2026-09-26T00:00:00"/>
    <x v="15"/>
    <s v="Oxford United"/>
    <m/>
    <m/>
    <m/>
    <m/>
    <m/>
    <m/>
    <n v="1"/>
    <s v="Home"/>
    <m/>
    <m/>
    <m/>
    <m/>
    <s v=""/>
  </r>
  <r>
    <s v="L1_0088"/>
    <d v="2026-09-26T00:00:00"/>
    <x v="5"/>
    <s v="Luton Town"/>
    <m/>
    <m/>
    <m/>
    <m/>
    <m/>
    <m/>
    <n v="1"/>
    <s v="Home"/>
    <m/>
    <m/>
    <m/>
    <m/>
    <s v=""/>
  </r>
  <r>
    <s v="L1_0089"/>
    <d v="2026-09-26T00:00:00"/>
    <x v="16"/>
    <s v="Wigan Athletic"/>
    <m/>
    <m/>
    <m/>
    <m/>
    <m/>
    <m/>
    <n v="1"/>
    <s v="Home"/>
    <m/>
    <m/>
    <m/>
    <m/>
    <s v=""/>
  </r>
  <r>
    <s v="L1_0090"/>
    <d v="2026-09-26T00:00:00"/>
    <x v="7"/>
    <s v="Leyton Orient"/>
    <m/>
    <m/>
    <m/>
    <m/>
    <m/>
    <m/>
    <n v="1"/>
    <s v="Home"/>
    <m/>
    <m/>
    <m/>
    <m/>
    <s v=""/>
  </r>
  <r>
    <s v="L1_0091"/>
    <d v="2026-09-26T00:00:00"/>
    <x v="18"/>
    <s v="Bromley"/>
    <m/>
    <m/>
    <m/>
    <m/>
    <m/>
    <m/>
    <n v="1"/>
    <s v="Home"/>
    <m/>
    <m/>
    <m/>
    <m/>
    <s v=""/>
  </r>
  <r>
    <s v="L1_0092"/>
    <d v="2026-09-26T00:00:00"/>
    <x v="8"/>
    <s v="Blackpool"/>
    <m/>
    <m/>
    <m/>
    <m/>
    <m/>
    <m/>
    <n v="1"/>
    <s v="Home"/>
    <m/>
    <m/>
    <m/>
    <m/>
    <s v=""/>
  </r>
  <r>
    <s v="L1_0093"/>
    <d v="2026-09-26T00:00:00"/>
    <x v="10"/>
    <s v="Burton Albion"/>
    <m/>
    <m/>
    <m/>
    <m/>
    <m/>
    <m/>
    <n v="1"/>
    <s v="Home"/>
    <m/>
    <m/>
    <m/>
    <m/>
    <s v=""/>
  </r>
  <r>
    <s v="L1_0094"/>
    <d v="2026-09-26T00:00:00"/>
    <x v="20"/>
    <s v="Sheffield Wednesday"/>
    <m/>
    <m/>
    <m/>
    <m/>
    <m/>
    <m/>
    <n v="1"/>
    <s v="Home"/>
    <m/>
    <m/>
    <m/>
    <m/>
    <s v=""/>
  </r>
  <r>
    <s v="L1_0095"/>
    <d v="2026-09-26T00:00:00"/>
    <x v="21"/>
    <s v="Peterborough United"/>
    <m/>
    <m/>
    <m/>
    <m/>
    <m/>
    <m/>
    <n v="1"/>
    <s v="Home"/>
    <m/>
    <m/>
    <m/>
    <m/>
    <s v=""/>
  </r>
  <r>
    <s v="L1_0096"/>
    <d v="2026-09-26T00:00:00"/>
    <x v="23"/>
    <s v="Reading"/>
    <m/>
    <m/>
    <m/>
    <m/>
    <m/>
    <m/>
    <n v="1"/>
    <s v="Home"/>
    <m/>
    <m/>
    <m/>
    <m/>
    <s v=""/>
  </r>
  <r>
    <s v="L1_0097"/>
    <d v="2026-10-03T00:00:00"/>
    <x v="13"/>
    <s v="Stevenage"/>
    <m/>
    <m/>
    <m/>
    <m/>
    <m/>
    <m/>
    <n v="1"/>
    <s v="Home"/>
    <m/>
    <m/>
    <m/>
    <m/>
    <s v=""/>
  </r>
  <r>
    <s v="L1_0098"/>
    <d v="2026-10-03T00:00:00"/>
    <x v="0"/>
    <s v="Milton Keynes Dons"/>
    <m/>
    <m/>
    <m/>
    <m/>
    <m/>
    <m/>
    <n v="1"/>
    <s v="Home"/>
    <m/>
    <m/>
    <m/>
    <m/>
    <s v=""/>
  </r>
  <r>
    <s v="L1_0099"/>
    <d v="2026-10-03T00:00:00"/>
    <x v="1"/>
    <s v="Leicester City"/>
    <m/>
    <m/>
    <m/>
    <m/>
    <m/>
    <m/>
    <n v="1"/>
    <s v="Home"/>
    <m/>
    <m/>
    <m/>
    <m/>
    <s v=""/>
  </r>
  <r>
    <s v="L1_0100"/>
    <d v="2026-10-03T00:00:00"/>
    <x v="14"/>
    <s v="Wycombe Wanderers"/>
    <m/>
    <m/>
    <m/>
    <m/>
    <m/>
    <m/>
    <n v="1"/>
    <s v="Home"/>
    <m/>
    <m/>
    <m/>
    <m/>
    <s v=""/>
  </r>
  <r>
    <s v="L1_0101"/>
    <d v="2026-10-03T00:00:00"/>
    <x v="3"/>
    <s v="Huddersfield Town"/>
    <m/>
    <m/>
    <m/>
    <m/>
    <m/>
    <m/>
    <n v="1"/>
    <s v="Home"/>
    <m/>
    <m/>
    <m/>
    <m/>
    <s v=""/>
  </r>
  <r>
    <s v="L1_0102"/>
    <d v="2026-10-03T00:00:00"/>
    <x v="6"/>
    <s v="Plymouth Argyle"/>
    <m/>
    <m/>
    <m/>
    <m/>
    <m/>
    <m/>
    <n v="1"/>
    <s v="Home"/>
    <m/>
    <m/>
    <m/>
    <m/>
    <s v=""/>
  </r>
  <r>
    <s v="L1_0103"/>
    <d v="2026-10-03T00:00:00"/>
    <x v="17"/>
    <s v="Doncaster Rovers"/>
    <m/>
    <m/>
    <m/>
    <m/>
    <m/>
    <m/>
    <n v="1"/>
    <s v="Home"/>
    <m/>
    <m/>
    <m/>
    <m/>
    <s v=""/>
  </r>
  <r>
    <s v="L1_0104"/>
    <d v="2026-10-03T00:00:00"/>
    <x v="9"/>
    <s v="Stockport County"/>
    <m/>
    <m/>
    <m/>
    <m/>
    <m/>
    <m/>
    <n v="1"/>
    <s v="Home"/>
    <m/>
    <m/>
    <m/>
    <m/>
    <s v=""/>
  </r>
  <r>
    <s v="L1_0105"/>
    <d v="2026-10-03T00:00:00"/>
    <x v="19"/>
    <s v="Notts County"/>
    <m/>
    <m/>
    <m/>
    <m/>
    <m/>
    <m/>
    <n v="1"/>
    <s v="Home"/>
    <m/>
    <m/>
    <m/>
    <m/>
    <s v=""/>
  </r>
  <r>
    <s v="L1_0106"/>
    <d v="2026-10-03T00:00:00"/>
    <x v="11"/>
    <s v="Bradford City"/>
    <m/>
    <m/>
    <m/>
    <m/>
    <m/>
    <m/>
    <n v="1"/>
    <s v="Home"/>
    <m/>
    <m/>
    <m/>
    <m/>
    <s v=""/>
  </r>
  <r>
    <s v="L1_0107"/>
    <d v="2026-10-03T00:00:00"/>
    <x v="12"/>
    <s v="Cambridge United"/>
    <m/>
    <m/>
    <m/>
    <m/>
    <m/>
    <m/>
    <n v="1"/>
    <s v="Home"/>
    <m/>
    <m/>
    <m/>
    <m/>
    <s v=""/>
  </r>
  <r>
    <s v="L1_0108"/>
    <d v="2026-10-03T00:00:00"/>
    <x v="22"/>
    <s v="Mansfield Town"/>
    <m/>
    <m/>
    <m/>
    <m/>
    <m/>
    <m/>
    <n v="1"/>
    <s v="Home"/>
    <m/>
    <m/>
    <m/>
    <m/>
    <s v=""/>
  </r>
  <r>
    <s v="L1_0109"/>
    <d v="2026-10-10T00:00:00"/>
    <x v="2"/>
    <s v="Leyton Orient"/>
    <m/>
    <m/>
    <m/>
    <m/>
    <m/>
    <m/>
    <n v="1"/>
    <s v="Home"/>
    <m/>
    <m/>
    <m/>
    <m/>
    <s v=""/>
  </r>
  <r>
    <s v="L1_0110"/>
    <d v="2026-10-10T00:00:00"/>
    <x v="4"/>
    <s v="Blackpool"/>
    <m/>
    <m/>
    <m/>
    <m/>
    <m/>
    <m/>
    <n v="1"/>
    <s v="Home"/>
    <m/>
    <m/>
    <m/>
    <m/>
    <s v=""/>
  </r>
  <r>
    <s v="L1_0111"/>
    <d v="2026-10-10T00:00:00"/>
    <x v="15"/>
    <s v="Burton Albion"/>
    <m/>
    <m/>
    <m/>
    <m/>
    <m/>
    <m/>
    <n v="1"/>
    <s v="Home"/>
    <m/>
    <m/>
    <m/>
    <m/>
    <s v=""/>
  </r>
  <r>
    <s v="L1_0112"/>
    <d v="2026-10-10T00:00:00"/>
    <x v="5"/>
    <s v="Sheffield Wednesday"/>
    <m/>
    <m/>
    <m/>
    <m/>
    <m/>
    <m/>
    <n v="1"/>
    <s v="Home"/>
    <m/>
    <m/>
    <m/>
    <m/>
    <s v=""/>
  </r>
  <r>
    <s v="L1_0113"/>
    <d v="2026-10-10T00:00:00"/>
    <x v="16"/>
    <s v="Peterborough United"/>
    <m/>
    <m/>
    <m/>
    <m/>
    <m/>
    <m/>
    <n v="1"/>
    <s v="Home"/>
    <m/>
    <m/>
    <m/>
    <m/>
    <s v=""/>
  </r>
  <r>
    <s v="L1_0114"/>
    <d v="2026-10-10T00:00:00"/>
    <x v="7"/>
    <s v="Bromley"/>
    <m/>
    <m/>
    <m/>
    <m/>
    <m/>
    <m/>
    <n v="1"/>
    <s v="Home"/>
    <m/>
    <m/>
    <m/>
    <m/>
    <s v=""/>
  </r>
  <r>
    <s v="L1_0115"/>
    <d v="2026-10-10T00:00:00"/>
    <x v="18"/>
    <s v="Reading"/>
    <m/>
    <m/>
    <m/>
    <m/>
    <m/>
    <m/>
    <n v="1"/>
    <s v="Home"/>
    <m/>
    <m/>
    <m/>
    <m/>
    <s v=""/>
  </r>
  <r>
    <s v="L1_0116"/>
    <d v="2026-10-10T00:00:00"/>
    <x v="8"/>
    <s v="Oxford United"/>
    <m/>
    <m/>
    <m/>
    <m/>
    <m/>
    <m/>
    <n v="1"/>
    <s v="Home"/>
    <m/>
    <m/>
    <m/>
    <m/>
    <s v=""/>
  </r>
  <r>
    <s v="L1_0117"/>
    <d v="2026-10-10T00:00:00"/>
    <x v="10"/>
    <s v="AFC Wimbledon"/>
    <m/>
    <m/>
    <m/>
    <m/>
    <m/>
    <m/>
    <n v="1"/>
    <s v="Home"/>
    <m/>
    <m/>
    <m/>
    <m/>
    <s v=""/>
  </r>
  <r>
    <s v="L1_0118"/>
    <d v="2026-10-10T00:00:00"/>
    <x v="20"/>
    <s v="Wigan Athletic"/>
    <m/>
    <m/>
    <m/>
    <m/>
    <m/>
    <m/>
    <n v="1"/>
    <s v="Home"/>
    <m/>
    <m/>
    <m/>
    <m/>
    <s v=""/>
  </r>
  <r>
    <s v="L1_0119"/>
    <d v="2026-10-10T00:00:00"/>
    <x v="21"/>
    <s v="Barnsley"/>
    <m/>
    <m/>
    <m/>
    <m/>
    <m/>
    <m/>
    <n v="1"/>
    <s v="Home"/>
    <m/>
    <m/>
    <m/>
    <m/>
    <s v=""/>
  </r>
  <r>
    <s v="L1_0120"/>
    <d v="2026-10-10T00:00:00"/>
    <x v="23"/>
    <s v="Luton Town"/>
    <m/>
    <m/>
    <m/>
    <m/>
    <m/>
    <m/>
    <n v="1"/>
    <s v="Home"/>
    <m/>
    <m/>
    <m/>
    <m/>
    <s v=""/>
  </r>
  <r>
    <s v="L1_0121"/>
    <d v="2026-10-15T00:00:00"/>
    <x v="7"/>
    <s v="Oxford United"/>
    <m/>
    <m/>
    <m/>
    <m/>
    <m/>
    <m/>
    <n v="1"/>
    <s v="Home"/>
    <m/>
    <m/>
    <m/>
    <m/>
    <s v=""/>
  </r>
  <r>
    <s v="L1_0122"/>
    <d v="2026-10-17T00:00:00"/>
    <x v="0"/>
    <s v="Cambridge United"/>
    <m/>
    <m/>
    <m/>
    <m/>
    <m/>
    <m/>
    <n v="1"/>
    <s v="Home"/>
    <m/>
    <m/>
    <m/>
    <m/>
    <s v=""/>
  </r>
  <r>
    <s v="L1_0123"/>
    <d v="2026-10-17T00:00:00"/>
    <x v="2"/>
    <s v="Stevenage"/>
    <m/>
    <m/>
    <m/>
    <m/>
    <m/>
    <m/>
    <n v="1"/>
    <s v="Home"/>
    <m/>
    <m/>
    <m/>
    <m/>
    <s v=""/>
  </r>
  <r>
    <s v="L1_0124"/>
    <d v="2026-10-17T00:00:00"/>
    <x v="16"/>
    <s v="Doncaster Rovers"/>
    <m/>
    <m/>
    <m/>
    <m/>
    <m/>
    <m/>
    <n v="1"/>
    <s v="Home"/>
    <m/>
    <m/>
    <m/>
    <m/>
    <s v=""/>
  </r>
  <r>
    <s v="L1_0125"/>
    <d v="2026-10-17T00:00:00"/>
    <x v="6"/>
    <s v="Blackpool"/>
    <m/>
    <m/>
    <m/>
    <m/>
    <m/>
    <m/>
    <n v="1"/>
    <s v="Home"/>
    <m/>
    <m/>
    <m/>
    <m/>
    <s v=""/>
  </r>
  <r>
    <s v="L1_0126"/>
    <d v="2026-10-17T00:00:00"/>
    <x v="18"/>
    <s v="Luton Town"/>
    <m/>
    <m/>
    <m/>
    <m/>
    <m/>
    <m/>
    <n v="1"/>
    <s v="Home"/>
    <m/>
    <m/>
    <m/>
    <m/>
    <s v=""/>
  </r>
  <r>
    <s v="L1_0127"/>
    <d v="2026-10-17T00:00:00"/>
    <x v="19"/>
    <s v="Burton Albion"/>
    <m/>
    <m/>
    <m/>
    <m/>
    <m/>
    <m/>
    <n v="1"/>
    <s v="Home"/>
    <m/>
    <m/>
    <m/>
    <m/>
    <s v=""/>
  </r>
  <r>
    <s v="L1_0128"/>
    <d v="2026-10-17T00:00:00"/>
    <x v="10"/>
    <s v="Huddersfield Town"/>
    <m/>
    <m/>
    <m/>
    <m/>
    <m/>
    <m/>
    <n v="1"/>
    <s v="Home"/>
    <m/>
    <m/>
    <m/>
    <m/>
    <s v=""/>
  </r>
  <r>
    <s v="L1_0129"/>
    <d v="2026-10-17T00:00:00"/>
    <x v="12"/>
    <s v="AFC Wimbledon"/>
    <m/>
    <m/>
    <m/>
    <m/>
    <m/>
    <m/>
    <n v="1"/>
    <s v="Home"/>
    <m/>
    <m/>
    <m/>
    <m/>
    <s v=""/>
  </r>
  <r>
    <s v="L1_0130"/>
    <d v="2026-10-17T00:00:00"/>
    <x v="21"/>
    <s v="Bromley"/>
    <m/>
    <m/>
    <m/>
    <m/>
    <m/>
    <m/>
    <n v="1"/>
    <s v="Home"/>
    <m/>
    <m/>
    <m/>
    <m/>
    <s v=""/>
  </r>
  <r>
    <s v="L1_0131"/>
    <d v="2026-10-17T00:00:00"/>
    <x v="22"/>
    <s v="Reading"/>
    <m/>
    <m/>
    <m/>
    <m/>
    <m/>
    <m/>
    <n v="1"/>
    <s v="Home"/>
    <m/>
    <m/>
    <m/>
    <m/>
    <s v=""/>
  </r>
  <r>
    <s v="L1_0132"/>
    <d v="2026-10-17T00:00:00"/>
    <x v="23"/>
    <s v="Notts County"/>
    <m/>
    <m/>
    <m/>
    <m/>
    <m/>
    <m/>
    <n v="1"/>
    <s v="Home"/>
    <m/>
    <m/>
    <m/>
    <m/>
    <s v=""/>
  </r>
  <r>
    <s v="L1_0133"/>
    <d v="2026-10-20T00:00:00"/>
    <x v="13"/>
    <s v="Mansfield Town"/>
    <m/>
    <m/>
    <m/>
    <m/>
    <m/>
    <m/>
    <n v="1"/>
    <s v="Home"/>
    <m/>
    <m/>
    <m/>
    <m/>
    <s v=""/>
  </r>
  <r>
    <s v="L1_0134"/>
    <d v="2026-10-20T00:00:00"/>
    <x v="1"/>
    <s v="Milton Keynes Dons"/>
    <m/>
    <m/>
    <m/>
    <m/>
    <m/>
    <m/>
    <n v="1"/>
    <s v="Home"/>
    <m/>
    <m/>
    <m/>
    <m/>
    <s v=""/>
  </r>
  <r>
    <s v="L1_0135"/>
    <d v="2026-10-20T00:00:00"/>
    <x v="14"/>
    <s v="Leicester City"/>
    <m/>
    <m/>
    <m/>
    <m/>
    <m/>
    <m/>
    <n v="1"/>
    <s v="Home"/>
    <m/>
    <m/>
    <m/>
    <m/>
    <s v=""/>
  </r>
  <r>
    <s v="L1_0136"/>
    <d v="2026-10-20T00:00:00"/>
    <x v="3"/>
    <s v="Bradford City"/>
    <m/>
    <m/>
    <m/>
    <m/>
    <m/>
    <m/>
    <n v="1"/>
    <s v="Home"/>
    <m/>
    <m/>
    <m/>
    <m/>
    <s v=""/>
  </r>
  <r>
    <s v="L1_0137"/>
    <d v="2026-10-20T00:00:00"/>
    <x v="4"/>
    <s v="Wycombe Wanderers"/>
    <m/>
    <m/>
    <m/>
    <m/>
    <m/>
    <m/>
    <n v="1"/>
    <s v="Home"/>
    <m/>
    <m/>
    <m/>
    <m/>
    <s v=""/>
  </r>
  <r>
    <s v="L1_0138"/>
    <d v="2026-10-20T00:00:00"/>
    <x v="15"/>
    <s v="Stockport County"/>
    <m/>
    <m/>
    <m/>
    <m/>
    <m/>
    <m/>
    <n v="1"/>
    <s v="Home"/>
    <m/>
    <m/>
    <m/>
    <m/>
    <s v=""/>
  </r>
  <r>
    <s v="L1_0139"/>
    <d v="2026-10-20T00:00:00"/>
    <x v="5"/>
    <s v="Peterborough United"/>
    <m/>
    <m/>
    <m/>
    <m/>
    <m/>
    <m/>
    <n v="1"/>
    <s v="Home"/>
    <m/>
    <m/>
    <m/>
    <m/>
    <s v=""/>
  </r>
  <r>
    <s v="L1_0140"/>
    <d v="2026-10-20T00:00:00"/>
    <x v="17"/>
    <s v="Barnsley"/>
    <m/>
    <m/>
    <m/>
    <m/>
    <m/>
    <m/>
    <n v="1"/>
    <s v="Home"/>
    <m/>
    <m/>
    <m/>
    <m/>
    <s v=""/>
  </r>
  <r>
    <s v="L1_0141"/>
    <d v="2026-10-20T00:00:00"/>
    <x v="8"/>
    <s v="Sheffield Wednesday"/>
    <m/>
    <m/>
    <m/>
    <m/>
    <m/>
    <m/>
    <n v="1"/>
    <s v="Home"/>
    <m/>
    <m/>
    <m/>
    <m/>
    <s v=""/>
  </r>
  <r>
    <s v="L1_0142"/>
    <d v="2026-10-20T00:00:00"/>
    <x v="9"/>
    <s v="Wigan Athletic"/>
    <m/>
    <m/>
    <m/>
    <m/>
    <m/>
    <m/>
    <n v="1"/>
    <s v="Home"/>
    <m/>
    <m/>
    <m/>
    <m/>
    <s v=""/>
  </r>
  <r>
    <s v="L1_0143"/>
    <d v="2026-10-20T00:00:00"/>
    <x v="20"/>
    <s v="Plymouth Argyle"/>
    <m/>
    <m/>
    <m/>
    <m/>
    <m/>
    <m/>
    <n v="1"/>
    <s v="Home"/>
    <m/>
    <m/>
    <m/>
    <m/>
    <s v=""/>
  </r>
  <r>
    <s v="L1_0144"/>
    <d v="2026-10-21T00:00:00"/>
    <x v="11"/>
    <s v="Leyton Orient"/>
    <m/>
    <m/>
    <m/>
    <m/>
    <m/>
    <m/>
    <n v="1"/>
    <s v="Home"/>
    <m/>
    <m/>
    <m/>
    <m/>
    <s v=""/>
  </r>
  <r>
    <s v="L1_0145"/>
    <d v="2026-10-24T00:00:00"/>
    <x v="13"/>
    <s v="Wycombe Wanderers"/>
    <m/>
    <m/>
    <m/>
    <m/>
    <m/>
    <m/>
    <n v="1"/>
    <s v="Home"/>
    <m/>
    <m/>
    <m/>
    <m/>
    <s v=""/>
  </r>
  <r>
    <s v="L1_0146"/>
    <d v="2026-10-24T00:00:00"/>
    <x v="1"/>
    <s v="Mansfield Town"/>
    <m/>
    <m/>
    <m/>
    <m/>
    <m/>
    <m/>
    <n v="1"/>
    <s v="Home"/>
    <m/>
    <m/>
    <m/>
    <m/>
    <s v=""/>
  </r>
  <r>
    <s v="L1_0147"/>
    <d v="2026-10-24T00:00:00"/>
    <x v="14"/>
    <s v="Peterborough United"/>
    <m/>
    <m/>
    <m/>
    <m/>
    <m/>
    <m/>
    <n v="1"/>
    <s v="Home"/>
    <m/>
    <m/>
    <m/>
    <m/>
    <s v=""/>
  </r>
  <r>
    <s v="L1_0148"/>
    <d v="2026-10-24T00:00:00"/>
    <x v="3"/>
    <s v="Leyton Orient"/>
    <m/>
    <m/>
    <m/>
    <m/>
    <m/>
    <m/>
    <n v="1"/>
    <s v="Home"/>
    <m/>
    <m/>
    <m/>
    <m/>
    <s v=""/>
  </r>
  <r>
    <s v="L1_0149"/>
    <d v="2026-10-24T00:00:00"/>
    <x v="4"/>
    <s v="Plymouth Argyle"/>
    <m/>
    <m/>
    <m/>
    <m/>
    <m/>
    <m/>
    <n v="1"/>
    <s v="Home"/>
    <m/>
    <m/>
    <m/>
    <m/>
    <s v=""/>
  </r>
  <r>
    <s v="L1_0150"/>
    <d v="2026-10-24T00:00:00"/>
    <x v="15"/>
    <s v="Sheffield Wednesday"/>
    <m/>
    <m/>
    <m/>
    <m/>
    <m/>
    <m/>
    <n v="1"/>
    <s v="Home"/>
    <m/>
    <m/>
    <m/>
    <m/>
    <s v=""/>
  </r>
  <r>
    <s v="L1_0151"/>
    <d v="2026-10-24T00:00:00"/>
    <x v="5"/>
    <s v="Wigan Athletic"/>
    <m/>
    <m/>
    <m/>
    <m/>
    <m/>
    <m/>
    <n v="1"/>
    <s v="Home"/>
    <m/>
    <m/>
    <m/>
    <m/>
    <s v=""/>
  </r>
  <r>
    <s v="L1_0152"/>
    <d v="2026-10-24T00:00:00"/>
    <x v="17"/>
    <s v="Leicester City"/>
    <m/>
    <m/>
    <m/>
    <m/>
    <m/>
    <m/>
    <n v="1"/>
    <s v="Home"/>
    <m/>
    <m/>
    <m/>
    <m/>
    <s v=""/>
  </r>
  <r>
    <s v="L1_0153"/>
    <d v="2026-10-24T00:00:00"/>
    <x v="8"/>
    <s v="Stockport County"/>
    <m/>
    <m/>
    <m/>
    <m/>
    <m/>
    <m/>
    <n v="1"/>
    <s v="Home"/>
    <m/>
    <m/>
    <m/>
    <m/>
    <s v=""/>
  </r>
  <r>
    <s v="L1_0154"/>
    <d v="2026-10-24T00:00:00"/>
    <x v="9"/>
    <s v="Bradford City"/>
    <m/>
    <m/>
    <m/>
    <m/>
    <m/>
    <m/>
    <n v="1"/>
    <s v="Home"/>
    <m/>
    <m/>
    <m/>
    <m/>
    <s v=""/>
  </r>
  <r>
    <s v="L1_0155"/>
    <d v="2026-10-24T00:00:00"/>
    <x v="11"/>
    <s v="Barnsley"/>
    <m/>
    <m/>
    <m/>
    <m/>
    <m/>
    <m/>
    <n v="1"/>
    <s v="Home"/>
    <m/>
    <m/>
    <m/>
    <m/>
    <s v=""/>
  </r>
  <r>
    <s v="L1_0156"/>
    <d v="2026-10-24T00:00:00"/>
    <x v="20"/>
    <s v="Milton Keynes Dons"/>
    <m/>
    <m/>
    <m/>
    <m/>
    <m/>
    <m/>
    <n v="1"/>
    <s v="Home"/>
    <m/>
    <m/>
    <m/>
    <m/>
    <s v=""/>
  </r>
  <r>
    <s v="L1_0157"/>
    <d v="2026-10-31T00:00:00"/>
    <x v="0"/>
    <s v="Oxford United"/>
    <m/>
    <m/>
    <m/>
    <m/>
    <m/>
    <m/>
    <n v="1"/>
    <s v="Home"/>
    <m/>
    <m/>
    <m/>
    <m/>
    <s v=""/>
  </r>
  <r>
    <s v="L1_0158"/>
    <d v="2026-10-31T00:00:00"/>
    <x v="2"/>
    <s v="Huddersfield Town"/>
    <m/>
    <m/>
    <m/>
    <m/>
    <m/>
    <m/>
    <n v="1"/>
    <s v="Home"/>
    <m/>
    <m/>
    <m/>
    <m/>
    <s v=""/>
  </r>
  <r>
    <s v="L1_0159"/>
    <d v="2026-10-31T00:00:00"/>
    <x v="16"/>
    <s v="Stevenage"/>
    <m/>
    <m/>
    <m/>
    <m/>
    <m/>
    <m/>
    <n v="1"/>
    <s v="Home"/>
    <m/>
    <m/>
    <m/>
    <m/>
    <s v=""/>
  </r>
  <r>
    <s v="L1_0160"/>
    <d v="2026-10-31T00:00:00"/>
    <x v="6"/>
    <s v="Cambridge United"/>
    <m/>
    <m/>
    <m/>
    <m/>
    <m/>
    <m/>
    <n v="1"/>
    <s v="Home"/>
    <m/>
    <m/>
    <m/>
    <m/>
    <s v=""/>
  </r>
  <r>
    <s v="L1_0161"/>
    <d v="2026-10-31T00:00:00"/>
    <x v="7"/>
    <s v="Notts County"/>
    <m/>
    <m/>
    <m/>
    <m/>
    <m/>
    <m/>
    <n v="1"/>
    <s v="Home"/>
    <m/>
    <m/>
    <m/>
    <m/>
    <s v=""/>
  </r>
  <r>
    <s v="L1_0162"/>
    <d v="2026-10-31T00:00:00"/>
    <x v="18"/>
    <s v="Doncaster Rovers"/>
    <m/>
    <m/>
    <m/>
    <m/>
    <m/>
    <m/>
    <n v="1"/>
    <s v="Home"/>
    <m/>
    <m/>
    <m/>
    <m/>
    <s v=""/>
  </r>
  <r>
    <s v="L1_0163"/>
    <d v="2026-10-31T00:00:00"/>
    <x v="19"/>
    <s v="Luton Town"/>
    <m/>
    <m/>
    <m/>
    <m/>
    <m/>
    <m/>
    <n v="1"/>
    <s v="Home"/>
    <m/>
    <m/>
    <m/>
    <m/>
    <s v=""/>
  </r>
  <r>
    <s v="L1_0164"/>
    <d v="2026-10-31T00:00:00"/>
    <x v="10"/>
    <s v="Reading"/>
    <m/>
    <m/>
    <m/>
    <m/>
    <m/>
    <m/>
    <n v="1"/>
    <s v="Home"/>
    <m/>
    <m/>
    <m/>
    <m/>
    <s v=""/>
  </r>
  <r>
    <s v="L1_0165"/>
    <d v="2026-10-31T00:00:00"/>
    <x v="21"/>
    <s v="AFC Wimbledon"/>
    <m/>
    <m/>
    <m/>
    <m/>
    <m/>
    <m/>
    <n v="1"/>
    <s v="Home"/>
    <m/>
    <m/>
    <m/>
    <m/>
    <s v=""/>
  </r>
  <r>
    <s v="L1_0166"/>
    <d v="2026-10-31T00:00:00"/>
    <x v="22"/>
    <s v="Bromley"/>
    <m/>
    <m/>
    <m/>
    <m/>
    <m/>
    <m/>
    <n v="1"/>
    <s v="Home"/>
    <m/>
    <m/>
    <m/>
    <m/>
    <s v=""/>
  </r>
  <r>
    <s v="L1_0167"/>
    <d v="2026-10-31T00:00:00"/>
    <x v="23"/>
    <s v="Burton Albion"/>
    <m/>
    <m/>
    <m/>
    <m/>
    <m/>
    <m/>
    <n v="1"/>
    <s v="Home"/>
    <m/>
    <m/>
    <m/>
    <m/>
    <s v=""/>
  </r>
  <r>
    <s v="L1_0168"/>
    <d v="2026-11-01T00:00:00"/>
    <x v="12"/>
    <s v="Blackpool"/>
    <m/>
    <m/>
    <m/>
    <m/>
    <m/>
    <m/>
    <n v="1"/>
    <s v="Home"/>
    <m/>
    <m/>
    <m/>
    <m/>
    <s v=""/>
  </r>
  <r>
    <s v="L1_0169"/>
    <d v="2026-11-14T00:00:00"/>
    <x v="13"/>
    <s v="Blackpool"/>
    <m/>
    <m/>
    <m/>
    <m/>
    <m/>
    <m/>
    <n v="1"/>
    <s v="Home"/>
    <m/>
    <m/>
    <m/>
    <m/>
    <s v=""/>
  </r>
  <r>
    <s v="L1_0170"/>
    <d v="2026-11-14T00:00:00"/>
    <x v="14"/>
    <s v="Notts County"/>
    <m/>
    <m/>
    <m/>
    <m/>
    <m/>
    <m/>
    <n v="1"/>
    <s v="Home"/>
    <m/>
    <m/>
    <m/>
    <m/>
    <s v=""/>
  </r>
  <r>
    <s v="L1_0171"/>
    <d v="2026-11-14T00:00:00"/>
    <x v="15"/>
    <s v="Leyton Orient"/>
    <m/>
    <m/>
    <m/>
    <m/>
    <m/>
    <m/>
    <n v="1"/>
    <s v="Home"/>
    <m/>
    <m/>
    <m/>
    <m/>
    <s v=""/>
  </r>
  <r>
    <s v="L1_0172"/>
    <d v="2026-11-14T00:00:00"/>
    <x v="16"/>
    <s v="Bradford City"/>
    <m/>
    <m/>
    <m/>
    <m/>
    <m/>
    <m/>
    <n v="1"/>
    <s v="Home"/>
    <m/>
    <m/>
    <m/>
    <m/>
    <s v=""/>
  </r>
  <r>
    <s v="L1_0173"/>
    <d v="2026-11-14T00:00:00"/>
    <x v="17"/>
    <s v="Cambridge United"/>
    <m/>
    <m/>
    <m/>
    <m/>
    <m/>
    <m/>
    <n v="1"/>
    <s v="Home"/>
    <m/>
    <m/>
    <m/>
    <m/>
    <s v=""/>
  </r>
  <r>
    <s v="L1_0174"/>
    <d v="2026-11-14T00:00:00"/>
    <x v="18"/>
    <s v="Burton Albion"/>
    <m/>
    <m/>
    <m/>
    <m/>
    <m/>
    <m/>
    <n v="1"/>
    <s v="Home"/>
    <m/>
    <m/>
    <m/>
    <m/>
    <s v=""/>
  </r>
  <r>
    <s v="L1_0175"/>
    <d v="2026-11-14T00:00:00"/>
    <x v="19"/>
    <s v="Oxford United"/>
    <m/>
    <m/>
    <m/>
    <m/>
    <m/>
    <m/>
    <n v="1"/>
    <s v="Home"/>
    <m/>
    <m/>
    <m/>
    <m/>
    <s v=""/>
  </r>
  <r>
    <s v="L1_0176"/>
    <d v="2026-11-14T00:00:00"/>
    <x v="12"/>
    <s v="Plymouth Argyle"/>
    <m/>
    <m/>
    <m/>
    <m/>
    <m/>
    <m/>
    <n v="1"/>
    <s v="Home"/>
    <m/>
    <m/>
    <m/>
    <m/>
    <s v=""/>
  </r>
  <r>
    <s v="L1_0177"/>
    <d v="2026-11-14T00:00:00"/>
    <x v="20"/>
    <s v="Mansfield Town"/>
    <m/>
    <m/>
    <m/>
    <m/>
    <m/>
    <m/>
    <n v="1"/>
    <s v="Home"/>
    <m/>
    <m/>
    <m/>
    <m/>
    <s v=""/>
  </r>
  <r>
    <s v="L1_0178"/>
    <d v="2026-11-14T00:00:00"/>
    <x v="21"/>
    <s v="Reading"/>
    <m/>
    <m/>
    <m/>
    <m/>
    <m/>
    <m/>
    <n v="1"/>
    <s v="Home"/>
    <m/>
    <m/>
    <m/>
    <m/>
    <s v=""/>
  </r>
  <r>
    <s v="L1_0179"/>
    <d v="2026-11-14T00:00:00"/>
    <x v="22"/>
    <s v="Barnsley"/>
    <m/>
    <m/>
    <m/>
    <m/>
    <m/>
    <m/>
    <n v="1"/>
    <s v="Home"/>
    <m/>
    <m/>
    <m/>
    <m/>
    <s v=""/>
  </r>
  <r>
    <s v="L1_0180"/>
    <d v="2026-11-14T00:00:00"/>
    <x v="23"/>
    <s v="Huddersfield Town"/>
    <m/>
    <m/>
    <m/>
    <m/>
    <m/>
    <m/>
    <n v="1"/>
    <s v="Home"/>
    <m/>
    <m/>
    <m/>
    <m/>
    <s v=""/>
  </r>
  <r>
    <s v="L1_0181"/>
    <d v="2026-11-20T00:00:00"/>
    <x v="0"/>
    <s v="Sheffield Wednesday"/>
    <m/>
    <m/>
    <m/>
    <m/>
    <m/>
    <m/>
    <n v="1"/>
    <s v="Home"/>
    <m/>
    <m/>
    <m/>
    <m/>
    <s v=""/>
  </r>
  <r>
    <s v="L1_0182"/>
    <d v="2026-11-21T00:00:00"/>
    <x v="1"/>
    <s v="Wigan Athletic"/>
    <m/>
    <m/>
    <m/>
    <m/>
    <m/>
    <m/>
    <n v="1"/>
    <s v="Home"/>
    <m/>
    <m/>
    <m/>
    <m/>
    <s v=""/>
  </r>
  <r>
    <s v="L1_0183"/>
    <d v="2026-11-21T00:00:00"/>
    <x v="2"/>
    <s v="Doncaster Rovers"/>
    <m/>
    <m/>
    <m/>
    <m/>
    <m/>
    <m/>
    <n v="1"/>
    <s v="Home"/>
    <m/>
    <m/>
    <m/>
    <m/>
    <s v=""/>
  </r>
  <r>
    <s v="L1_0184"/>
    <d v="2026-11-21T00:00:00"/>
    <x v="3"/>
    <s v="Luton Town"/>
    <m/>
    <m/>
    <m/>
    <m/>
    <m/>
    <m/>
    <n v="1"/>
    <s v="Home"/>
    <m/>
    <m/>
    <m/>
    <m/>
    <s v=""/>
  </r>
  <r>
    <s v="L1_0185"/>
    <d v="2026-11-21T00:00:00"/>
    <x v="4"/>
    <s v="Stockport County"/>
    <m/>
    <m/>
    <m/>
    <m/>
    <m/>
    <m/>
    <n v="1"/>
    <s v="Home"/>
    <m/>
    <m/>
    <m/>
    <m/>
    <s v=""/>
  </r>
  <r>
    <s v="L1_0186"/>
    <d v="2026-11-21T00:00:00"/>
    <x v="5"/>
    <s v="Leicester City"/>
    <m/>
    <m/>
    <m/>
    <m/>
    <m/>
    <m/>
    <n v="1"/>
    <s v="Home"/>
    <m/>
    <m/>
    <m/>
    <m/>
    <s v=""/>
  </r>
  <r>
    <s v="L1_0187"/>
    <d v="2026-11-21T00:00:00"/>
    <x v="6"/>
    <s v="AFC Wimbledon"/>
    <m/>
    <m/>
    <m/>
    <m/>
    <m/>
    <m/>
    <n v="1"/>
    <s v="Home"/>
    <m/>
    <m/>
    <m/>
    <m/>
    <s v=""/>
  </r>
  <r>
    <s v="L1_0188"/>
    <d v="2026-11-21T00:00:00"/>
    <x v="7"/>
    <s v="Milton Keynes Dons"/>
    <m/>
    <m/>
    <m/>
    <m/>
    <m/>
    <m/>
    <n v="1"/>
    <s v="Home"/>
    <m/>
    <m/>
    <m/>
    <m/>
    <s v=""/>
  </r>
  <r>
    <s v="L1_0189"/>
    <d v="2026-11-21T00:00:00"/>
    <x v="8"/>
    <s v="Stevenage"/>
    <m/>
    <m/>
    <m/>
    <m/>
    <m/>
    <m/>
    <n v="1"/>
    <s v="Home"/>
    <m/>
    <m/>
    <m/>
    <m/>
    <s v=""/>
  </r>
  <r>
    <s v="L1_0190"/>
    <d v="2026-11-21T00:00:00"/>
    <x v="9"/>
    <s v="Wycombe Wanderers"/>
    <m/>
    <m/>
    <m/>
    <m/>
    <m/>
    <m/>
    <n v="1"/>
    <s v="Home"/>
    <m/>
    <m/>
    <m/>
    <m/>
    <s v=""/>
  </r>
  <r>
    <s v="L1_0191"/>
    <d v="2026-11-21T00:00:00"/>
    <x v="10"/>
    <s v="Peterborough United"/>
    <m/>
    <m/>
    <m/>
    <m/>
    <m/>
    <m/>
    <n v="1"/>
    <s v="Home"/>
    <m/>
    <m/>
    <m/>
    <m/>
    <s v=""/>
  </r>
  <r>
    <s v="L1_0192"/>
    <d v="2026-11-21T00:00:00"/>
    <x v="11"/>
    <s v="Bromley"/>
    <m/>
    <m/>
    <m/>
    <m/>
    <m/>
    <m/>
    <n v="1"/>
    <s v="Home"/>
    <m/>
    <m/>
    <m/>
    <m/>
    <s v=""/>
  </r>
  <r>
    <s v="L1_0193"/>
    <d v="2026-11-26T00:00:00"/>
    <x v="15"/>
    <s v="Huddersfield Town"/>
    <m/>
    <m/>
    <m/>
    <m/>
    <m/>
    <m/>
    <n v="1"/>
    <s v="Home"/>
    <m/>
    <m/>
    <m/>
    <m/>
    <s v=""/>
  </r>
  <r>
    <s v="L1_0194"/>
    <d v="2026-11-28T00:00:00"/>
    <x v="13"/>
    <s v="Barnsley"/>
    <m/>
    <m/>
    <m/>
    <m/>
    <m/>
    <m/>
    <n v="1"/>
    <s v="Home"/>
    <m/>
    <m/>
    <m/>
    <m/>
    <s v=""/>
  </r>
  <r>
    <s v="L1_0195"/>
    <d v="2026-11-28T00:00:00"/>
    <x v="14"/>
    <s v="Burton Albion"/>
    <m/>
    <m/>
    <m/>
    <m/>
    <m/>
    <m/>
    <n v="1"/>
    <s v="Home"/>
    <m/>
    <m/>
    <m/>
    <m/>
    <s v=""/>
  </r>
  <r>
    <s v="L1_0196"/>
    <d v="2026-11-28T00:00:00"/>
    <x v="16"/>
    <s v="Mansfield Town"/>
    <m/>
    <m/>
    <m/>
    <m/>
    <m/>
    <m/>
    <n v="1"/>
    <s v="Home"/>
    <m/>
    <m/>
    <m/>
    <m/>
    <s v=""/>
  </r>
  <r>
    <s v="L1_0197"/>
    <d v="2026-11-28T00:00:00"/>
    <x v="17"/>
    <s v="Oxford United"/>
    <m/>
    <m/>
    <m/>
    <m/>
    <m/>
    <m/>
    <n v="1"/>
    <s v="Home"/>
    <m/>
    <m/>
    <m/>
    <m/>
    <s v=""/>
  </r>
  <r>
    <s v="L1_0198"/>
    <d v="2026-11-28T00:00:00"/>
    <x v="18"/>
    <s v="Notts County"/>
    <m/>
    <m/>
    <m/>
    <m/>
    <m/>
    <m/>
    <n v="1"/>
    <s v="Home"/>
    <m/>
    <m/>
    <m/>
    <m/>
    <s v=""/>
  </r>
  <r>
    <s v="L1_0199"/>
    <d v="2026-11-28T00:00:00"/>
    <x v="19"/>
    <s v="Cambridge United"/>
    <m/>
    <m/>
    <m/>
    <m/>
    <m/>
    <m/>
    <n v="1"/>
    <s v="Home"/>
    <m/>
    <m/>
    <m/>
    <m/>
    <s v=""/>
  </r>
  <r>
    <s v="L1_0200"/>
    <d v="2026-11-28T00:00:00"/>
    <x v="12"/>
    <s v="Reading"/>
    <m/>
    <m/>
    <m/>
    <m/>
    <m/>
    <m/>
    <n v="1"/>
    <s v="Home"/>
    <m/>
    <m/>
    <m/>
    <m/>
    <s v=""/>
  </r>
  <r>
    <s v="L1_0201"/>
    <d v="2026-11-28T00:00:00"/>
    <x v="20"/>
    <s v="Blackpool"/>
    <m/>
    <m/>
    <m/>
    <m/>
    <m/>
    <m/>
    <n v="1"/>
    <s v="Home"/>
    <m/>
    <m/>
    <m/>
    <m/>
    <s v=""/>
  </r>
  <r>
    <s v="L1_0202"/>
    <d v="2026-11-28T00:00:00"/>
    <x v="21"/>
    <s v="Leyton Orient"/>
    <m/>
    <m/>
    <m/>
    <m/>
    <m/>
    <m/>
    <n v="1"/>
    <s v="Home"/>
    <m/>
    <m/>
    <m/>
    <m/>
    <s v=""/>
  </r>
  <r>
    <s v="L1_0203"/>
    <d v="2026-11-28T00:00:00"/>
    <x v="22"/>
    <s v="Plymouth Argyle"/>
    <m/>
    <m/>
    <m/>
    <m/>
    <m/>
    <m/>
    <n v="1"/>
    <s v="Home"/>
    <m/>
    <m/>
    <m/>
    <m/>
    <s v=""/>
  </r>
  <r>
    <s v="L1_0204"/>
    <d v="2026-11-28T00:00:00"/>
    <x v="23"/>
    <s v="Bradford City"/>
    <m/>
    <m/>
    <m/>
    <m/>
    <m/>
    <m/>
    <n v="1"/>
    <s v="Home"/>
    <m/>
    <m/>
    <m/>
    <m/>
    <s v=""/>
  </r>
  <r>
    <s v="L1_0205"/>
    <d v="2026-12-01T00:00:00"/>
    <x v="0"/>
    <s v="Wycombe Wanderers"/>
    <m/>
    <m/>
    <m/>
    <m/>
    <m/>
    <m/>
    <n v="1"/>
    <s v="Home"/>
    <m/>
    <m/>
    <m/>
    <m/>
    <s v=""/>
  </r>
  <r>
    <s v="L1_0206"/>
    <d v="2026-12-01T00:00:00"/>
    <x v="1"/>
    <s v="Luton Town"/>
    <m/>
    <m/>
    <m/>
    <m/>
    <m/>
    <m/>
    <n v="1"/>
    <s v="Home"/>
    <m/>
    <m/>
    <m/>
    <m/>
    <s v=""/>
  </r>
  <r>
    <s v="L1_0207"/>
    <d v="2026-12-01T00:00:00"/>
    <x v="2"/>
    <s v="Milton Keynes Dons"/>
    <m/>
    <m/>
    <m/>
    <m/>
    <m/>
    <m/>
    <n v="1"/>
    <s v="Home"/>
    <m/>
    <m/>
    <m/>
    <m/>
    <s v=""/>
  </r>
  <r>
    <s v="L1_0208"/>
    <d v="2026-12-01T00:00:00"/>
    <x v="3"/>
    <s v="Wigan Athletic"/>
    <m/>
    <m/>
    <m/>
    <m/>
    <m/>
    <m/>
    <n v="1"/>
    <s v="Home"/>
    <m/>
    <m/>
    <m/>
    <m/>
    <s v=""/>
  </r>
  <r>
    <s v="L1_0209"/>
    <d v="2026-12-01T00:00:00"/>
    <x v="4"/>
    <s v="Leicester City"/>
    <m/>
    <m/>
    <m/>
    <m/>
    <m/>
    <m/>
    <n v="1"/>
    <s v="Home"/>
    <m/>
    <m/>
    <m/>
    <m/>
    <s v=""/>
  </r>
  <r>
    <s v="L1_0210"/>
    <d v="2026-12-01T00:00:00"/>
    <x v="5"/>
    <s v="Stevenage"/>
    <m/>
    <m/>
    <m/>
    <m/>
    <m/>
    <m/>
    <n v="1"/>
    <s v="Home"/>
    <m/>
    <m/>
    <m/>
    <m/>
    <s v=""/>
  </r>
  <r>
    <s v="L1_0211"/>
    <d v="2026-12-01T00:00:00"/>
    <x v="6"/>
    <s v="Peterborough United"/>
    <m/>
    <m/>
    <m/>
    <m/>
    <m/>
    <m/>
    <n v="1"/>
    <s v="Home"/>
    <m/>
    <m/>
    <m/>
    <m/>
    <s v=""/>
  </r>
  <r>
    <s v="L1_0212"/>
    <d v="2026-12-01T00:00:00"/>
    <x v="7"/>
    <s v="Stockport County"/>
    <m/>
    <m/>
    <m/>
    <m/>
    <m/>
    <m/>
    <n v="1"/>
    <s v="Home"/>
    <m/>
    <m/>
    <m/>
    <m/>
    <s v=""/>
  </r>
  <r>
    <s v="L1_0213"/>
    <d v="2026-12-01T00:00:00"/>
    <x v="8"/>
    <s v="AFC Wimbledon"/>
    <m/>
    <m/>
    <m/>
    <m/>
    <m/>
    <m/>
    <n v="1"/>
    <s v="Home"/>
    <m/>
    <m/>
    <m/>
    <m/>
    <s v=""/>
  </r>
  <r>
    <s v="L1_0214"/>
    <d v="2026-12-01T00:00:00"/>
    <x v="9"/>
    <s v="Sheffield Wednesday"/>
    <m/>
    <m/>
    <m/>
    <m/>
    <m/>
    <m/>
    <n v="1"/>
    <s v="Home"/>
    <m/>
    <m/>
    <m/>
    <m/>
    <s v=""/>
  </r>
  <r>
    <s v="L1_0215"/>
    <d v="2026-12-01T00:00:00"/>
    <x v="10"/>
    <s v="Bromley"/>
    <m/>
    <m/>
    <m/>
    <m/>
    <m/>
    <m/>
    <n v="1"/>
    <s v="Home"/>
    <m/>
    <m/>
    <m/>
    <m/>
    <s v=""/>
  </r>
  <r>
    <s v="L1_0216"/>
    <d v="2026-12-01T00:00:00"/>
    <x v="11"/>
    <s v="Doncaster Rovers"/>
    <m/>
    <m/>
    <m/>
    <m/>
    <m/>
    <m/>
    <n v="1"/>
    <s v="Home"/>
    <m/>
    <m/>
    <m/>
    <m/>
    <s v=""/>
  </r>
  <r>
    <s v="L1_0217"/>
    <d v="2026-12-10T00:00:00"/>
    <x v="16"/>
    <s v="Sheffield Wednesday"/>
    <m/>
    <m/>
    <m/>
    <m/>
    <m/>
    <m/>
    <n v="1"/>
    <s v="Home"/>
    <m/>
    <m/>
    <m/>
    <m/>
    <s v=""/>
  </r>
  <r>
    <s v="L1_0218"/>
    <d v="2026-12-12T00:00:00"/>
    <x v="2"/>
    <s v="AFC Wimbledon"/>
    <m/>
    <m/>
    <m/>
    <m/>
    <m/>
    <m/>
    <n v="1"/>
    <s v="Home"/>
    <m/>
    <m/>
    <m/>
    <m/>
    <s v=""/>
  </r>
  <r>
    <s v="L1_0219"/>
    <d v="2026-12-12T00:00:00"/>
    <x v="3"/>
    <s v="Reading"/>
    <m/>
    <m/>
    <m/>
    <m/>
    <m/>
    <m/>
    <n v="1"/>
    <s v="Home"/>
    <m/>
    <m/>
    <m/>
    <m/>
    <s v=""/>
  </r>
  <r>
    <s v="L1_0220"/>
    <d v="2026-12-12T00:00:00"/>
    <x v="15"/>
    <s v="Bromley"/>
    <m/>
    <m/>
    <m/>
    <m/>
    <m/>
    <m/>
    <n v="1"/>
    <s v="Home"/>
    <m/>
    <m/>
    <m/>
    <m/>
    <s v=""/>
  </r>
  <r>
    <s v="L1_0221"/>
    <d v="2026-12-12T00:00:00"/>
    <x v="5"/>
    <s v="Leyton Orient"/>
    <m/>
    <m/>
    <m/>
    <m/>
    <m/>
    <m/>
    <n v="1"/>
    <s v="Home"/>
    <m/>
    <m/>
    <m/>
    <m/>
    <s v=""/>
  </r>
  <r>
    <s v="L1_0222"/>
    <d v="2026-12-12T00:00:00"/>
    <x v="17"/>
    <s v="Wigan Athletic"/>
    <m/>
    <m/>
    <m/>
    <m/>
    <m/>
    <m/>
    <n v="1"/>
    <s v="Home"/>
    <m/>
    <m/>
    <m/>
    <m/>
    <s v=""/>
  </r>
  <r>
    <s v="L1_0223"/>
    <d v="2026-12-12T00:00:00"/>
    <x v="7"/>
    <s v="Wycombe Wanderers"/>
    <m/>
    <m/>
    <m/>
    <m/>
    <m/>
    <m/>
    <n v="1"/>
    <s v="Home"/>
    <m/>
    <m/>
    <m/>
    <m/>
    <s v=""/>
  </r>
  <r>
    <s v="L1_0224"/>
    <d v="2026-12-12T00:00:00"/>
    <x v="18"/>
    <s v="Cambridge United"/>
    <m/>
    <m/>
    <m/>
    <m/>
    <m/>
    <m/>
    <n v="1"/>
    <s v="Home"/>
    <m/>
    <m/>
    <m/>
    <m/>
    <s v=""/>
  </r>
  <r>
    <s v="L1_0225"/>
    <d v="2026-12-12T00:00:00"/>
    <x v="8"/>
    <s v="Plymouth Argyle"/>
    <m/>
    <m/>
    <m/>
    <m/>
    <m/>
    <m/>
    <n v="1"/>
    <s v="Home"/>
    <m/>
    <m/>
    <m/>
    <m/>
    <s v=""/>
  </r>
  <r>
    <s v="L1_0226"/>
    <d v="2026-12-12T00:00:00"/>
    <x v="9"/>
    <s v="Blackpool"/>
    <m/>
    <m/>
    <m/>
    <m/>
    <m/>
    <m/>
    <n v="1"/>
    <s v="Home"/>
    <m/>
    <m/>
    <m/>
    <m/>
    <s v=""/>
  </r>
  <r>
    <s v="L1_0227"/>
    <d v="2026-12-12T00:00:00"/>
    <x v="19"/>
    <s v="Barnsley"/>
    <m/>
    <m/>
    <m/>
    <m/>
    <m/>
    <m/>
    <n v="1"/>
    <s v="Home"/>
    <m/>
    <m/>
    <m/>
    <m/>
    <s v=""/>
  </r>
  <r>
    <s v="L1_0228"/>
    <d v="2026-12-12T00:00:00"/>
    <x v="20"/>
    <s v="Stockport County"/>
    <m/>
    <m/>
    <m/>
    <m/>
    <m/>
    <m/>
    <n v="1"/>
    <s v="Home"/>
    <m/>
    <m/>
    <m/>
    <m/>
    <s v=""/>
  </r>
  <r>
    <s v="L1_0229"/>
    <d v="2026-12-18T00:00:00"/>
    <x v="4"/>
    <s v="Stevenage"/>
    <m/>
    <m/>
    <m/>
    <m/>
    <m/>
    <m/>
    <n v="1"/>
    <s v="Home"/>
    <m/>
    <m/>
    <m/>
    <m/>
    <s v=""/>
  </r>
  <r>
    <s v="L1_0230"/>
    <d v="2026-12-19T00:00:00"/>
    <x v="13"/>
    <s v="Oxford United"/>
    <m/>
    <m/>
    <m/>
    <m/>
    <m/>
    <m/>
    <n v="1"/>
    <s v="Home"/>
    <m/>
    <m/>
    <m/>
    <m/>
    <s v=""/>
  </r>
  <r>
    <s v="L1_0231"/>
    <d v="2026-12-19T00:00:00"/>
    <x v="0"/>
    <s v="Huddersfield Town"/>
    <m/>
    <m/>
    <m/>
    <m/>
    <m/>
    <m/>
    <n v="1"/>
    <s v="Home"/>
    <m/>
    <m/>
    <m/>
    <m/>
    <s v=""/>
  </r>
  <r>
    <s v="L1_0232"/>
    <d v="2026-12-19T00:00:00"/>
    <x v="1"/>
    <s v="Burton Albion"/>
    <m/>
    <m/>
    <m/>
    <m/>
    <m/>
    <m/>
    <n v="1"/>
    <s v="Home"/>
    <m/>
    <m/>
    <m/>
    <m/>
    <s v=""/>
  </r>
  <r>
    <s v="L1_0233"/>
    <d v="2026-12-19T00:00:00"/>
    <x v="14"/>
    <s v="Bradford City"/>
    <m/>
    <m/>
    <m/>
    <m/>
    <m/>
    <m/>
    <n v="1"/>
    <s v="Home"/>
    <m/>
    <m/>
    <m/>
    <m/>
    <s v=""/>
  </r>
  <r>
    <s v="L1_0234"/>
    <d v="2026-12-19T00:00:00"/>
    <x v="6"/>
    <s v="Notts County"/>
    <m/>
    <m/>
    <m/>
    <m/>
    <m/>
    <m/>
    <n v="1"/>
    <s v="Home"/>
    <m/>
    <m/>
    <m/>
    <m/>
    <s v=""/>
  </r>
  <r>
    <s v="L1_0235"/>
    <d v="2026-12-19T00:00:00"/>
    <x v="10"/>
    <s v="Mansfield Town"/>
    <m/>
    <m/>
    <m/>
    <m/>
    <m/>
    <m/>
    <n v="1"/>
    <s v="Home"/>
    <m/>
    <m/>
    <m/>
    <m/>
    <s v=""/>
  </r>
  <r>
    <s v="L1_0236"/>
    <d v="2026-12-19T00:00:00"/>
    <x v="11"/>
    <s v="Leicester City"/>
    <m/>
    <m/>
    <m/>
    <m/>
    <m/>
    <m/>
    <n v="1"/>
    <s v="Home"/>
    <m/>
    <m/>
    <m/>
    <m/>
    <s v=""/>
  </r>
  <r>
    <s v="L1_0237"/>
    <d v="2026-12-19T00:00:00"/>
    <x v="12"/>
    <s v="Luton Town"/>
    <m/>
    <m/>
    <m/>
    <m/>
    <m/>
    <m/>
    <n v="1"/>
    <s v="Home"/>
    <m/>
    <m/>
    <m/>
    <m/>
    <s v=""/>
  </r>
  <r>
    <s v="L1_0238"/>
    <d v="2026-12-19T00:00:00"/>
    <x v="21"/>
    <s v="Milton Keynes Dons"/>
    <m/>
    <m/>
    <m/>
    <m/>
    <m/>
    <m/>
    <n v="1"/>
    <s v="Home"/>
    <m/>
    <m/>
    <m/>
    <m/>
    <s v=""/>
  </r>
  <r>
    <s v="L1_0239"/>
    <d v="2026-12-19T00:00:00"/>
    <x v="22"/>
    <s v="Peterborough United"/>
    <m/>
    <m/>
    <m/>
    <m/>
    <m/>
    <m/>
    <n v="1"/>
    <s v="Home"/>
    <m/>
    <m/>
    <m/>
    <m/>
    <s v=""/>
  </r>
  <r>
    <s v="L1_0240"/>
    <d v="2026-12-19T00:00:00"/>
    <x v="23"/>
    <s v="Doncaster Rovers"/>
    <m/>
    <m/>
    <m/>
    <m/>
    <m/>
    <m/>
    <n v="1"/>
    <s v="Home"/>
    <m/>
    <m/>
    <m/>
    <m/>
    <s v=""/>
  </r>
  <r>
    <s v="L1_0241"/>
    <d v="2026-12-26T00:00:00"/>
    <x v="2"/>
    <s v="Stockport County"/>
    <m/>
    <m/>
    <m/>
    <m/>
    <m/>
    <m/>
    <n v="1"/>
    <s v="Home"/>
    <m/>
    <m/>
    <m/>
    <m/>
    <s v=""/>
  </r>
  <r>
    <s v="L1_0242"/>
    <d v="2026-12-26T00:00:00"/>
    <x v="3"/>
    <s v="Sheffield Wednesday"/>
    <m/>
    <m/>
    <m/>
    <m/>
    <m/>
    <m/>
    <n v="1"/>
    <s v="Home"/>
    <m/>
    <m/>
    <m/>
    <m/>
    <s v=""/>
  </r>
  <r>
    <s v="L1_0243"/>
    <d v="2026-12-26T00:00:00"/>
    <x v="15"/>
    <s v="Wigan Athletic"/>
    <m/>
    <m/>
    <m/>
    <m/>
    <m/>
    <m/>
    <n v="1"/>
    <s v="Home"/>
    <m/>
    <m/>
    <m/>
    <m/>
    <s v=""/>
  </r>
  <r>
    <s v="L1_0244"/>
    <d v="2026-12-26T00:00:00"/>
    <x v="5"/>
    <s v="Blackpool"/>
    <m/>
    <m/>
    <m/>
    <m/>
    <m/>
    <m/>
    <n v="1"/>
    <s v="Home"/>
    <m/>
    <m/>
    <m/>
    <m/>
    <s v=""/>
  </r>
  <r>
    <s v="L1_0245"/>
    <d v="2026-12-26T00:00:00"/>
    <x v="16"/>
    <s v="AFC Wimbledon"/>
    <m/>
    <m/>
    <m/>
    <m/>
    <m/>
    <m/>
    <n v="1"/>
    <s v="Home"/>
    <m/>
    <m/>
    <m/>
    <m/>
    <s v=""/>
  </r>
  <r>
    <s v="L1_0246"/>
    <d v="2026-12-26T00:00:00"/>
    <x v="17"/>
    <s v="Bromley"/>
    <m/>
    <m/>
    <m/>
    <m/>
    <m/>
    <m/>
    <n v="1"/>
    <s v="Home"/>
    <m/>
    <m/>
    <m/>
    <m/>
    <s v=""/>
  </r>
  <r>
    <s v="L1_0247"/>
    <d v="2026-12-26T00:00:00"/>
    <x v="7"/>
    <s v="Barnsley"/>
    <m/>
    <m/>
    <m/>
    <m/>
    <m/>
    <m/>
    <n v="1"/>
    <s v="Home"/>
    <m/>
    <m/>
    <m/>
    <m/>
    <s v=""/>
  </r>
  <r>
    <s v="L1_0248"/>
    <d v="2026-12-26T00:00:00"/>
    <x v="18"/>
    <s v="Leyton Orient"/>
    <m/>
    <m/>
    <m/>
    <m/>
    <m/>
    <m/>
    <n v="1"/>
    <s v="Home"/>
    <m/>
    <m/>
    <m/>
    <m/>
    <s v=""/>
  </r>
  <r>
    <s v="L1_0249"/>
    <d v="2026-12-26T00:00:00"/>
    <x v="8"/>
    <s v="Cambridge United"/>
    <m/>
    <m/>
    <m/>
    <m/>
    <m/>
    <m/>
    <n v="1"/>
    <s v="Home"/>
    <m/>
    <m/>
    <m/>
    <m/>
    <s v=""/>
  </r>
  <r>
    <s v="L1_0250"/>
    <d v="2026-12-26T00:00:00"/>
    <x v="9"/>
    <s v="Plymouth Argyle"/>
    <m/>
    <m/>
    <m/>
    <m/>
    <m/>
    <m/>
    <n v="1"/>
    <s v="Home"/>
    <m/>
    <m/>
    <m/>
    <m/>
    <s v=""/>
  </r>
  <r>
    <s v="L1_0251"/>
    <d v="2026-12-26T00:00:00"/>
    <x v="19"/>
    <s v="Wycombe Wanderers"/>
    <m/>
    <m/>
    <m/>
    <m/>
    <m/>
    <m/>
    <n v="1"/>
    <s v="Home"/>
    <m/>
    <m/>
    <m/>
    <m/>
    <s v=""/>
  </r>
  <r>
    <s v="L1_0252"/>
    <d v="2026-12-26T00:00:00"/>
    <x v="20"/>
    <s v="Reading"/>
    <m/>
    <m/>
    <m/>
    <m/>
    <m/>
    <m/>
    <n v="1"/>
    <s v="Home"/>
    <m/>
    <m/>
    <m/>
    <m/>
    <s v=""/>
  </r>
  <r>
    <s v="L1_0253"/>
    <d v="2026-12-29T00:00:00"/>
    <x v="13"/>
    <s v="Luton Town"/>
    <m/>
    <m/>
    <m/>
    <m/>
    <m/>
    <m/>
    <n v="1"/>
    <s v="Home"/>
    <m/>
    <m/>
    <m/>
    <m/>
    <s v=""/>
  </r>
  <r>
    <s v="L1_0254"/>
    <d v="2026-12-29T00:00:00"/>
    <x v="0"/>
    <s v="Burton Albion"/>
    <m/>
    <m/>
    <m/>
    <m/>
    <m/>
    <m/>
    <n v="1"/>
    <s v="Home"/>
    <m/>
    <m/>
    <m/>
    <m/>
    <s v=""/>
  </r>
  <r>
    <s v="L1_0255"/>
    <d v="2026-12-29T00:00:00"/>
    <x v="1"/>
    <s v="Bradford City"/>
    <m/>
    <m/>
    <m/>
    <m/>
    <m/>
    <m/>
    <n v="1"/>
    <s v="Home"/>
    <m/>
    <m/>
    <m/>
    <m/>
    <s v=""/>
  </r>
  <r>
    <s v="L1_0256"/>
    <d v="2026-12-29T00:00:00"/>
    <x v="14"/>
    <s v="Oxford United"/>
    <m/>
    <m/>
    <m/>
    <m/>
    <m/>
    <m/>
    <n v="1"/>
    <s v="Home"/>
    <m/>
    <m/>
    <m/>
    <m/>
    <s v=""/>
  </r>
  <r>
    <s v="L1_0257"/>
    <d v="2026-12-29T00:00:00"/>
    <x v="4"/>
    <s v="Doncaster Rovers"/>
    <m/>
    <m/>
    <m/>
    <m/>
    <m/>
    <m/>
    <n v="1"/>
    <s v="Home"/>
    <m/>
    <m/>
    <m/>
    <m/>
    <s v=""/>
  </r>
  <r>
    <s v="L1_0258"/>
    <d v="2026-12-29T00:00:00"/>
    <x v="6"/>
    <s v="Leicester City"/>
    <m/>
    <m/>
    <m/>
    <m/>
    <m/>
    <m/>
    <n v="1"/>
    <s v="Home"/>
    <m/>
    <m/>
    <m/>
    <m/>
    <s v=""/>
  </r>
  <r>
    <s v="L1_0259"/>
    <d v="2026-12-29T00:00:00"/>
    <x v="10"/>
    <s v="Milton Keynes Dons"/>
    <m/>
    <m/>
    <m/>
    <m/>
    <m/>
    <m/>
    <n v="1"/>
    <s v="Home"/>
    <m/>
    <m/>
    <m/>
    <m/>
    <s v=""/>
  </r>
  <r>
    <s v="L1_0260"/>
    <d v="2026-12-29T00:00:00"/>
    <x v="11"/>
    <s v="Peterborough United"/>
    <m/>
    <m/>
    <m/>
    <m/>
    <m/>
    <m/>
    <n v="1"/>
    <s v="Home"/>
    <m/>
    <m/>
    <m/>
    <m/>
    <s v=""/>
  </r>
  <r>
    <s v="L1_0261"/>
    <d v="2026-12-29T00:00:00"/>
    <x v="12"/>
    <s v="Mansfield Town"/>
    <m/>
    <m/>
    <m/>
    <m/>
    <m/>
    <m/>
    <n v="1"/>
    <s v="Home"/>
    <m/>
    <m/>
    <m/>
    <m/>
    <s v=""/>
  </r>
  <r>
    <s v="L1_0262"/>
    <d v="2026-12-29T00:00:00"/>
    <x v="21"/>
    <s v="Huddersfield Town"/>
    <m/>
    <m/>
    <m/>
    <m/>
    <m/>
    <m/>
    <n v="1"/>
    <s v="Home"/>
    <m/>
    <m/>
    <m/>
    <m/>
    <s v=""/>
  </r>
  <r>
    <s v="L1_0263"/>
    <d v="2026-12-29T00:00:00"/>
    <x v="22"/>
    <s v="Notts County"/>
    <m/>
    <m/>
    <m/>
    <m/>
    <m/>
    <m/>
    <n v="1"/>
    <s v="Home"/>
    <m/>
    <m/>
    <m/>
    <m/>
    <s v=""/>
  </r>
  <r>
    <s v="L1_0264"/>
    <d v="2026-12-29T00:00:00"/>
    <x v="23"/>
    <s v="Stevenage"/>
    <m/>
    <m/>
    <m/>
    <m/>
    <m/>
    <m/>
    <n v="1"/>
    <s v="Home"/>
    <m/>
    <m/>
    <m/>
    <m/>
    <s v=""/>
  </r>
  <r>
    <s v="L1_0265"/>
    <d v="2027-01-01T00:00:00"/>
    <x v="13"/>
    <s v="Peterborough United"/>
    <m/>
    <m/>
    <m/>
    <m/>
    <m/>
    <m/>
    <n v="1"/>
    <s v="Home"/>
    <m/>
    <m/>
    <m/>
    <m/>
    <s v=""/>
  </r>
  <r>
    <s v="L1_0266"/>
    <d v="2027-01-01T00:00:00"/>
    <x v="0"/>
    <s v="Notts County"/>
    <m/>
    <m/>
    <m/>
    <m/>
    <m/>
    <m/>
    <n v="1"/>
    <s v="Home"/>
    <m/>
    <m/>
    <m/>
    <m/>
    <s v=""/>
  </r>
  <r>
    <s v="L1_0267"/>
    <d v="2027-01-01T00:00:00"/>
    <x v="1"/>
    <s v="Doncaster Rovers"/>
    <m/>
    <m/>
    <m/>
    <m/>
    <m/>
    <m/>
    <n v="1"/>
    <s v="Home"/>
    <m/>
    <m/>
    <m/>
    <m/>
    <s v=""/>
  </r>
  <r>
    <s v="L1_0268"/>
    <d v="2027-01-01T00:00:00"/>
    <x v="14"/>
    <s v="Stevenage"/>
    <m/>
    <m/>
    <m/>
    <m/>
    <m/>
    <m/>
    <n v="1"/>
    <s v="Home"/>
    <m/>
    <m/>
    <m/>
    <m/>
    <s v=""/>
  </r>
  <r>
    <s v="L1_0269"/>
    <d v="2027-01-01T00:00:00"/>
    <x v="6"/>
    <s v="Oxford United"/>
    <m/>
    <m/>
    <m/>
    <m/>
    <m/>
    <m/>
    <n v="1"/>
    <s v="Home"/>
    <m/>
    <m/>
    <m/>
    <m/>
    <s v=""/>
  </r>
  <r>
    <s v="L1_0270"/>
    <d v="2027-01-01T00:00:00"/>
    <x v="11"/>
    <s v="Milton Keynes Dons"/>
    <m/>
    <m/>
    <m/>
    <m/>
    <m/>
    <m/>
    <n v="1"/>
    <s v="Home"/>
    <m/>
    <m/>
    <m/>
    <m/>
    <s v=""/>
  </r>
  <r>
    <s v="L1_0271"/>
    <d v="2027-01-01T00:00:00"/>
    <x v="12"/>
    <s v="Huddersfield Town"/>
    <m/>
    <m/>
    <m/>
    <m/>
    <m/>
    <m/>
    <n v="1"/>
    <s v="Home"/>
    <m/>
    <m/>
    <m/>
    <m/>
    <s v=""/>
  </r>
  <r>
    <s v="L1_0272"/>
    <d v="2027-01-01T00:00:00"/>
    <x v="22"/>
    <s v="Bradford City"/>
    <m/>
    <m/>
    <m/>
    <m/>
    <m/>
    <m/>
    <n v="1"/>
    <s v="Home"/>
    <m/>
    <m/>
    <m/>
    <m/>
    <s v=""/>
  </r>
  <r>
    <s v="L1_0273"/>
    <d v="2027-01-01T00:00:00"/>
    <x v="23"/>
    <s v="Leicester City"/>
    <m/>
    <m/>
    <m/>
    <m/>
    <m/>
    <m/>
    <n v="1"/>
    <s v="Home"/>
    <m/>
    <m/>
    <m/>
    <m/>
    <s v=""/>
  </r>
  <r>
    <s v="L1_0274"/>
    <d v="2027-01-02T00:00:00"/>
    <x v="4"/>
    <s v="Mansfield Town"/>
    <m/>
    <m/>
    <m/>
    <m/>
    <m/>
    <m/>
    <n v="1"/>
    <s v="Home"/>
    <m/>
    <m/>
    <m/>
    <m/>
    <s v=""/>
  </r>
  <r>
    <s v="L1_0275"/>
    <d v="2027-01-02T00:00:00"/>
    <x v="10"/>
    <s v="Luton Town"/>
    <m/>
    <m/>
    <m/>
    <m/>
    <m/>
    <m/>
    <n v="1"/>
    <s v="Home"/>
    <m/>
    <m/>
    <m/>
    <m/>
    <s v=""/>
  </r>
  <r>
    <s v="L1_0276"/>
    <d v="2027-01-02T00:00:00"/>
    <x v="21"/>
    <s v="Burton Albion"/>
    <m/>
    <m/>
    <m/>
    <m/>
    <m/>
    <m/>
    <n v="1"/>
    <s v="Home"/>
    <m/>
    <m/>
    <m/>
    <m/>
    <s v=""/>
  </r>
  <r>
    <s v="L1_0277"/>
    <d v="2027-01-08T00:00:00"/>
    <x v="3"/>
    <s v="Blackpool"/>
    <m/>
    <m/>
    <m/>
    <m/>
    <m/>
    <m/>
    <n v="1"/>
    <s v="Home"/>
    <m/>
    <m/>
    <m/>
    <m/>
    <s v=""/>
  </r>
  <r>
    <s v="L1_0278"/>
    <d v="2027-01-09T00:00:00"/>
    <x v="2"/>
    <s v="Bromley"/>
    <m/>
    <m/>
    <m/>
    <m/>
    <m/>
    <m/>
    <n v="1"/>
    <s v="Home"/>
    <m/>
    <m/>
    <m/>
    <m/>
    <s v=""/>
  </r>
  <r>
    <s v="L1_0279"/>
    <d v="2027-01-09T00:00:00"/>
    <x v="15"/>
    <s v="Wycombe Wanderers"/>
    <m/>
    <m/>
    <m/>
    <m/>
    <m/>
    <m/>
    <n v="1"/>
    <s v="Home"/>
    <m/>
    <m/>
    <m/>
    <m/>
    <s v=""/>
  </r>
  <r>
    <s v="L1_0280"/>
    <d v="2027-01-09T00:00:00"/>
    <x v="5"/>
    <s v="Barnsley"/>
    <m/>
    <m/>
    <m/>
    <m/>
    <m/>
    <m/>
    <n v="1"/>
    <s v="Home"/>
    <m/>
    <m/>
    <m/>
    <m/>
    <s v=""/>
  </r>
  <r>
    <s v="L1_0281"/>
    <d v="2027-01-09T00:00:00"/>
    <x v="16"/>
    <s v="Reading"/>
    <m/>
    <m/>
    <m/>
    <m/>
    <m/>
    <m/>
    <n v="1"/>
    <s v="Home"/>
    <m/>
    <m/>
    <m/>
    <m/>
    <s v=""/>
  </r>
  <r>
    <s v="L1_0282"/>
    <d v="2027-01-09T00:00:00"/>
    <x v="17"/>
    <s v="Sheffield Wednesday"/>
    <m/>
    <m/>
    <m/>
    <m/>
    <m/>
    <m/>
    <n v="1"/>
    <s v="Home"/>
    <m/>
    <m/>
    <m/>
    <m/>
    <s v=""/>
  </r>
  <r>
    <s v="L1_0283"/>
    <d v="2027-01-09T00:00:00"/>
    <x v="7"/>
    <s v="Plymouth Argyle"/>
    <m/>
    <m/>
    <m/>
    <m/>
    <m/>
    <m/>
    <n v="1"/>
    <s v="Home"/>
    <m/>
    <m/>
    <m/>
    <m/>
    <s v=""/>
  </r>
  <r>
    <s v="L1_0284"/>
    <d v="2027-01-09T00:00:00"/>
    <x v="18"/>
    <s v="Stockport County"/>
    <m/>
    <m/>
    <m/>
    <m/>
    <m/>
    <m/>
    <n v="1"/>
    <s v="Home"/>
    <m/>
    <m/>
    <m/>
    <m/>
    <s v=""/>
  </r>
  <r>
    <s v="L1_0285"/>
    <d v="2027-01-09T00:00:00"/>
    <x v="8"/>
    <s v="Leyton Orient"/>
    <m/>
    <m/>
    <m/>
    <m/>
    <m/>
    <m/>
    <n v="1"/>
    <s v="Home"/>
    <m/>
    <m/>
    <m/>
    <m/>
    <s v=""/>
  </r>
  <r>
    <s v="L1_0286"/>
    <d v="2027-01-09T00:00:00"/>
    <x v="9"/>
    <s v="AFC Wimbledon"/>
    <m/>
    <m/>
    <m/>
    <m/>
    <m/>
    <m/>
    <n v="1"/>
    <s v="Home"/>
    <m/>
    <m/>
    <m/>
    <m/>
    <s v=""/>
  </r>
  <r>
    <s v="L1_0287"/>
    <d v="2027-01-09T00:00:00"/>
    <x v="19"/>
    <s v="Wigan Athletic"/>
    <m/>
    <m/>
    <m/>
    <m/>
    <m/>
    <m/>
    <n v="1"/>
    <s v="Home"/>
    <m/>
    <m/>
    <m/>
    <m/>
    <s v=""/>
  </r>
  <r>
    <s v="L1_0288"/>
    <d v="2027-01-09T00:00:00"/>
    <x v="20"/>
    <s v="Cambridge United"/>
    <m/>
    <m/>
    <m/>
    <m/>
    <m/>
    <m/>
    <n v="1"/>
    <s v="Home"/>
    <m/>
    <m/>
    <m/>
    <m/>
    <s v=""/>
  </r>
  <r>
    <s v="L1_0289"/>
    <d v="2027-01-16T00:00:00"/>
    <x v="13"/>
    <s v="Sheffield Wednesday"/>
    <m/>
    <m/>
    <m/>
    <m/>
    <m/>
    <m/>
    <n v="1"/>
    <s v="Home"/>
    <m/>
    <m/>
    <m/>
    <m/>
    <s v=""/>
  </r>
  <r>
    <s v="L1_0290"/>
    <d v="2027-01-16T00:00:00"/>
    <x v="1"/>
    <s v="Leyton Orient"/>
    <m/>
    <m/>
    <m/>
    <m/>
    <m/>
    <m/>
    <n v="1"/>
    <s v="Home"/>
    <m/>
    <m/>
    <m/>
    <m/>
    <s v=""/>
  </r>
  <r>
    <s v="L1_0291"/>
    <d v="2027-01-16T00:00:00"/>
    <x v="14"/>
    <s v="Stockport County"/>
    <m/>
    <m/>
    <m/>
    <m/>
    <m/>
    <m/>
    <n v="1"/>
    <s v="Home"/>
    <m/>
    <m/>
    <m/>
    <m/>
    <s v=""/>
  </r>
  <r>
    <s v="L1_0292"/>
    <d v="2027-01-16T00:00:00"/>
    <x v="3"/>
    <s v="Peterborough United"/>
    <m/>
    <m/>
    <m/>
    <m/>
    <m/>
    <m/>
    <n v="1"/>
    <s v="Home"/>
    <m/>
    <m/>
    <m/>
    <m/>
    <s v=""/>
  </r>
  <r>
    <s v="L1_0293"/>
    <d v="2027-01-16T00:00:00"/>
    <x v="4"/>
    <s v="Barnsley"/>
    <m/>
    <m/>
    <m/>
    <m/>
    <m/>
    <m/>
    <n v="1"/>
    <s v="Home"/>
    <m/>
    <m/>
    <m/>
    <m/>
    <s v=""/>
  </r>
  <r>
    <s v="L1_0294"/>
    <d v="2027-01-16T00:00:00"/>
    <x v="15"/>
    <s v="Leicester City"/>
    <m/>
    <m/>
    <m/>
    <m/>
    <m/>
    <m/>
    <n v="1"/>
    <s v="Home"/>
    <m/>
    <m/>
    <m/>
    <m/>
    <s v=""/>
  </r>
  <r>
    <s v="L1_0295"/>
    <d v="2027-01-16T00:00:00"/>
    <x v="5"/>
    <s v="Plymouth Argyle"/>
    <m/>
    <m/>
    <m/>
    <m/>
    <m/>
    <m/>
    <n v="1"/>
    <s v="Home"/>
    <m/>
    <m/>
    <m/>
    <m/>
    <s v=""/>
  </r>
  <r>
    <s v="L1_0296"/>
    <d v="2027-01-16T00:00:00"/>
    <x v="17"/>
    <s v="Milton Keynes Dons"/>
    <m/>
    <m/>
    <m/>
    <m/>
    <m/>
    <m/>
    <n v="1"/>
    <s v="Home"/>
    <m/>
    <m/>
    <m/>
    <m/>
    <s v=""/>
  </r>
  <r>
    <s v="L1_0297"/>
    <d v="2027-01-16T00:00:00"/>
    <x v="8"/>
    <s v="Wycombe Wanderers"/>
    <m/>
    <m/>
    <m/>
    <m/>
    <m/>
    <m/>
    <n v="1"/>
    <s v="Home"/>
    <m/>
    <m/>
    <m/>
    <m/>
    <s v=""/>
  </r>
  <r>
    <s v="L1_0298"/>
    <d v="2027-01-16T00:00:00"/>
    <x v="9"/>
    <s v="Mansfield Town"/>
    <m/>
    <m/>
    <m/>
    <m/>
    <m/>
    <m/>
    <n v="1"/>
    <s v="Home"/>
    <m/>
    <m/>
    <m/>
    <m/>
    <s v=""/>
  </r>
  <r>
    <s v="L1_0299"/>
    <d v="2027-01-16T00:00:00"/>
    <x v="11"/>
    <s v="Wigan Athletic"/>
    <m/>
    <m/>
    <m/>
    <m/>
    <m/>
    <m/>
    <n v="1"/>
    <s v="Home"/>
    <m/>
    <m/>
    <m/>
    <m/>
    <s v=""/>
  </r>
  <r>
    <s v="L1_0300"/>
    <d v="2027-01-16T00:00:00"/>
    <x v="20"/>
    <s v="Bradford City"/>
    <m/>
    <m/>
    <m/>
    <m/>
    <m/>
    <m/>
    <n v="1"/>
    <s v="Home"/>
    <m/>
    <m/>
    <m/>
    <m/>
    <s v=""/>
  </r>
  <r>
    <s v="L1_0301"/>
    <d v="2027-01-19T00:00:00"/>
    <x v="0"/>
    <s v="Luton Town"/>
    <m/>
    <m/>
    <m/>
    <m/>
    <m/>
    <m/>
    <n v="1"/>
    <s v="Home"/>
    <m/>
    <m/>
    <m/>
    <m/>
    <s v=""/>
  </r>
  <r>
    <s v="L1_0302"/>
    <d v="2027-01-19T00:00:00"/>
    <x v="2"/>
    <s v="Burton Albion"/>
    <m/>
    <m/>
    <m/>
    <m/>
    <m/>
    <m/>
    <n v="1"/>
    <s v="Home"/>
    <m/>
    <m/>
    <m/>
    <m/>
    <s v=""/>
  </r>
  <r>
    <s v="L1_0303"/>
    <d v="2027-01-19T00:00:00"/>
    <x v="16"/>
    <s v="Bromley"/>
    <m/>
    <m/>
    <m/>
    <m/>
    <m/>
    <m/>
    <n v="1"/>
    <s v="Home"/>
    <m/>
    <m/>
    <m/>
    <m/>
    <s v=""/>
  </r>
  <r>
    <s v="L1_0304"/>
    <d v="2027-01-19T00:00:00"/>
    <x v="6"/>
    <s v="Reading"/>
    <m/>
    <m/>
    <m/>
    <m/>
    <m/>
    <m/>
    <n v="1"/>
    <s v="Home"/>
    <m/>
    <m/>
    <m/>
    <m/>
    <s v=""/>
  </r>
  <r>
    <s v="L1_0305"/>
    <d v="2027-01-19T00:00:00"/>
    <x v="7"/>
    <s v="AFC Wimbledon"/>
    <m/>
    <m/>
    <m/>
    <m/>
    <m/>
    <m/>
    <n v="1"/>
    <s v="Home"/>
    <m/>
    <m/>
    <m/>
    <m/>
    <s v=""/>
  </r>
  <r>
    <s v="L1_0306"/>
    <d v="2027-01-19T00:00:00"/>
    <x v="18"/>
    <s v="Blackpool"/>
    <m/>
    <m/>
    <m/>
    <m/>
    <m/>
    <m/>
    <n v="1"/>
    <s v="Home"/>
    <m/>
    <m/>
    <m/>
    <m/>
    <s v=""/>
  </r>
  <r>
    <s v="L1_0307"/>
    <d v="2027-01-19T00:00:00"/>
    <x v="19"/>
    <s v="Huddersfield Town"/>
    <m/>
    <m/>
    <m/>
    <m/>
    <m/>
    <m/>
    <n v="1"/>
    <s v="Home"/>
    <m/>
    <m/>
    <m/>
    <m/>
    <s v=""/>
  </r>
  <r>
    <s v="L1_0308"/>
    <d v="2027-01-19T00:00:00"/>
    <x v="10"/>
    <s v="Stevenage"/>
    <m/>
    <m/>
    <m/>
    <m/>
    <m/>
    <m/>
    <n v="1"/>
    <s v="Home"/>
    <m/>
    <m/>
    <m/>
    <m/>
    <s v=""/>
  </r>
  <r>
    <s v="L1_0309"/>
    <d v="2027-01-19T00:00:00"/>
    <x v="12"/>
    <s v="Notts County"/>
    <m/>
    <m/>
    <m/>
    <m/>
    <m/>
    <m/>
    <n v="1"/>
    <s v="Home"/>
    <m/>
    <m/>
    <m/>
    <m/>
    <s v=""/>
  </r>
  <r>
    <s v="L1_0310"/>
    <d v="2027-01-19T00:00:00"/>
    <x v="21"/>
    <s v="Doncaster Rovers"/>
    <m/>
    <m/>
    <m/>
    <m/>
    <m/>
    <m/>
    <n v="1"/>
    <s v="Home"/>
    <m/>
    <m/>
    <m/>
    <m/>
    <s v=""/>
  </r>
  <r>
    <s v="L1_0311"/>
    <d v="2027-01-19T00:00:00"/>
    <x v="22"/>
    <s v="Oxford United"/>
    <m/>
    <m/>
    <m/>
    <m/>
    <m/>
    <m/>
    <n v="1"/>
    <s v="Home"/>
    <m/>
    <m/>
    <m/>
    <m/>
    <s v=""/>
  </r>
  <r>
    <s v="L1_0312"/>
    <d v="2027-01-19T00:00:00"/>
    <x v="23"/>
    <s v="Cambridge United"/>
    <m/>
    <m/>
    <m/>
    <m/>
    <m/>
    <m/>
    <n v="1"/>
    <s v="Home"/>
    <m/>
    <m/>
    <m/>
    <m/>
    <s v=""/>
  </r>
  <r>
    <s v="L1_0313"/>
    <d v="2027-01-23T00:00:00"/>
    <x v="0"/>
    <s v="Reading"/>
    <m/>
    <m/>
    <m/>
    <m/>
    <m/>
    <m/>
    <n v="1"/>
    <s v="Home"/>
    <m/>
    <m/>
    <m/>
    <m/>
    <s v=""/>
  </r>
  <r>
    <s v="L1_0314"/>
    <d v="2027-01-23T00:00:00"/>
    <x v="2"/>
    <s v="Oxford United"/>
    <m/>
    <m/>
    <m/>
    <m/>
    <m/>
    <m/>
    <n v="1"/>
    <s v="Home"/>
    <m/>
    <m/>
    <m/>
    <m/>
    <s v=""/>
  </r>
  <r>
    <s v="L1_0315"/>
    <d v="2027-01-23T00:00:00"/>
    <x v="16"/>
    <s v="Luton Town"/>
    <m/>
    <m/>
    <m/>
    <m/>
    <m/>
    <m/>
    <n v="1"/>
    <s v="Home"/>
    <m/>
    <m/>
    <m/>
    <m/>
    <s v=""/>
  </r>
  <r>
    <s v="L1_0316"/>
    <d v="2027-01-23T00:00:00"/>
    <x v="6"/>
    <s v="Burton Albion"/>
    <m/>
    <m/>
    <m/>
    <m/>
    <m/>
    <m/>
    <n v="1"/>
    <s v="Home"/>
    <m/>
    <m/>
    <m/>
    <m/>
    <s v=""/>
  </r>
  <r>
    <s v="L1_0317"/>
    <d v="2027-01-23T00:00:00"/>
    <x v="7"/>
    <s v="Blackpool"/>
    <m/>
    <m/>
    <m/>
    <m/>
    <m/>
    <m/>
    <n v="1"/>
    <s v="Home"/>
    <m/>
    <m/>
    <m/>
    <m/>
    <s v=""/>
  </r>
  <r>
    <s v="L1_0318"/>
    <d v="2027-01-23T00:00:00"/>
    <x v="18"/>
    <s v="Stevenage"/>
    <m/>
    <m/>
    <m/>
    <m/>
    <m/>
    <m/>
    <n v="1"/>
    <s v="Home"/>
    <m/>
    <m/>
    <m/>
    <m/>
    <s v=""/>
  </r>
  <r>
    <s v="L1_0319"/>
    <d v="2027-01-23T00:00:00"/>
    <x v="19"/>
    <s v="Bromley"/>
    <m/>
    <m/>
    <m/>
    <m/>
    <m/>
    <m/>
    <n v="1"/>
    <s v="Home"/>
    <m/>
    <m/>
    <m/>
    <m/>
    <s v=""/>
  </r>
  <r>
    <s v="L1_0320"/>
    <d v="2027-01-23T00:00:00"/>
    <x v="10"/>
    <s v="Cambridge United"/>
    <m/>
    <m/>
    <m/>
    <m/>
    <m/>
    <m/>
    <n v="1"/>
    <s v="Home"/>
    <m/>
    <m/>
    <m/>
    <m/>
    <s v=""/>
  </r>
  <r>
    <s v="L1_0321"/>
    <d v="2027-01-23T00:00:00"/>
    <x v="12"/>
    <s v="Doncaster Rovers"/>
    <m/>
    <m/>
    <m/>
    <m/>
    <m/>
    <m/>
    <n v="1"/>
    <s v="Home"/>
    <m/>
    <m/>
    <m/>
    <m/>
    <s v=""/>
  </r>
  <r>
    <s v="L1_0322"/>
    <d v="2027-01-23T00:00:00"/>
    <x v="21"/>
    <s v="Notts County"/>
    <m/>
    <m/>
    <m/>
    <m/>
    <m/>
    <m/>
    <n v="1"/>
    <s v="Home"/>
    <m/>
    <m/>
    <m/>
    <m/>
    <s v=""/>
  </r>
  <r>
    <s v="L1_0323"/>
    <d v="2027-01-23T00:00:00"/>
    <x v="22"/>
    <s v="Huddersfield Town"/>
    <m/>
    <m/>
    <m/>
    <m/>
    <m/>
    <m/>
    <n v="1"/>
    <s v="Home"/>
    <m/>
    <m/>
    <m/>
    <m/>
    <s v=""/>
  </r>
  <r>
    <s v="L1_0324"/>
    <d v="2027-01-23T00:00:00"/>
    <x v="23"/>
    <s v="AFC Wimbledon"/>
    <m/>
    <m/>
    <m/>
    <m/>
    <m/>
    <m/>
    <n v="1"/>
    <s v="Home"/>
    <m/>
    <m/>
    <m/>
    <m/>
    <s v=""/>
  </r>
  <r>
    <s v="L1_0325"/>
    <d v="2027-01-30T00:00:00"/>
    <x v="13"/>
    <s v="Stockport County"/>
    <m/>
    <m/>
    <m/>
    <m/>
    <m/>
    <m/>
    <n v="1"/>
    <s v="Home"/>
    <m/>
    <m/>
    <m/>
    <m/>
    <s v=""/>
  </r>
  <r>
    <s v="L1_0326"/>
    <d v="2027-01-30T00:00:00"/>
    <x v="1"/>
    <s v="Sheffield Wednesday"/>
    <m/>
    <m/>
    <m/>
    <m/>
    <m/>
    <m/>
    <n v="1"/>
    <s v="Home"/>
    <m/>
    <m/>
    <m/>
    <m/>
    <s v=""/>
  </r>
  <r>
    <s v="L1_0327"/>
    <d v="2027-01-30T00:00:00"/>
    <x v="14"/>
    <s v="Wigan Athletic"/>
    <m/>
    <m/>
    <m/>
    <m/>
    <m/>
    <m/>
    <n v="1"/>
    <s v="Home"/>
    <m/>
    <m/>
    <m/>
    <m/>
    <s v=""/>
  </r>
  <r>
    <s v="L1_0328"/>
    <d v="2027-01-30T00:00:00"/>
    <x v="3"/>
    <s v="Wycombe Wanderers"/>
    <m/>
    <m/>
    <m/>
    <m/>
    <m/>
    <m/>
    <n v="1"/>
    <s v="Home"/>
    <m/>
    <m/>
    <m/>
    <m/>
    <s v=""/>
  </r>
  <r>
    <s v="L1_0329"/>
    <d v="2027-01-30T00:00:00"/>
    <x v="4"/>
    <s v="Leyton Orient"/>
    <m/>
    <m/>
    <m/>
    <m/>
    <m/>
    <m/>
    <n v="1"/>
    <s v="Home"/>
    <m/>
    <m/>
    <m/>
    <m/>
    <s v=""/>
  </r>
  <r>
    <s v="L1_0330"/>
    <d v="2027-01-30T00:00:00"/>
    <x v="15"/>
    <s v="Milton Keynes Dons"/>
    <m/>
    <m/>
    <m/>
    <m/>
    <m/>
    <m/>
    <n v="1"/>
    <s v="Home"/>
    <m/>
    <m/>
    <m/>
    <m/>
    <s v=""/>
  </r>
  <r>
    <s v="L1_0331"/>
    <d v="2027-01-30T00:00:00"/>
    <x v="5"/>
    <s v="Bradford City"/>
    <m/>
    <m/>
    <m/>
    <m/>
    <m/>
    <m/>
    <n v="1"/>
    <s v="Home"/>
    <m/>
    <m/>
    <m/>
    <m/>
    <s v=""/>
  </r>
  <r>
    <s v="L1_0332"/>
    <d v="2027-01-30T00:00:00"/>
    <x v="17"/>
    <s v="Peterborough United"/>
    <m/>
    <m/>
    <m/>
    <m/>
    <m/>
    <m/>
    <n v="1"/>
    <s v="Home"/>
    <m/>
    <m/>
    <m/>
    <m/>
    <s v=""/>
  </r>
  <r>
    <s v="L1_0333"/>
    <d v="2027-01-30T00:00:00"/>
    <x v="8"/>
    <s v="Mansfield Town"/>
    <m/>
    <m/>
    <m/>
    <m/>
    <m/>
    <m/>
    <n v="1"/>
    <s v="Home"/>
    <m/>
    <m/>
    <m/>
    <m/>
    <s v=""/>
  </r>
  <r>
    <s v="L1_0334"/>
    <d v="2027-01-30T00:00:00"/>
    <x v="9"/>
    <s v="Barnsley"/>
    <m/>
    <m/>
    <m/>
    <m/>
    <m/>
    <m/>
    <n v="1"/>
    <s v="Home"/>
    <m/>
    <m/>
    <m/>
    <m/>
    <s v=""/>
  </r>
  <r>
    <s v="L1_0335"/>
    <d v="2027-01-30T00:00:00"/>
    <x v="11"/>
    <s v="Plymouth Argyle"/>
    <m/>
    <m/>
    <m/>
    <m/>
    <m/>
    <m/>
    <n v="1"/>
    <s v="Home"/>
    <m/>
    <m/>
    <m/>
    <m/>
    <s v=""/>
  </r>
  <r>
    <s v="L1_0336"/>
    <d v="2027-01-30T00:00:00"/>
    <x v="20"/>
    <s v="Leicester City"/>
    <m/>
    <m/>
    <m/>
    <m/>
    <m/>
    <m/>
    <n v="1"/>
    <s v="Home"/>
    <m/>
    <m/>
    <m/>
    <m/>
    <s v=""/>
  </r>
  <r>
    <s v="L1_0337"/>
    <d v="2027-02-06T00:00:00"/>
    <x v="0"/>
    <s v="Leyton Orient"/>
    <m/>
    <m/>
    <m/>
    <m/>
    <m/>
    <m/>
    <n v="1"/>
    <s v="Home"/>
    <m/>
    <m/>
    <m/>
    <m/>
    <s v=""/>
  </r>
  <r>
    <s v="L1_0338"/>
    <d v="2027-02-06T00:00:00"/>
    <x v="2"/>
    <s v="Plymouth Argyle"/>
    <m/>
    <m/>
    <m/>
    <m/>
    <m/>
    <m/>
    <n v="1"/>
    <s v="Home"/>
    <m/>
    <m/>
    <m/>
    <m/>
    <s v=""/>
  </r>
  <r>
    <s v="L1_0339"/>
    <d v="2027-02-06T00:00:00"/>
    <x v="14"/>
    <s v="Sheffield Wednesday"/>
    <m/>
    <m/>
    <m/>
    <m/>
    <m/>
    <m/>
    <n v="1"/>
    <s v="Home"/>
    <m/>
    <m/>
    <m/>
    <m/>
    <s v=""/>
  </r>
  <r>
    <s v="L1_0340"/>
    <d v="2027-02-06T00:00:00"/>
    <x v="3"/>
    <s v="Notts County"/>
    <m/>
    <m/>
    <m/>
    <m/>
    <m/>
    <m/>
    <n v="1"/>
    <s v="Home"/>
    <m/>
    <m/>
    <m/>
    <m/>
    <s v=""/>
  </r>
  <r>
    <s v="L1_0341"/>
    <d v="2027-02-06T00:00:00"/>
    <x v="15"/>
    <s v="Stevenage"/>
    <m/>
    <m/>
    <m/>
    <m/>
    <m/>
    <m/>
    <n v="1"/>
    <s v="Home"/>
    <m/>
    <m/>
    <m/>
    <m/>
    <s v=""/>
  </r>
  <r>
    <s v="L1_0342"/>
    <d v="2027-02-06T00:00:00"/>
    <x v="5"/>
    <s v="Cambridge United"/>
    <m/>
    <m/>
    <m/>
    <m/>
    <m/>
    <m/>
    <n v="1"/>
    <s v="Home"/>
    <m/>
    <m/>
    <m/>
    <m/>
    <s v=""/>
  </r>
  <r>
    <s v="L1_0343"/>
    <d v="2027-02-06T00:00:00"/>
    <x v="16"/>
    <s v="Milton Keynes Dons"/>
    <m/>
    <m/>
    <m/>
    <m/>
    <m/>
    <m/>
    <n v="1"/>
    <s v="Home"/>
    <m/>
    <m/>
    <m/>
    <m/>
    <s v=""/>
  </r>
  <r>
    <s v="L1_0344"/>
    <d v="2027-02-06T00:00:00"/>
    <x v="17"/>
    <s v="Mansfield Town"/>
    <m/>
    <m/>
    <m/>
    <m/>
    <m/>
    <m/>
    <n v="1"/>
    <s v="Home"/>
    <m/>
    <m/>
    <m/>
    <m/>
    <s v=""/>
  </r>
  <r>
    <s v="L1_0345"/>
    <d v="2027-02-06T00:00:00"/>
    <x v="19"/>
    <s v="Blackpool"/>
    <m/>
    <m/>
    <m/>
    <m/>
    <m/>
    <m/>
    <n v="1"/>
    <s v="Home"/>
    <m/>
    <m/>
    <m/>
    <m/>
    <s v=""/>
  </r>
  <r>
    <s v="L1_0346"/>
    <d v="2027-02-06T00:00:00"/>
    <x v="11"/>
    <s v="Oxford United"/>
    <m/>
    <m/>
    <m/>
    <m/>
    <m/>
    <m/>
    <n v="1"/>
    <s v="Home"/>
    <m/>
    <m/>
    <m/>
    <m/>
    <s v=""/>
  </r>
  <r>
    <s v="L1_0347"/>
    <d v="2027-02-06T00:00:00"/>
    <x v="22"/>
    <s v="AFC Wimbledon"/>
    <m/>
    <m/>
    <m/>
    <m/>
    <m/>
    <m/>
    <n v="1"/>
    <s v="Home"/>
    <m/>
    <m/>
    <m/>
    <m/>
    <s v=""/>
  </r>
  <r>
    <s v="L1_0348"/>
    <d v="2027-02-06T00:00:00"/>
    <x v="23"/>
    <s v="Stockport County"/>
    <m/>
    <m/>
    <m/>
    <m/>
    <m/>
    <m/>
    <n v="1"/>
    <s v="Home"/>
    <m/>
    <m/>
    <m/>
    <m/>
    <s v=""/>
  </r>
  <r>
    <s v="L1_0349"/>
    <d v="2027-02-09T00:00:00"/>
    <x v="13"/>
    <s v="Burton Albion"/>
    <m/>
    <m/>
    <m/>
    <m/>
    <m/>
    <m/>
    <n v="1"/>
    <s v="Home"/>
    <m/>
    <m/>
    <m/>
    <m/>
    <s v=""/>
  </r>
  <r>
    <s v="L1_0350"/>
    <d v="2027-02-09T00:00:00"/>
    <x v="1"/>
    <s v="Barnsley"/>
    <m/>
    <m/>
    <m/>
    <m/>
    <m/>
    <m/>
    <n v="1"/>
    <s v="Home"/>
    <m/>
    <m/>
    <m/>
    <m/>
    <s v=""/>
  </r>
  <r>
    <s v="L1_0351"/>
    <d v="2027-02-09T00:00:00"/>
    <x v="4"/>
    <s v="Bradford City"/>
    <m/>
    <m/>
    <m/>
    <m/>
    <m/>
    <m/>
    <n v="1"/>
    <s v="Home"/>
    <m/>
    <m/>
    <m/>
    <m/>
    <s v=""/>
  </r>
  <r>
    <s v="L1_0352"/>
    <d v="2027-02-09T00:00:00"/>
    <x v="6"/>
    <s v="Bromley"/>
    <m/>
    <m/>
    <m/>
    <m/>
    <m/>
    <m/>
    <n v="1"/>
    <s v="Home"/>
    <m/>
    <m/>
    <m/>
    <m/>
    <s v=""/>
  </r>
  <r>
    <s v="L1_0353"/>
    <d v="2027-02-09T00:00:00"/>
    <x v="7"/>
    <s v="Reading"/>
    <m/>
    <m/>
    <m/>
    <m/>
    <m/>
    <m/>
    <n v="1"/>
    <s v="Home"/>
    <m/>
    <m/>
    <m/>
    <m/>
    <s v=""/>
  </r>
  <r>
    <s v="L1_0354"/>
    <d v="2027-02-09T00:00:00"/>
    <x v="18"/>
    <s v="Wigan Athletic"/>
    <m/>
    <m/>
    <m/>
    <m/>
    <m/>
    <m/>
    <n v="1"/>
    <s v="Home"/>
    <m/>
    <m/>
    <m/>
    <m/>
    <s v=""/>
  </r>
  <r>
    <s v="L1_0355"/>
    <d v="2027-02-09T00:00:00"/>
    <x v="8"/>
    <s v="Doncaster Rovers"/>
    <m/>
    <m/>
    <m/>
    <m/>
    <m/>
    <m/>
    <n v="1"/>
    <s v="Home"/>
    <m/>
    <m/>
    <m/>
    <m/>
    <s v=""/>
  </r>
  <r>
    <s v="L1_0356"/>
    <d v="2027-02-09T00:00:00"/>
    <x v="9"/>
    <s v="Huddersfield Town"/>
    <m/>
    <m/>
    <m/>
    <m/>
    <m/>
    <m/>
    <n v="1"/>
    <s v="Home"/>
    <m/>
    <m/>
    <m/>
    <m/>
    <s v=""/>
  </r>
  <r>
    <s v="L1_0357"/>
    <d v="2027-02-09T00:00:00"/>
    <x v="10"/>
    <s v="Leicester City"/>
    <m/>
    <m/>
    <m/>
    <m/>
    <m/>
    <m/>
    <n v="1"/>
    <s v="Home"/>
    <m/>
    <m/>
    <m/>
    <m/>
    <s v=""/>
  </r>
  <r>
    <s v="L1_0358"/>
    <d v="2027-02-09T00:00:00"/>
    <x v="12"/>
    <s v="Wycombe Wanderers"/>
    <m/>
    <m/>
    <m/>
    <m/>
    <m/>
    <m/>
    <n v="1"/>
    <s v="Home"/>
    <m/>
    <m/>
    <m/>
    <m/>
    <s v=""/>
  </r>
  <r>
    <s v="L1_0359"/>
    <d v="2027-02-09T00:00:00"/>
    <x v="20"/>
    <s v="Peterborough United"/>
    <m/>
    <m/>
    <m/>
    <m/>
    <m/>
    <m/>
    <n v="1"/>
    <s v="Home"/>
    <m/>
    <m/>
    <m/>
    <m/>
    <s v=""/>
  </r>
  <r>
    <s v="L1_0360"/>
    <d v="2027-02-09T00:00:00"/>
    <x v="21"/>
    <s v="Luton Town"/>
    <m/>
    <m/>
    <m/>
    <m/>
    <m/>
    <m/>
    <n v="1"/>
    <s v="Home"/>
    <m/>
    <m/>
    <m/>
    <m/>
    <s v=""/>
  </r>
  <r>
    <s v="L1_0361"/>
    <d v="2027-02-13T00:00:00"/>
    <x v="13"/>
    <s v="Bromley"/>
    <m/>
    <m/>
    <m/>
    <m/>
    <m/>
    <m/>
    <n v="1"/>
    <s v="Home"/>
    <m/>
    <m/>
    <m/>
    <m/>
    <s v=""/>
  </r>
  <r>
    <s v="L1_0362"/>
    <d v="2027-02-13T00:00:00"/>
    <x v="1"/>
    <s v="Reading"/>
    <m/>
    <m/>
    <m/>
    <m/>
    <m/>
    <m/>
    <n v="1"/>
    <s v="Home"/>
    <m/>
    <m/>
    <m/>
    <m/>
    <s v=""/>
  </r>
  <r>
    <s v="L1_0363"/>
    <d v="2027-02-13T00:00:00"/>
    <x v="4"/>
    <s v="Burton Albion"/>
    <m/>
    <m/>
    <m/>
    <m/>
    <m/>
    <m/>
    <n v="1"/>
    <s v="Home"/>
    <m/>
    <m/>
    <m/>
    <m/>
    <s v=""/>
  </r>
  <r>
    <s v="L1_0364"/>
    <d v="2027-02-13T00:00:00"/>
    <x v="6"/>
    <s v="Luton Town"/>
    <m/>
    <m/>
    <m/>
    <m/>
    <m/>
    <m/>
    <n v="1"/>
    <s v="Home"/>
    <m/>
    <m/>
    <m/>
    <m/>
    <s v=""/>
  </r>
  <r>
    <s v="L1_0365"/>
    <d v="2027-02-13T00:00:00"/>
    <x v="7"/>
    <s v="Bradford City"/>
    <m/>
    <m/>
    <m/>
    <m/>
    <m/>
    <m/>
    <n v="1"/>
    <s v="Home"/>
    <m/>
    <m/>
    <m/>
    <m/>
    <s v=""/>
  </r>
  <r>
    <s v="L1_0366"/>
    <d v="2027-02-13T00:00:00"/>
    <x v="18"/>
    <s v="Wycombe Wanderers"/>
    <m/>
    <m/>
    <m/>
    <m/>
    <m/>
    <m/>
    <n v="1"/>
    <s v="Home"/>
    <m/>
    <m/>
    <m/>
    <m/>
    <s v=""/>
  </r>
  <r>
    <s v="L1_0367"/>
    <d v="2027-02-13T00:00:00"/>
    <x v="8"/>
    <s v="Huddersfield Town"/>
    <m/>
    <m/>
    <m/>
    <m/>
    <m/>
    <m/>
    <n v="1"/>
    <s v="Home"/>
    <m/>
    <m/>
    <m/>
    <m/>
    <s v=""/>
  </r>
  <r>
    <s v="L1_0368"/>
    <d v="2027-02-13T00:00:00"/>
    <x v="9"/>
    <s v="Leicester City"/>
    <m/>
    <m/>
    <m/>
    <m/>
    <m/>
    <m/>
    <n v="1"/>
    <s v="Home"/>
    <m/>
    <m/>
    <m/>
    <m/>
    <s v=""/>
  </r>
  <r>
    <s v="L1_0369"/>
    <d v="2027-02-13T00:00:00"/>
    <x v="10"/>
    <s v="Doncaster Rovers"/>
    <m/>
    <m/>
    <m/>
    <m/>
    <m/>
    <m/>
    <n v="1"/>
    <s v="Home"/>
    <m/>
    <m/>
    <m/>
    <m/>
    <s v=""/>
  </r>
  <r>
    <s v="L1_0370"/>
    <d v="2027-02-13T00:00:00"/>
    <x v="12"/>
    <s v="Peterborough United"/>
    <m/>
    <m/>
    <m/>
    <m/>
    <m/>
    <m/>
    <n v="1"/>
    <s v="Home"/>
    <m/>
    <m/>
    <m/>
    <m/>
    <s v=""/>
  </r>
  <r>
    <s v="L1_0371"/>
    <d v="2027-02-13T00:00:00"/>
    <x v="20"/>
    <s v="Barnsley"/>
    <m/>
    <m/>
    <m/>
    <m/>
    <m/>
    <m/>
    <n v="1"/>
    <s v="Home"/>
    <m/>
    <m/>
    <m/>
    <m/>
    <s v=""/>
  </r>
  <r>
    <s v="L1_0372"/>
    <d v="2027-02-13T00:00:00"/>
    <x v="21"/>
    <s v="Wigan Athletic"/>
    <m/>
    <m/>
    <m/>
    <m/>
    <m/>
    <m/>
    <n v="1"/>
    <s v="Home"/>
    <m/>
    <m/>
    <m/>
    <m/>
    <s v=""/>
  </r>
  <r>
    <s v="L1_0373"/>
    <d v="2027-02-20T00:00:00"/>
    <x v="0"/>
    <s v="Plymouth Argyle"/>
    <m/>
    <m/>
    <m/>
    <m/>
    <m/>
    <m/>
    <n v="1"/>
    <s v="Home"/>
    <m/>
    <m/>
    <m/>
    <m/>
    <s v=""/>
  </r>
  <r>
    <s v="L1_0374"/>
    <d v="2027-02-20T00:00:00"/>
    <x v="2"/>
    <s v="Notts County"/>
    <m/>
    <m/>
    <m/>
    <m/>
    <m/>
    <m/>
    <n v="1"/>
    <s v="Home"/>
    <m/>
    <m/>
    <m/>
    <m/>
    <s v=""/>
  </r>
  <r>
    <s v="L1_0375"/>
    <d v="2027-02-20T00:00:00"/>
    <x v="14"/>
    <s v="Blackpool"/>
    <m/>
    <m/>
    <m/>
    <m/>
    <m/>
    <m/>
    <n v="1"/>
    <s v="Home"/>
    <m/>
    <m/>
    <m/>
    <m/>
    <s v=""/>
  </r>
  <r>
    <s v="L1_0376"/>
    <d v="2027-02-20T00:00:00"/>
    <x v="3"/>
    <s v="Oxford United"/>
    <m/>
    <m/>
    <m/>
    <m/>
    <m/>
    <m/>
    <n v="1"/>
    <s v="Home"/>
    <m/>
    <m/>
    <m/>
    <m/>
    <s v=""/>
  </r>
  <r>
    <s v="L1_0377"/>
    <d v="2027-02-20T00:00:00"/>
    <x v="15"/>
    <s v="AFC Wimbledon"/>
    <m/>
    <m/>
    <m/>
    <m/>
    <m/>
    <m/>
    <n v="1"/>
    <s v="Home"/>
    <m/>
    <m/>
    <m/>
    <m/>
    <s v=""/>
  </r>
  <r>
    <s v="L1_0378"/>
    <d v="2027-02-20T00:00:00"/>
    <x v="5"/>
    <s v="Mansfield Town"/>
    <m/>
    <m/>
    <m/>
    <m/>
    <m/>
    <m/>
    <n v="1"/>
    <s v="Home"/>
    <m/>
    <m/>
    <m/>
    <m/>
    <s v=""/>
  </r>
  <r>
    <s v="L1_0379"/>
    <d v="2027-02-20T00:00:00"/>
    <x v="16"/>
    <s v="Stockport County"/>
    <m/>
    <m/>
    <m/>
    <m/>
    <m/>
    <m/>
    <n v="1"/>
    <s v="Home"/>
    <m/>
    <m/>
    <m/>
    <m/>
    <s v=""/>
  </r>
  <r>
    <s v="L1_0380"/>
    <d v="2027-02-20T00:00:00"/>
    <x v="17"/>
    <s v="Stevenage"/>
    <m/>
    <m/>
    <m/>
    <m/>
    <m/>
    <m/>
    <n v="1"/>
    <s v="Home"/>
    <m/>
    <m/>
    <m/>
    <m/>
    <s v=""/>
  </r>
  <r>
    <s v="L1_0381"/>
    <d v="2027-02-20T00:00:00"/>
    <x v="19"/>
    <s v="Milton Keynes Dons"/>
    <m/>
    <m/>
    <m/>
    <m/>
    <m/>
    <m/>
    <n v="1"/>
    <s v="Home"/>
    <m/>
    <m/>
    <m/>
    <m/>
    <s v=""/>
  </r>
  <r>
    <s v="L1_0382"/>
    <d v="2027-02-20T00:00:00"/>
    <x v="11"/>
    <s v="Cambridge United"/>
    <m/>
    <m/>
    <m/>
    <m/>
    <m/>
    <m/>
    <n v="1"/>
    <s v="Home"/>
    <m/>
    <m/>
    <m/>
    <m/>
    <s v=""/>
  </r>
  <r>
    <s v="L1_0383"/>
    <d v="2027-02-20T00:00:00"/>
    <x v="22"/>
    <s v="Sheffield Wednesday"/>
    <m/>
    <m/>
    <m/>
    <m/>
    <m/>
    <m/>
    <n v="1"/>
    <s v="Home"/>
    <m/>
    <m/>
    <m/>
    <m/>
    <s v=""/>
  </r>
  <r>
    <s v="L1_0384"/>
    <d v="2027-02-20T00:00:00"/>
    <x v="23"/>
    <s v="Leyton Orient"/>
    <m/>
    <m/>
    <m/>
    <m/>
    <m/>
    <m/>
    <n v="1"/>
    <s v="Home"/>
    <m/>
    <m/>
    <m/>
    <m/>
    <s v=""/>
  </r>
  <r>
    <s v="L1_0385"/>
    <d v="2027-02-27T00:00:00"/>
    <x v="0"/>
    <s v="Wigan Athletic"/>
    <m/>
    <m/>
    <m/>
    <m/>
    <m/>
    <m/>
    <n v="1"/>
    <s v="Home"/>
    <m/>
    <m/>
    <m/>
    <m/>
    <s v=""/>
  </r>
  <r>
    <s v="L1_0386"/>
    <d v="2027-02-27T00:00:00"/>
    <x v="1"/>
    <s v="AFC Wimbledon"/>
    <m/>
    <m/>
    <m/>
    <m/>
    <m/>
    <m/>
    <n v="1"/>
    <s v="Home"/>
    <m/>
    <m/>
    <m/>
    <m/>
    <s v=""/>
  </r>
  <r>
    <s v="L1_0387"/>
    <d v="2027-02-27T00:00:00"/>
    <x v="2"/>
    <s v="Leicester City"/>
    <m/>
    <m/>
    <m/>
    <m/>
    <m/>
    <m/>
    <n v="1"/>
    <s v="Home"/>
    <m/>
    <m/>
    <m/>
    <m/>
    <s v=""/>
  </r>
  <r>
    <s v="L1_0388"/>
    <d v="2027-02-27T00:00:00"/>
    <x v="3"/>
    <s v="Milton Keynes Dons"/>
    <m/>
    <m/>
    <m/>
    <m/>
    <m/>
    <m/>
    <n v="1"/>
    <s v="Home"/>
    <m/>
    <m/>
    <m/>
    <m/>
    <s v=""/>
  </r>
  <r>
    <s v="L1_0389"/>
    <d v="2027-02-27T00:00:00"/>
    <x v="4"/>
    <s v="Peterborough United"/>
    <m/>
    <m/>
    <m/>
    <m/>
    <m/>
    <m/>
    <n v="1"/>
    <s v="Home"/>
    <m/>
    <m/>
    <m/>
    <m/>
    <s v=""/>
  </r>
  <r>
    <s v="L1_0390"/>
    <d v="2027-02-27T00:00:00"/>
    <x v="5"/>
    <s v="Wycombe Wanderers"/>
    <m/>
    <m/>
    <m/>
    <m/>
    <m/>
    <m/>
    <n v="1"/>
    <s v="Home"/>
    <m/>
    <m/>
    <m/>
    <m/>
    <s v=""/>
  </r>
  <r>
    <s v="L1_0391"/>
    <d v="2027-02-27T00:00:00"/>
    <x v="6"/>
    <s v="Doncaster Rovers"/>
    <m/>
    <m/>
    <m/>
    <m/>
    <m/>
    <m/>
    <n v="1"/>
    <s v="Home"/>
    <m/>
    <m/>
    <m/>
    <m/>
    <s v=""/>
  </r>
  <r>
    <s v="L1_0392"/>
    <d v="2027-02-27T00:00:00"/>
    <x v="7"/>
    <s v="Stevenage"/>
    <m/>
    <m/>
    <m/>
    <m/>
    <m/>
    <m/>
    <n v="1"/>
    <s v="Home"/>
    <m/>
    <m/>
    <m/>
    <m/>
    <s v=""/>
  </r>
  <r>
    <s v="L1_0393"/>
    <d v="2027-02-27T00:00:00"/>
    <x v="8"/>
    <s v="Bromley"/>
    <m/>
    <m/>
    <m/>
    <m/>
    <m/>
    <m/>
    <n v="1"/>
    <s v="Home"/>
    <m/>
    <m/>
    <m/>
    <m/>
    <s v=""/>
  </r>
  <r>
    <s v="L1_0394"/>
    <d v="2027-02-27T00:00:00"/>
    <x v="9"/>
    <s v="Luton Town"/>
    <m/>
    <m/>
    <m/>
    <m/>
    <m/>
    <m/>
    <n v="1"/>
    <s v="Home"/>
    <m/>
    <m/>
    <m/>
    <m/>
    <s v=""/>
  </r>
  <r>
    <s v="L1_0395"/>
    <d v="2027-02-27T00:00:00"/>
    <x v="10"/>
    <s v="Sheffield Wednesday"/>
    <m/>
    <m/>
    <m/>
    <m/>
    <m/>
    <m/>
    <n v="1"/>
    <s v="Home"/>
    <m/>
    <m/>
    <m/>
    <m/>
    <s v=""/>
  </r>
  <r>
    <s v="L1_0396"/>
    <d v="2027-02-27T00:00:00"/>
    <x v="11"/>
    <s v="Stockport County"/>
    <m/>
    <m/>
    <m/>
    <m/>
    <m/>
    <m/>
    <n v="1"/>
    <s v="Home"/>
    <m/>
    <m/>
    <m/>
    <m/>
    <s v=""/>
  </r>
  <r>
    <s v="L1_0397"/>
    <d v="2027-03-06T00:00:00"/>
    <x v="13"/>
    <s v="Huddersfield Town"/>
    <m/>
    <m/>
    <m/>
    <m/>
    <m/>
    <m/>
    <n v="1"/>
    <s v="Home"/>
    <m/>
    <m/>
    <m/>
    <m/>
    <s v=""/>
  </r>
  <r>
    <s v="L1_0398"/>
    <d v="2027-03-06T00:00:00"/>
    <x v="14"/>
    <s v="Barnsley"/>
    <m/>
    <m/>
    <m/>
    <m/>
    <m/>
    <m/>
    <n v="1"/>
    <s v="Home"/>
    <m/>
    <m/>
    <m/>
    <m/>
    <s v=""/>
  </r>
  <r>
    <s v="L1_0399"/>
    <d v="2027-03-06T00:00:00"/>
    <x v="15"/>
    <s v="Mansfield Town"/>
    <m/>
    <m/>
    <m/>
    <m/>
    <m/>
    <m/>
    <n v="1"/>
    <s v="Home"/>
    <m/>
    <m/>
    <m/>
    <m/>
    <s v=""/>
  </r>
  <r>
    <s v="L1_0400"/>
    <d v="2027-03-06T00:00:00"/>
    <x v="16"/>
    <s v="Notts County"/>
    <m/>
    <m/>
    <m/>
    <m/>
    <m/>
    <m/>
    <n v="1"/>
    <s v="Home"/>
    <m/>
    <m/>
    <m/>
    <m/>
    <s v=""/>
  </r>
  <r>
    <s v="L1_0401"/>
    <d v="2027-03-06T00:00:00"/>
    <x v="17"/>
    <s v="Reading"/>
    <m/>
    <m/>
    <m/>
    <m/>
    <m/>
    <m/>
    <n v="1"/>
    <s v="Home"/>
    <m/>
    <m/>
    <m/>
    <m/>
    <s v=""/>
  </r>
  <r>
    <s v="L1_0402"/>
    <d v="2027-03-06T00:00:00"/>
    <x v="18"/>
    <s v="Oxford United"/>
    <m/>
    <m/>
    <m/>
    <m/>
    <m/>
    <m/>
    <n v="1"/>
    <s v="Home"/>
    <m/>
    <m/>
    <m/>
    <m/>
    <s v=""/>
  </r>
  <r>
    <s v="L1_0403"/>
    <d v="2027-03-06T00:00:00"/>
    <x v="19"/>
    <s v="Bradford City"/>
    <m/>
    <m/>
    <m/>
    <m/>
    <m/>
    <m/>
    <n v="1"/>
    <s v="Home"/>
    <m/>
    <m/>
    <m/>
    <m/>
    <s v=""/>
  </r>
  <r>
    <s v="L1_0404"/>
    <d v="2027-03-06T00:00:00"/>
    <x v="12"/>
    <s v="Leyton Orient"/>
    <m/>
    <m/>
    <m/>
    <m/>
    <m/>
    <m/>
    <n v="1"/>
    <s v="Home"/>
    <m/>
    <m/>
    <m/>
    <m/>
    <s v=""/>
  </r>
  <r>
    <s v="L1_0405"/>
    <d v="2027-03-06T00:00:00"/>
    <x v="20"/>
    <s v="Burton Albion"/>
    <m/>
    <m/>
    <m/>
    <m/>
    <m/>
    <m/>
    <n v="1"/>
    <s v="Home"/>
    <m/>
    <m/>
    <m/>
    <m/>
    <s v=""/>
  </r>
  <r>
    <s v="L1_0406"/>
    <d v="2027-03-06T00:00:00"/>
    <x v="21"/>
    <s v="Plymouth Argyle"/>
    <m/>
    <m/>
    <m/>
    <m/>
    <m/>
    <m/>
    <n v="1"/>
    <s v="Home"/>
    <m/>
    <m/>
    <m/>
    <m/>
    <s v=""/>
  </r>
  <r>
    <s v="L1_0407"/>
    <d v="2027-03-06T00:00:00"/>
    <x v="22"/>
    <s v="Cambridge United"/>
    <m/>
    <m/>
    <m/>
    <m/>
    <m/>
    <m/>
    <n v="1"/>
    <s v="Home"/>
    <m/>
    <m/>
    <m/>
    <m/>
    <s v=""/>
  </r>
  <r>
    <s v="L1_0408"/>
    <d v="2027-03-06T00:00:00"/>
    <x v="23"/>
    <s v="Blackpool"/>
    <m/>
    <m/>
    <m/>
    <m/>
    <m/>
    <m/>
    <n v="1"/>
    <s v="Home"/>
    <m/>
    <m/>
    <m/>
    <m/>
    <s v=""/>
  </r>
  <r>
    <s v="L1_0409"/>
    <d v="2027-03-13T00:00:00"/>
    <x v="0"/>
    <s v="Doncaster Rovers"/>
    <m/>
    <m/>
    <m/>
    <m/>
    <m/>
    <m/>
    <n v="1"/>
    <s v="Home"/>
    <m/>
    <m/>
    <m/>
    <m/>
    <s v=""/>
  </r>
  <r>
    <s v="L1_0410"/>
    <d v="2027-03-13T00:00:00"/>
    <x v="1"/>
    <s v="Stockport County"/>
    <m/>
    <m/>
    <m/>
    <m/>
    <m/>
    <m/>
    <n v="1"/>
    <s v="Home"/>
    <m/>
    <m/>
    <m/>
    <m/>
    <s v=""/>
  </r>
  <r>
    <s v="L1_0411"/>
    <d v="2027-03-13T00:00:00"/>
    <x v="2"/>
    <s v="Sheffield Wednesday"/>
    <m/>
    <m/>
    <m/>
    <m/>
    <m/>
    <m/>
    <n v="1"/>
    <s v="Home"/>
    <m/>
    <m/>
    <m/>
    <m/>
    <s v=""/>
  </r>
  <r>
    <s v="L1_0412"/>
    <d v="2027-03-13T00:00:00"/>
    <x v="3"/>
    <s v="Leicester City"/>
    <m/>
    <m/>
    <m/>
    <m/>
    <m/>
    <m/>
    <n v="1"/>
    <s v="Home"/>
    <m/>
    <m/>
    <m/>
    <m/>
    <s v=""/>
  </r>
  <r>
    <s v="L1_0413"/>
    <d v="2027-03-13T00:00:00"/>
    <x v="4"/>
    <s v="Bromley"/>
    <m/>
    <m/>
    <m/>
    <m/>
    <m/>
    <m/>
    <n v="1"/>
    <s v="Home"/>
    <m/>
    <m/>
    <m/>
    <m/>
    <s v=""/>
  </r>
  <r>
    <s v="L1_0414"/>
    <d v="2027-03-13T00:00:00"/>
    <x v="5"/>
    <s v="Milton Keynes Dons"/>
    <m/>
    <m/>
    <m/>
    <m/>
    <m/>
    <m/>
    <n v="1"/>
    <s v="Home"/>
    <m/>
    <m/>
    <m/>
    <m/>
    <s v=""/>
  </r>
  <r>
    <s v="L1_0415"/>
    <d v="2027-03-13T00:00:00"/>
    <x v="6"/>
    <s v="Wigan Athletic"/>
    <m/>
    <m/>
    <m/>
    <m/>
    <m/>
    <m/>
    <n v="1"/>
    <s v="Home"/>
    <m/>
    <m/>
    <m/>
    <m/>
    <s v=""/>
  </r>
  <r>
    <s v="L1_0416"/>
    <d v="2027-03-13T00:00:00"/>
    <x v="7"/>
    <s v="Peterborough United"/>
    <m/>
    <m/>
    <m/>
    <m/>
    <m/>
    <m/>
    <n v="1"/>
    <s v="Home"/>
    <m/>
    <m/>
    <m/>
    <m/>
    <s v=""/>
  </r>
  <r>
    <s v="L1_0417"/>
    <d v="2027-03-13T00:00:00"/>
    <x v="8"/>
    <s v="Luton Town"/>
    <m/>
    <m/>
    <m/>
    <m/>
    <m/>
    <m/>
    <n v="1"/>
    <s v="Home"/>
    <m/>
    <m/>
    <m/>
    <m/>
    <s v=""/>
  </r>
  <r>
    <s v="L1_0418"/>
    <d v="2027-03-13T00:00:00"/>
    <x v="9"/>
    <s v="Stevenage"/>
    <m/>
    <m/>
    <m/>
    <m/>
    <m/>
    <m/>
    <n v="1"/>
    <s v="Home"/>
    <m/>
    <m/>
    <m/>
    <m/>
    <s v=""/>
  </r>
  <r>
    <s v="L1_0419"/>
    <d v="2027-03-13T00:00:00"/>
    <x v="10"/>
    <s v="Wycombe Wanderers"/>
    <m/>
    <m/>
    <m/>
    <m/>
    <m/>
    <m/>
    <n v="1"/>
    <s v="Home"/>
    <m/>
    <m/>
    <m/>
    <m/>
    <s v=""/>
  </r>
  <r>
    <s v="L1_0420"/>
    <d v="2027-03-13T00:00:00"/>
    <x v="11"/>
    <s v="AFC Wimbledon"/>
    <m/>
    <m/>
    <m/>
    <m/>
    <m/>
    <m/>
    <n v="1"/>
    <s v="Home"/>
    <m/>
    <m/>
    <m/>
    <m/>
    <s v=""/>
  </r>
  <r>
    <s v="L1_0421"/>
    <d v="2027-03-20T00:00:00"/>
    <x v="13"/>
    <s v="Leyton Orient"/>
    <m/>
    <m/>
    <m/>
    <m/>
    <m/>
    <m/>
    <n v="1"/>
    <s v="Home"/>
    <m/>
    <m/>
    <m/>
    <m/>
    <s v=""/>
  </r>
  <r>
    <s v="L1_0422"/>
    <d v="2027-03-20T00:00:00"/>
    <x v="14"/>
    <s v="Reading"/>
    <m/>
    <m/>
    <m/>
    <m/>
    <m/>
    <m/>
    <n v="1"/>
    <s v="Home"/>
    <m/>
    <m/>
    <m/>
    <m/>
    <s v=""/>
  </r>
  <r>
    <s v="L1_0423"/>
    <d v="2027-03-20T00:00:00"/>
    <x v="15"/>
    <s v="Bradford City"/>
    <m/>
    <m/>
    <m/>
    <m/>
    <m/>
    <m/>
    <n v="1"/>
    <s v="Home"/>
    <m/>
    <m/>
    <m/>
    <m/>
    <s v=""/>
  </r>
  <r>
    <s v="L1_0424"/>
    <d v="2027-03-20T00:00:00"/>
    <x v="16"/>
    <s v="Huddersfield Town"/>
    <m/>
    <m/>
    <m/>
    <m/>
    <m/>
    <m/>
    <n v="1"/>
    <s v="Home"/>
    <m/>
    <m/>
    <m/>
    <m/>
    <s v=""/>
  </r>
  <r>
    <s v="L1_0425"/>
    <d v="2027-03-20T00:00:00"/>
    <x v="17"/>
    <s v="Burton Albion"/>
    <m/>
    <m/>
    <m/>
    <m/>
    <m/>
    <m/>
    <n v="1"/>
    <s v="Home"/>
    <m/>
    <m/>
    <m/>
    <m/>
    <s v=""/>
  </r>
  <r>
    <s v="L1_0426"/>
    <d v="2027-03-20T00:00:00"/>
    <x v="18"/>
    <s v="Mansfield Town"/>
    <m/>
    <m/>
    <m/>
    <m/>
    <m/>
    <m/>
    <n v="1"/>
    <s v="Home"/>
    <m/>
    <m/>
    <m/>
    <m/>
    <s v=""/>
  </r>
  <r>
    <s v="L1_0427"/>
    <d v="2027-03-20T00:00:00"/>
    <x v="19"/>
    <s v="Plymouth Argyle"/>
    <m/>
    <m/>
    <m/>
    <m/>
    <m/>
    <m/>
    <n v="1"/>
    <s v="Home"/>
    <m/>
    <m/>
    <m/>
    <m/>
    <s v=""/>
  </r>
  <r>
    <s v="L1_0428"/>
    <d v="2027-03-20T00:00:00"/>
    <x v="12"/>
    <s v="Barnsley"/>
    <m/>
    <m/>
    <m/>
    <m/>
    <m/>
    <m/>
    <n v="1"/>
    <s v="Home"/>
    <m/>
    <m/>
    <m/>
    <m/>
    <s v=""/>
  </r>
  <r>
    <s v="L1_0429"/>
    <d v="2027-03-20T00:00:00"/>
    <x v="20"/>
    <s v="Notts County"/>
    <m/>
    <m/>
    <m/>
    <m/>
    <m/>
    <m/>
    <n v="1"/>
    <s v="Home"/>
    <m/>
    <m/>
    <m/>
    <m/>
    <s v=""/>
  </r>
  <r>
    <s v="L1_0430"/>
    <d v="2027-03-20T00:00:00"/>
    <x v="21"/>
    <s v="Cambridge United"/>
    <m/>
    <m/>
    <m/>
    <m/>
    <m/>
    <m/>
    <n v="1"/>
    <s v="Home"/>
    <m/>
    <m/>
    <m/>
    <m/>
    <s v=""/>
  </r>
  <r>
    <s v="L1_0431"/>
    <d v="2027-03-20T00:00:00"/>
    <x v="22"/>
    <s v="Blackpool"/>
    <m/>
    <m/>
    <m/>
    <m/>
    <m/>
    <m/>
    <n v="1"/>
    <s v="Home"/>
    <m/>
    <m/>
    <m/>
    <m/>
    <s v=""/>
  </r>
  <r>
    <s v="L1_0432"/>
    <d v="2027-03-20T00:00:00"/>
    <x v="23"/>
    <s v="Oxford United"/>
    <m/>
    <m/>
    <m/>
    <m/>
    <m/>
    <m/>
    <n v="1"/>
    <s v="Home"/>
    <m/>
    <m/>
    <m/>
    <m/>
    <s v=""/>
  </r>
  <r>
    <s v="L1_0433"/>
    <d v="2027-03-26T00:00:00"/>
    <x v="2"/>
    <s v="Wigan Athletic"/>
    <m/>
    <m/>
    <m/>
    <m/>
    <m/>
    <m/>
    <n v="1"/>
    <s v="Home"/>
    <m/>
    <m/>
    <m/>
    <m/>
    <s v=""/>
  </r>
  <r>
    <s v="L1_0434"/>
    <d v="2027-03-26T00:00:00"/>
    <x v="3"/>
    <s v="Stockport County"/>
    <m/>
    <m/>
    <m/>
    <m/>
    <m/>
    <m/>
    <n v="1"/>
    <s v="Home"/>
    <m/>
    <m/>
    <m/>
    <m/>
    <s v=""/>
  </r>
  <r>
    <s v="L1_0435"/>
    <d v="2027-03-26T00:00:00"/>
    <x v="15"/>
    <s v="Blackpool"/>
    <m/>
    <m/>
    <m/>
    <m/>
    <m/>
    <m/>
    <n v="1"/>
    <s v="Home"/>
    <m/>
    <m/>
    <m/>
    <m/>
    <s v=""/>
  </r>
  <r>
    <s v="L1_0436"/>
    <d v="2027-03-26T00:00:00"/>
    <x v="5"/>
    <s v="Reading"/>
    <m/>
    <m/>
    <m/>
    <m/>
    <m/>
    <m/>
    <n v="1"/>
    <s v="Home"/>
    <m/>
    <m/>
    <m/>
    <m/>
    <s v=""/>
  </r>
  <r>
    <s v="L1_0437"/>
    <d v="2027-03-26T00:00:00"/>
    <x v="16"/>
    <s v="Wycombe Wanderers"/>
    <m/>
    <m/>
    <m/>
    <m/>
    <m/>
    <m/>
    <n v="1"/>
    <s v="Home"/>
    <m/>
    <m/>
    <m/>
    <m/>
    <s v=""/>
  </r>
  <r>
    <s v="L1_0438"/>
    <d v="2027-03-26T00:00:00"/>
    <x v="17"/>
    <s v="Plymouth Argyle"/>
    <m/>
    <m/>
    <m/>
    <m/>
    <m/>
    <m/>
    <n v="1"/>
    <s v="Home"/>
    <m/>
    <m/>
    <m/>
    <m/>
    <s v=""/>
  </r>
  <r>
    <s v="L1_0439"/>
    <d v="2027-03-26T00:00:00"/>
    <x v="7"/>
    <s v="Cambridge United"/>
    <m/>
    <m/>
    <m/>
    <m/>
    <m/>
    <m/>
    <n v="1"/>
    <s v="Home"/>
    <m/>
    <m/>
    <m/>
    <m/>
    <s v=""/>
  </r>
  <r>
    <s v="L1_0440"/>
    <d v="2027-03-26T00:00:00"/>
    <x v="18"/>
    <s v="Sheffield Wednesday"/>
    <m/>
    <m/>
    <m/>
    <m/>
    <m/>
    <m/>
    <n v="1"/>
    <s v="Home"/>
    <m/>
    <m/>
    <m/>
    <m/>
    <s v=""/>
  </r>
  <r>
    <s v="L1_0441"/>
    <d v="2027-03-26T00:00:00"/>
    <x v="8"/>
    <s v="Barnsley"/>
    <m/>
    <m/>
    <m/>
    <m/>
    <m/>
    <m/>
    <n v="1"/>
    <s v="Home"/>
    <m/>
    <m/>
    <m/>
    <m/>
    <s v=""/>
  </r>
  <r>
    <s v="L1_0442"/>
    <d v="2027-03-26T00:00:00"/>
    <x v="9"/>
    <s v="Leyton Orient"/>
    <m/>
    <m/>
    <m/>
    <m/>
    <m/>
    <m/>
    <n v="1"/>
    <s v="Home"/>
    <m/>
    <m/>
    <m/>
    <m/>
    <s v=""/>
  </r>
  <r>
    <s v="L1_0443"/>
    <d v="2027-03-26T00:00:00"/>
    <x v="19"/>
    <s v="AFC Wimbledon"/>
    <m/>
    <m/>
    <m/>
    <m/>
    <m/>
    <m/>
    <n v="1"/>
    <s v="Home"/>
    <m/>
    <m/>
    <m/>
    <m/>
    <s v=""/>
  </r>
  <r>
    <s v="L1_0444"/>
    <d v="2027-03-26T00:00:00"/>
    <x v="20"/>
    <s v="Bromley"/>
    <m/>
    <m/>
    <m/>
    <m/>
    <m/>
    <m/>
    <n v="1"/>
    <s v="Home"/>
    <m/>
    <m/>
    <m/>
    <m/>
    <s v=""/>
  </r>
  <r>
    <s v="L1_0445"/>
    <d v="2027-03-29T00:00:00"/>
    <x v="13"/>
    <s v="Leicester City"/>
    <m/>
    <m/>
    <m/>
    <m/>
    <m/>
    <m/>
    <n v="1"/>
    <s v="Home"/>
    <m/>
    <m/>
    <m/>
    <m/>
    <s v=""/>
  </r>
  <r>
    <s v="L1_0446"/>
    <d v="2027-03-29T00:00:00"/>
    <x v="0"/>
    <s v="Mansfield Town"/>
    <m/>
    <m/>
    <m/>
    <m/>
    <m/>
    <m/>
    <n v="1"/>
    <s v="Home"/>
    <m/>
    <m/>
    <m/>
    <m/>
    <s v=""/>
  </r>
  <r>
    <s v="L1_0447"/>
    <d v="2027-03-29T00:00:00"/>
    <x v="1"/>
    <s v="Oxford United"/>
    <m/>
    <m/>
    <m/>
    <m/>
    <m/>
    <m/>
    <n v="1"/>
    <s v="Home"/>
    <m/>
    <m/>
    <m/>
    <m/>
    <s v=""/>
  </r>
  <r>
    <s v="L1_0448"/>
    <d v="2027-03-29T00:00:00"/>
    <x v="14"/>
    <s v="Doncaster Rovers"/>
    <m/>
    <m/>
    <m/>
    <m/>
    <m/>
    <m/>
    <n v="1"/>
    <s v="Home"/>
    <m/>
    <m/>
    <m/>
    <m/>
    <s v=""/>
  </r>
  <r>
    <s v="L1_0449"/>
    <d v="2027-03-29T00:00:00"/>
    <x v="4"/>
    <s v="Milton Keynes Dons"/>
    <m/>
    <m/>
    <m/>
    <m/>
    <m/>
    <m/>
    <n v="1"/>
    <s v="Home"/>
    <m/>
    <m/>
    <m/>
    <m/>
    <s v=""/>
  </r>
  <r>
    <s v="L1_0450"/>
    <d v="2027-03-29T00:00:00"/>
    <x v="6"/>
    <s v="Huddersfield Town"/>
    <m/>
    <m/>
    <m/>
    <m/>
    <m/>
    <m/>
    <n v="1"/>
    <s v="Home"/>
    <m/>
    <m/>
    <m/>
    <m/>
    <s v=""/>
  </r>
  <r>
    <s v="L1_0451"/>
    <d v="2027-03-29T00:00:00"/>
    <x v="10"/>
    <s v="Notts County"/>
    <m/>
    <m/>
    <m/>
    <m/>
    <m/>
    <m/>
    <n v="1"/>
    <s v="Home"/>
    <m/>
    <m/>
    <m/>
    <m/>
    <s v=""/>
  </r>
  <r>
    <s v="L1_0452"/>
    <d v="2027-03-29T00:00:00"/>
    <x v="11"/>
    <s v="Stevenage"/>
    <m/>
    <m/>
    <m/>
    <m/>
    <m/>
    <m/>
    <n v="1"/>
    <s v="Home"/>
    <m/>
    <m/>
    <m/>
    <m/>
    <s v=""/>
  </r>
  <r>
    <s v="L1_0453"/>
    <d v="2027-03-29T00:00:00"/>
    <x v="12"/>
    <s v="Burton Albion"/>
    <m/>
    <m/>
    <m/>
    <m/>
    <m/>
    <m/>
    <n v="1"/>
    <s v="Home"/>
    <m/>
    <m/>
    <m/>
    <m/>
    <s v=""/>
  </r>
  <r>
    <s v="L1_0454"/>
    <d v="2027-03-29T00:00:00"/>
    <x v="21"/>
    <s v="Bradford City"/>
    <m/>
    <m/>
    <m/>
    <m/>
    <m/>
    <m/>
    <n v="1"/>
    <s v="Home"/>
    <m/>
    <m/>
    <m/>
    <m/>
    <s v=""/>
  </r>
  <r>
    <s v="L1_0455"/>
    <d v="2027-03-29T00:00:00"/>
    <x v="22"/>
    <s v="Luton Town"/>
    <m/>
    <m/>
    <m/>
    <m/>
    <m/>
    <m/>
    <n v="1"/>
    <s v="Home"/>
    <m/>
    <m/>
    <m/>
    <m/>
    <s v=""/>
  </r>
  <r>
    <s v="L1_0456"/>
    <d v="2027-03-29T00:00:00"/>
    <x v="23"/>
    <s v="Peterborough United"/>
    <m/>
    <m/>
    <m/>
    <m/>
    <m/>
    <m/>
    <n v="1"/>
    <s v="Home"/>
    <m/>
    <m/>
    <m/>
    <m/>
    <s v=""/>
  </r>
  <r>
    <s v="L1_0457"/>
    <d v="2027-04-03T00:00:00"/>
    <x v="2"/>
    <s v="Blackpool"/>
    <m/>
    <m/>
    <m/>
    <m/>
    <m/>
    <m/>
    <n v="1"/>
    <s v="Home"/>
    <m/>
    <m/>
    <m/>
    <m/>
    <s v=""/>
  </r>
  <r>
    <s v="L1_0458"/>
    <d v="2027-04-03T00:00:00"/>
    <x v="3"/>
    <s v="Barnsley"/>
    <m/>
    <m/>
    <m/>
    <m/>
    <m/>
    <m/>
    <n v="1"/>
    <s v="Home"/>
    <m/>
    <m/>
    <m/>
    <m/>
    <s v=""/>
  </r>
  <r>
    <s v="L1_0459"/>
    <d v="2027-04-03T00:00:00"/>
    <x v="15"/>
    <s v="Cambridge United"/>
    <m/>
    <m/>
    <m/>
    <m/>
    <m/>
    <m/>
    <n v="1"/>
    <s v="Home"/>
    <m/>
    <m/>
    <m/>
    <m/>
    <s v=""/>
  </r>
  <r>
    <s v="L1_0460"/>
    <d v="2027-04-03T00:00:00"/>
    <x v="5"/>
    <s v="Stockport County"/>
    <m/>
    <m/>
    <m/>
    <m/>
    <m/>
    <m/>
    <n v="1"/>
    <s v="Home"/>
    <m/>
    <m/>
    <m/>
    <m/>
    <s v=""/>
  </r>
  <r>
    <s v="L1_0461"/>
    <d v="2027-04-03T00:00:00"/>
    <x v="16"/>
    <s v="Leyton Orient"/>
    <m/>
    <m/>
    <m/>
    <m/>
    <m/>
    <m/>
    <n v="1"/>
    <s v="Home"/>
    <m/>
    <m/>
    <m/>
    <m/>
    <s v=""/>
  </r>
  <r>
    <s v="L1_0462"/>
    <d v="2027-04-03T00:00:00"/>
    <x v="17"/>
    <s v="AFC Wimbledon"/>
    <m/>
    <m/>
    <m/>
    <m/>
    <m/>
    <m/>
    <n v="1"/>
    <s v="Home"/>
    <m/>
    <m/>
    <m/>
    <m/>
    <s v=""/>
  </r>
  <r>
    <s v="L1_0463"/>
    <d v="2027-04-03T00:00:00"/>
    <x v="7"/>
    <s v="Sheffield Wednesday"/>
    <m/>
    <m/>
    <m/>
    <m/>
    <m/>
    <m/>
    <n v="1"/>
    <s v="Home"/>
    <m/>
    <m/>
    <m/>
    <m/>
    <s v=""/>
  </r>
  <r>
    <s v="L1_0464"/>
    <d v="2027-04-03T00:00:00"/>
    <x v="18"/>
    <s v="Plymouth Argyle"/>
    <m/>
    <m/>
    <m/>
    <m/>
    <m/>
    <m/>
    <n v="1"/>
    <s v="Home"/>
    <m/>
    <m/>
    <m/>
    <m/>
    <s v=""/>
  </r>
  <r>
    <s v="L1_0465"/>
    <d v="2027-04-03T00:00:00"/>
    <x v="8"/>
    <s v="Wigan Athletic"/>
    <m/>
    <m/>
    <m/>
    <m/>
    <m/>
    <m/>
    <n v="1"/>
    <s v="Home"/>
    <m/>
    <m/>
    <m/>
    <m/>
    <s v=""/>
  </r>
  <r>
    <s v="L1_0466"/>
    <d v="2027-04-03T00:00:00"/>
    <x v="9"/>
    <s v="Bromley"/>
    <m/>
    <m/>
    <m/>
    <m/>
    <m/>
    <m/>
    <n v="1"/>
    <s v="Home"/>
    <m/>
    <m/>
    <m/>
    <m/>
    <s v=""/>
  </r>
  <r>
    <s v="L1_0467"/>
    <d v="2027-04-03T00:00:00"/>
    <x v="19"/>
    <s v="Reading"/>
    <m/>
    <m/>
    <m/>
    <m/>
    <m/>
    <m/>
    <n v="1"/>
    <s v="Home"/>
    <m/>
    <m/>
    <m/>
    <m/>
    <s v=""/>
  </r>
  <r>
    <s v="L1_0468"/>
    <d v="2027-04-03T00:00:00"/>
    <x v="20"/>
    <s v="Wycombe Wanderers"/>
    <m/>
    <m/>
    <m/>
    <m/>
    <m/>
    <m/>
    <n v="1"/>
    <s v="Home"/>
    <m/>
    <m/>
    <m/>
    <m/>
    <s v=""/>
  </r>
  <r>
    <s v="L1_0469"/>
    <d v="2027-04-10T00:00:00"/>
    <x v="13"/>
    <s v="Bradford City"/>
    <m/>
    <m/>
    <m/>
    <m/>
    <m/>
    <m/>
    <n v="1"/>
    <s v="Home"/>
    <m/>
    <m/>
    <m/>
    <m/>
    <s v=""/>
  </r>
  <r>
    <s v="L1_0470"/>
    <d v="2027-04-10T00:00:00"/>
    <x v="0"/>
    <s v="Peterborough United"/>
    <m/>
    <m/>
    <m/>
    <m/>
    <m/>
    <m/>
    <n v="1"/>
    <s v="Home"/>
    <m/>
    <m/>
    <m/>
    <m/>
    <s v=""/>
  </r>
  <r>
    <s v="L1_0471"/>
    <d v="2027-04-10T00:00:00"/>
    <x v="1"/>
    <s v="Huddersfield Town"/>
    <m/>
    <m/>
    <m/>
    <m/>
    <m/>
    <m/>
    <n v="1"/>
    <s v="Home"/>
    <m/>
    <m/>
    <m/>
    <m/>
    <s v=""/>
  </r>
  <r>
    <s v="L1_0472"/>
    <d v="2027-04-10T00:00:00"/>
    <x v="14"/>
    <s v="Luton Town"/>
    <m/>
    <m/>
    <m/>
    <m/>
    <m/>
    <m/>
    <n v="1"/>
    <s v="Home"/>
    <m/>
    <m/>
    <m/>
    <m/>
    <s v=""/>
  </r>
  <r>
    <s v="L1_0473"/>
    <d v="2027-04-10T00:00:00"/>
    <x v="4"/>
    <s v="Notts County"/>
    <m/>
    <m/>
    <m/>
    <m/>
    <m/>
    <m/>
    <n v="1"/>
    <s v="Home"/>
    <m/>
    <m/>
    <m/>
    <m/>
    <s v=""/>
  </r>
  <r>
    <s v="L1_0474"/>
    <d v="2027-04-10T00:00:00"/>
    <x v="6"/>
    <s v="Milton Keynes Dons"/>
    <m/>
    <m/>
    <m/>
    <m/>
    <m/>
    <m/>
    <n v="1"/>
    <s v="Home"/>
    <m/>
    <m/>
    <m/>
    <m/>
    <s v=""/>
  </r>
  <r>
    <s v="L1_0475"/>
    <d v="2027-04-10T00:00:00"/>
    <x v="10"/>
    <s v="Oxford United"/>
    <m/>
    <m/>
    <m/>
    <m/>
    <m/>
    <m/>
    <n v="1"/>
    <s v="Home"/>
    <m/>
    <m/>
    <m/>
    <m/>
    <s v=""/>
  </r>
  <r>
    <s v="L1_0476"/>
    <d v="2027-04-10T00:00:00"/>
    <x v="11"/>
    <s v="Burton Albion"/>
    <m/>
    <m/>
    <m/>
    <m/>
    <m/>
    <m/>
    <n v="1"/>
    <s v="Home"/>
    <m/>
    <m/>
    <m/>
    <m/>
    <s v=""/>
  </r>
  <r>
    <s v="L1_0477"/>
    <d v="2027-04-10T00:00:00"/>
    <x v="12"/>
    <s v="Leicester City"/>
    <m/>
    <m/>
    <m/>
    <m/>
    <m/>
    <m/>
    <n v="1"/>
    <s v="Home"/>
    <m/>
    <m/>
    <m/>
    <m/>
    <s v=""/>
  </r>
  <r>
    <s v="L1_0478"/>
    <d v="2027-04-10T00:00:00"/>
    <x v="21"/>
    <s v="Stevenage"/>
    <m/>
    <m/>
    <m/>
    <m/>
    <m/>
    <m/>
    <n v="1"/>
    <s v="Home"/>
    <m/>
    <m/>
    <m/>
    <m/>
    <s v=""/>
  </r>
  <r>
    <s v="L1_0479"/>
    <d v="2027-04-10T00:00:00"/>
    <x v="22"/>
    <s v="Doncaster Rovers"/>
    <m/>
    <m/>
    <m/>
    <m/>
    <m/>
    <m/>
    <n v="1"/>
    <s v="Home"/>
    <m/>
    <m/>
    <m/>
    <m/>
    <s v=""/>
  </r>
  <r>
    <s v="L1_0480"/>
    <d v="2027-04-10T00:00:00"/>
    <x v="23"/>
    <s v="Mansfield Town"/>
    <m/>
    <m/>
    <m/>
    <m/>
    <m/>
    <m/>
    <n v="1"/>
    <s v="Home"/>
    <m/>
    <m/>
    <m/>
    <m/>
    <s v=""/>
  </r>
  <r>
    <s v="L1_0481"/>
    <d v="2027-04-13T00:00:00"/>
    <x v="13"/>
    <s v="Cambridge United"/>
    <m/>
    <m/>
    <m/>
    <m/>
    <m/>
    <m/>
    <n v="1"/>
    <s v="Home"/>
    <m/>
    <m/>
    <m/>
    <m/>
    <s v=""/>
  </r>
  <r>
    <s v="L1_0482"/>
    <d v="2027-04-13T00:00:00"/>
    <x v="0"/>
    <s v="Bradford City"/>
    <m/>
    <m/>
    <m/>
    <m/>
    <m/>
    <m/>
    <n v="1"/>
    <s v="Home"/>
    <m/>
    <m/>
    <m/>
    <m/>
    <s v=""/>
  </r>
  <r>
    <s v="L1_0483"/>
    <d v="2027-04-13T00:00:00"/>
    <x v="1"/>
    <s v="Notts County"/>
    <m/>
    <m/>
    <m/>
    <m/>
    <m/>
    <m/>
    <n v="1"/>
    <s v="Home"/>
    <m/>
    <m/>
    <m/>
    <m/>
    <s v=""/>
  </r>
  <r>
    <s v="L1_0484"/>
    <d v="2027-04-13T00:00:00"/>
    <x v="14"/>
    <s v="Milton Keynes Dons"/>
    <m/>
    <m/>
    <m/>
    <m/>
    <m/>
    <m/>
    <n v="1"/>
    <s v="Home"/>
    <m/>
    <m/>
    <m/>
    <m/>
    <s v=""/>
  </r>
  <r>
    <s v="L1_0485"/>
    <d v="2027-04-13T00:00:00"/>
    <x v="3"/>
    <s v="Plymouth Argyle"/>
    <m/>
    <m/>
    <m/>
    <m/>
    <m/>
    <m/>
    <n v="1"/>
    <s v="Home"/>
    <m/>
    <m/>
    <m/>
    <m/>
    <s v=""/>
  </r>
  <r>
    <s v="L1_0486"/>
    <d v="2027-04-13T00:00:00"/>
    <x v="6"/>
    <s v="Mansfield Town"/>
    <m/>
    <m/>
    <m/>
    <m/>
    <m/>
    <m/>
    <n v="1"/>
    <s v="Home"/>
    <m/>
    <m/>
    <m/>
    <m/>
    <s v=""/>
  </r>
  <r>
    <s v="L1_0487"/>
    <d v="2027-04-13T00:00:00"/>
    <x v="17"/>
    <s v="Huddersfield Town"/>
    <m/>
    <m/>
    <m/>
    <m/>
    <m/>
    <m/>
    <n v="1"/>
    <s v="Home"/>
    <m/>
    <m/>
    <m/>
    <m/>
    <s v=""/>
  </r>
  <r>
    <s v="L1_0488"/>
    <d v="2027-04-13T00:00:00"/>
    <x v="9"/>
    <s v="Doncaster Rovers"/>
    <m/>
    <m/>
    <m/>
    <m/>
    <m/>
    <m/>
    <n v="1"/>
    <s v="Home"/>
    <m/>
    <m/>
    <m/>
    <m/>
    <s v=""/>
  </r>
  <r>
    <s v="L1_0489"/>
    <d v="2027-04-13T00:00:00"/>
    <x v="19"/>
    <s v="Stockport County"/>
    <m/>
    <m/>
    <m/>
    <m/>
    <m/>
    <m/>
    <n v="1"/>
    <s v="Home"/>
    <m/>
    <m/>
    <m/>
    <m/>
    <s v=""/>
  </r>
  <r>
    <s v="L1_0490"/>
    <d v="2027-04-13T00:00:00"/>
    <x v="11"/>
    <s v="Wycombe Wanderers"/>
    <m/>
    <m/>
    <m/>
    <m/>
    <m/>
    <m/>
    <n v="1"/>
    <s v="Home"/>
    <m/>
    <m/>
    <m/>
    <m/>
    <s v=""/>
  </r>
  <r>
    <s v="L1_0491"/>
    <d v="2027-04-13T00:00:00"/>
    <x v="12"/>
    <s v="Stevenage"/>
    <m/>
    <m/>
    <m/>
    <m/>
    <m/>
    <m/>
    <n v="1"/>
    <s v="Home"/>
    <m/>
    <m/>
    <m/>
    <m/>
    <s v=""/>
  </r>
  <r>
    <s v="L1_0492"/>
    <d v="2027-04-13T00:00:00"/>
    <x v="22"/>
    <s v="Leicester City"/>
    <m/>
    <m/>
    <m/>
    <m/>
    <m/>
    <m/>
    <n v="1"/>
    <s v="Home"/>
    <m/>
    <m/>
    <m/>
    <m/>
    <s v=""/>
  </r>
  <r>
    <s v="L1_0493"/>
    <d v="2027-04-17T00:00:00"/>
    <x v="2"/>
    <s v="Luton Town"/>
    <m/>
    <m/>
    <m/>
    <m/>
    <m/>
    <m/>
    <n v="1"/>
    <s v="Home"/>
    <m/>
    <m/>
    <m/>
    <m/>
    <s v=""/>
  </r>
  <r>
    <s v="L1_0494"/>
    <d v="2027-04-17T00:00:00"/>
    <x v="4"/>
    <s v="Oxford United"/>
    <m/>
    <m/>
    <m/>
    <m/>
    <m/>
    <m/>
    <n v="1"/>
    <s v="Home"/>
    <m/>
    <m/>
    <m/>
    <m/>
    <s v=""/>
  </r>
  <r>
    <s v="L1_0495"/>
    <d v="2027-04-17T00:00:00"/>
    <x v="15"/>
    <s v="Peterborough United"/>
    <m/>
    <m/>
    <m/>
    <m/>
    <m/>
    <m/>
    <n v="1"/>
    <s v="Home"/>
    <m/>
    <m/>
    <m/>
    <m/>
    <s v=""/>
  </r>
  <r>
    <s v="L1_0496"/>
    <d v="2027-04-17T00:00:00"/>
    <x v="5"/>
    <s v="Bromley"/>
    <m/>
    <m/>
    <m/>
    <m/>
    <m/>
    <m/>
    <n v="1"/>
    <s v="Home"/>
    <m/>
    <m/>
    <m/>
    <m/>
    <s v=""/>
  </r>
  <r>
    <s v="L1_0497"/>
    <d v="2027-04-17T00:00:00"/>
    <x v="16"/>
    <s v="Barnsley"/>
    <m/>
    <m/>
    <m/>
    <m/>
    <m/>
    <m/>
    <n v="1"/>
    <s v="Home"/>
    <m/>
    <m/>
    <m/>
    <m/>
    <s v=""/>
  </r>
  <r>
    <s v="L1_0498"/>
    <d v="2027-04-17T00:00:00"/>
    <x v="7"/>
    <s v="Burton Albion"/>
    <m/>
    <m/>
    <m/>
    <m/>
    <m/>
    <m/>
    <n v="1"/>
    <s v="Home"/>
    <m/>
    <m/>
    <m/>
    <m/>
    <s v=""/>
  </r>
  <r>
    <s v="L1_0499"/>
    <d v="2027-04-17T00:00:00"/>
    <x v="18"/>
    <s v="AFC Wimbledon"/>
    <m/>
    <m/>
    <m/>
    <m/>
    <m/>
    <m/>
    <n v="1"/>
    <s v="Home"/>
    <m/>
    <m/>
    <m/>
    <m/>
    <s v=""/>
  </r>
  <r>
    <s v="L1_0500"/>
    <d v="2027-04-17T00:00:00"/>
    <x v="8"/>
    <s v="Reading"/>
    <m/>
    <m/>
    <m/>
    <m/>
    <m/>
    <m/>
    <n v="1"/>
    <s v="Home"/>
    <m/>
    <m/>
    <m/>
    <m/>
    <s v=""/>
  </r>
  <r>
    <s v="L1_0501"/>
    <d v="2027-04-17T00:00:00"/>
    <x v="10"/>
    <s v="Blackpool"/>
    <m/>
    <m/>
    <m/>
    <m/>
    <m/>
    <m/>
    <n v="1"/>
    <s v="Home"/>
    <m/>
    <m/>
    <m/>
    <m/>
    <s v=""/>
  </r>
  <r>
    <s v="L1_0502"/>
    <d v="2027-04-17T00:00:00"/>
    <x v="20"/>
    <s v="Leyton Orient"/>
    <m/>
    <m/>
    <m/>
    <m/>
    <m/>
    <m/>
    <n v="1"/>
    <s v="Home"/>
    <m/>
    <m/>
    <m/>
    <m/>
    <s v=""/>
  </r>
  <r>
    <s v="L1_0503"/>
    <d v="2027-04-17T00:00:00"/>
    <x v="21"/>
    <s v="Sheffield Wednesday"/>
    <m/>
    <m/>
    <m/>
    <m/>
    <m/>
    <m/>
    <n v="1"/>
    <s v="Home"/>
    <m/>
    <m/>
    <m/>
    <m/>
    <s v=""/>
  </r>
  <r>
    <s v="L1_0504"/>
    <d v="2027-04-17T00:00:00"/>
    <x v="23"/>
    <s v="Wigan Athletic"/>
    <m/>
    <m/>
    <m/>
    <m/>
    <m/>
    <m/>
    <n v="1"/>
    <s v="Home"/>
    <m/>
    <m/>
    <m/>
    <m/>
    <s v=""/>
  </r>
  <r>
    <s v="L1_0505"/>
    <d v="2027-04-24T00:00:00"/>
    <x v="13"/>
    <s v="Plymouth Argyle"/>
    <m/>
    <m/>
    <m/>
    <m/>
    <m/>
    <m/>
    <n v="1"/>
    <s v="Home"/>
    <m/>
    <m/>
    <m/>
    <m/>
    <s v=""/>
  </r>
  <r>
    <s v="L1_0506"/>
    <d v="2027-04-24T00:00:00"/>
    <x v="0"/>
    <s v="Stockport County"/>
    <m/>
    <m/>
    <m/>
    <m/>
    <m/>
    <m/>
    <n v="1"/>
    <s v="Home"/>
    <m/>
    <m/>
    <m/>
    <m/>
    <s v=""/>
  </r>
  <r>
    <s v="L1_0507"/>
    <d v="2027-04-24T00:00:00"/>
    <x v="1"/>
    <s v="Cambridge United"/>
    <m/>
    <m/>
    <m/>
    <m/>
    <m/>
    <m/>
    <n v="1"/>
    <s v="Home"/>
    <m/>
    <m/>
    <m/>
    <m/>
    <s v=""/>
  </r>
  <r>
    <s v="L1_0508"/>
    <d v="2027-04-24T00:00:00"/>
    <x v="14"/>
    <s v="Mansfield Town"/>
    <m/>
    <m/>
    <m/>
    <m/>
    <m/>
    <m/>
    <n v="1"/>
    <s v="Home"/>
    <m/>
    <m/>
    <m/>
    <m/>
    <s v=""/>
  </r>
  <r>
    <s v="L1_0509"/>
    <d v="2027-04-24T00:00:00"/>
    <x v="3"/>
    <s v="Doncaster Rovers"/>
    <m/>
    <m/>
    <m/>
    <m/>
    <m/>
    <m/>
    <n v="1"/>
    <s v="Home"/>
    <m/>
    <m/>
    <m/>
    <m/>
    <s v=""/>
  </r>
  <r>
    <s v="L1_0510"/>
    <d v="2027-04-24T00:00:00"/>
    <x v="6"/>
    <s v="Bradford City"/>
    <m/>
    <m/>
    <m/>
    <m/>
    <m/>
    <m/>
    <n v="1"/>
    <s v="Home"/>
    <m/>
    <m/>
    <m/>
    <m/>
    <s v=""/>
  </r>
  <r>
    <s v="L1_0511"/>
    <d v="2027-04-24T00:00:00"/>
    <x v="17"/>
    <s v="Wycombe Wanderers"/>
    <m/>
    <m/>
    <m/>
    <m/>
    <m/>
    <m/>
    <n v="1"/>
    <s v="Home"/>
    <m/>
    <m/>
    <m/>
    <m/>
    <s v=""/>
  </r>
  <r>
    <s v="L1_0512"/>
    <d v="2027-04-24T00:00:00"/>
    <x v="9"/>
    <s v="Notts County"/>
    <m/>
    <m/>
    <m/>
    <m/>
    <m/>
    <m/>
    <n v="1"/>
    <s v="Home"/>
    <m/>
    <m/>
    <m/>
    <m/>
    <s v=""/>
  </r>
  <r>
    <s v="L1_0513"/>
    <d v="2027-04-24T00:00:00"/>
    <x v="19"/>
    <s v="Leicester City"/>
    <m/>
    <m/>
    <m/>
    <m/>
    <m/>
    <m/>
    <n v="1"/>
    <s v="Home"/>
    <m/>
    <m/>
    <m/>
    <m/>
    <s v=""/>
  </r>
  <r>
    <s v="L1_0514"/>
    <d v="2027-04-24T00:00:00"/>
    <x v="11"/>
    <s v="Huddersfield Town"/>
    <m/>
    <m/>
    <m/>
    <m/>
    <m/>
    <m/>
    <n v="1"/>
    <s v="Home"/>
    <m/>
    <m/>
    <m/>
    <m/>
    <s v=""/>
  </r>
  <r>
    <s v="L1_0515"/>
    <d v="2027-04-24T00:00:00"/>
    <x v="12"/>
    <s v="Milton Keynes Dons"/>
    <m/>
    <m/>
    <m/>
    <m/>
    <m/>
    <m/>
    <n v="1"/>
    <s v="Home"/>
    <m/>
    <m/>
    <m/>
    <m/>
    <s v=""/>
  </r>
  <r>
    <s v="L1_0516"/>
    <d v="2027-04-24T00:00:00"/>
    <x v="22"/>
    <s v="Stevenage"/>
    <m/>
    <m/>
    <m/>
    <m/>
    <m/>
    <m/>
    <n v="1"/>
    <s v="Home"/>
    <m/>
    <m/>
    <m/>
    <m/>
    <s v=""/>
  </r>
  <r>
    <s v="L1_0517"/>
    <d v="2027-04-27T00:00:00"/>
    <x v="2"/>
    <s v="Reading"/>
    <m/>
    <m/>
    <m/>
    <m/>
    <m/>
    <m/>
    <n v="1"/>
    <s v="Home"/>
    <m/>
    <m/>
    <m/>
    <m/>
    <s v=""/>
  </r>
  <r>
    <s v="L1_0518"/>
    <d v="2027-04-27T00:00:00"/>
    <x v="4"/>
    <s v="Sheffield Wednesday"/>
    <m/>
    <m/>
    <m/>
    <m/>
    <m/>
    <m/>
    <n v="1"/>
    <s v="Home"/>
    <m/>
    <m/>
    <m/>
    <m/>
    <s v=""/>
  </r>
  <r>
    <s v="L1_0519"/>
    <d v="2027-04-27T00:00:00"/>
    <x v="15"/>
    <s v="Luton Town"/>
    <m/>
    <m/>
    <m/>
    <m/>
    <m/>
    <m/>
    <n v="1"/>
    <s v="Home"/>
    <m/>
    <m/>
    <m/>
    <m/>
    <s v=""/>
  </r>
  <r>
    <s v="L1_0520"/>
    <d v="2027-04-27T00:00:00"/>
    <x v="5"/>
    <s v="Burton Albion"/>
    <m/>
    <m/>
    <m/>
    <m/>
    <m/>
    <m/>
    <n v="1"/>
    <s v="Home"/>
    <m/>
    <m/>
    <m/>
    <m/>
    <s v=""/>
  </r>
  <r>
    <s v="L1_0521"/>
    <d v="2027-04-27T00:00:00"/>
    <x v="16"/>
    <s v="Blackpool"/>
    <m/>
    <m/>
    <m/>
    <m/>
    <m/>
    <m/>
    <n v="1"/>
    <s v="Home"/>
    <m/>
    <m/>
    <m/>
    <m/>
    <s v=""/>
  </r>
  <r>
    <s v="L1_0522"/>
    <d v="2027-04-27T00:00:00"/>
    <x v="7"/>
    <s v="Wigan Athletic"/>
    <m/>
    <m/>
    <m/>
    <m/>
    <m/>
    <m/>
    <n v="1"/>
    <s v="Home"/>
    <m/>
    <m/>
    <m/>
    <m/>
    <s v=""/>
  </r>
  <r>
    <s v="L1_0523"/>
    <d v="2027-04-27T00:00:00"/>
    <x v="18"/>
    <s v="Barnsley"/>
    <m/>
    <m/>
    <m/>
    <m/>
    <m/>
    <m/>
    <n v="1"/>
    <s v="Home"/>
    <m/>
    <m/>
    <m/>
    <m/>
    <s v=""/>
  </r>
  <r>
    <s v="L1_0524"/>
    <d v="2027-04-27T00:00:00"/>
    <x v="8"/>
    <s v="Peterborough United"/>
    <m/>
    <m/>
    <m/>
    <m/>
    <m/>
    <m/>
    <n v="1"/>
    <s v="Home"/>
    <m/>
    <m/>
    <m/>
    <m/>
    <s v=""/>
  </r>
  <r>
    <s v="L1_0525"/>
    <d v="2027-04-27T00:00:00"/>
    <x v="10"/>
    <s v="Leyton Orient"/>
    <m/>
    <m/>
    <m/>
    <m/>
    <m/>
    <m/>
    <n v="1"/>
    <s v="Home"/>
    <m/>
    <m/>
    <m/>
    <m/>
    <s v=""/>
  </r>
  <r>
    <s v="L1_0526"/>
    <d v="2027-04-27T00:00:00"/>
    <x v="20"/>
    <s v="AFC Wimbledon"/>
    <m/>
    <m/>
    <m/>
    <m/>
    <m/>
    <m/>
    <n v="1"/>
    <s v="Home"/>
    <m/>
    <m/>
    <m/>
    <m/>
    <s v=""/>
  </r>
  <r>
    <s v="L1_0527"/>
    <d v="2027-04-27T00:00:00"/>
    <x v="21"/>
    <s v="Oxford United"/>
    <m/>
    <m/>
    <m/>
    <m/>
    <m/>
    <m/>
    <n v="1"/>
    <s v="Home"/>
    <m/>
    <m/>
    <m/>
    <m/>
    <s v=""/>
  </r>
  <r>
    <s v="L1_0528"/>
    <d v="2027-04-27T00:00:00"/>
    <x v="23"/>
    <s v="Bromley"/>
    <m/>
    <m/>
    <m/>
    <m/>
    <m/>
    <m/>
    <n v="1"/>
    <s v="Home"/>
    <m/>
    <m/>
    <m/>
    <m/>
    <s v=""/>
  </r>
  <r>
    <s v="L1_0529"/>
    <d v="2027-05-01T00:00:00"/>
    <x v="0"/>
    <s v="AFC Wimbledon"/>
    <m/>
    <m/>
    <m/>
    <m/>
    <m/>
    <m/>
    <n v="1"/>
    <s v="Home"/>
    <m/>
    <m/>
    <m/>
    <m/>
    <s v=""/>
  </r>
  <r>
    <s v="L1_0530"/>
    <d v="2027-05-01T00:00:00"/>
    <x v="1"/>
    <s v="Stevenage"/>
    <m/>
    <m/>
    <m/>
    <m/>
    <m/>
    <m/>
    <n v="1"/>
    <s v="Home"/>
    <m/>
    <m/>
    <m/>
    <m/>
    <s v=""/>
  </r>
  <r>
    <s v="L1_0531"/>
    <d v="2027-05-01T00:00:00"/>
    <x v="2"/>
    <s v="Wycombe Wanderers"/>
    <m/>
    <m/>
    <m/>
    <m/>
    <m/>
    <m/>
    <n v="1"/>
    <s v="Home"/>
    <m/>
    <m/>
    <m/>
    <m/>
    <s v=""/>
  </r>
  <r>
    <s v="L1_0532"/>
    <d v="2027-05-01T00:00:00"/>
    <x v="3"/>
    <s v="Bromley"/>
    <m/>
    <m/>
    <m/>
    <m/>
    <m/>
    <m/>
    <n v="1"/>
    <s v="Home"/>
    <m/>
    <m/>
    <m/>
    <m/>
    <s v=""/>
  </r>
  <r>
    <s v="L1_0533"/>
    <d v="2027-05-01T00:00:00"/>
    <x v="4"/>
    <s v="Luton Town"/>
    <m/>
    <m/>
    <m/>
    <m/>
    <m/>
    <m/>
    <n v="1"/>
    <s v="Home"/>
    <m/>
    <m/>
    <m/>
    <m/>
    <s v=""/>
  </r>
  <r>
    <s v="L1_0534"/>
    <d v="2027-05-01T00:00:00"/>
    <x v="5"/>
    <s v="Doncaster Rovers"/>
    <m/>
    <m/>
    <m/>
    <m/>
    <m/>
    <m/>
    <n v="1"/>
    <s v="Home"/>
    <m/>
    <m/>
    <m/>
    <m/>
    <s v=""/>
  </r>
  <r>
    <s v="L1_0535"/>
    <d v="2027-05-01T00:00:00"/>
    <x v="6"/>
    <s v="Stockport County"/>
    <m/>
    <m/>
    <m/>
    <m/>
    <m/>
    <m/>
    <n v="1"/>
    <s v="Home"/>
    <m/>
    <m/>
    <m/>
    <m/>
    <s v=""/>
  </r>
  <r>
    <s v="L1_0536"/>
    <d v="2027-05-01T00:00:00"/>
    <x v="7"/>
    <s v="Leicester City"/>
    <m/>
    <m/>
    <m/>
    <m/>
    <m/>
    <m/>
    <n v="1"/>
    <s v="Home"/>
    <m/>
    <m/>
    <m/>
    <m/>
    <s v=""/>
  </r>
  <r>
    <s v="L1_0537"/>
    <d v="2027-05-01T00:00:00"/>
    <x v="8"/>
    <s v="Milton Keynes Dons"/>
    <m/>
    <m/>
    <m/>
    <m/>
    <m/>
    <m/>
    <n v="1"/>
    <s v="Home"/>
    <m/>
    <m/>
    <m/>
    <m/>
    <s v=""/>
  </r>
  <r>
    <s v="L1_0538"/>
    <d v="2027-05-01T00:00:00"/>
    <x v="9"/>
    <s v="Peterborough United"/>
    <m/>
    <m/>
    <m/>
    <m/>
    <m/>
    <m/>
    <n v="1"/>
    <s v="Home"/>
    <m/>
    <m/>
    <m/>
    <m/>
    <s v=""/>
  </r>
  <r>
    <s v="L1_0539"/>
    <d v="2027-05-01T00:00:00"/>
    <x v="10"/>
    <s v="Wigan Athletic"/>
    <m/>
    <m/>
    <m/>
    <m/>
    <m/>
    <m/>
    <n v="1"/>
    <s v="Home"/>
    <m/>
    <m/>
    <m/>
    <m/>
    <s v=""/>
  </r>
  <r>
    <s v="L1_0540"/>
    <d v="2027-05-01T00:00:00"/>
    <x v="11"/>
    <s v="Sheffield Wednesday"/>
    <m/>
    <m/>
    <m/>
    <m/>
    <m/>
    <m/>
    <n v="1"/>
    <s v="Home"/>
    <m/>
    <m/>
    <m/>
    <m/>
    <s v=""/>
  </r>
  <r>
    <s v="L1_0541"/>
    <d v="2027-05-08T00:00:00"/>
    <x v="13"/>
    <s v="Notts County"/>
    <m/>
    <m/>
    <m/>
    <m/>
    <m/>
    <m/>
    <n v="1"/>
    <s v="Home"/>
    <m/>
    <m/>
    <m/>
    <m/>
    <s v=""/>
  </r>
  <r>
    <s v="L1_0542"/>
    <d v="2027-05-08T00:00:00"/>
    <x v="14"/>
    <s v="Plymouth Argyle"/>
    <m/>
    <m/>
    <m/>
    <m/>
    <m/>
    <m/>
    <n v="1"/>
    <s v="Home"/>
    <m/>
    <m/>
    <m/>
    <m/>
    <s v=""/>
  </r>
  <r>
    <s v="L1_0543"/>
    <d v="2027-05-08T00:00:00"/>
    <x v="15"/>
    <s v="Reading"/>
    <m/>
    <m/>
    <m/>
    <m/>
    <m/>
    <m/>
    <n v="1"/>
    <s v="Home"/>
    <m/>
    <m/>
    <m/>
    <m/>
    <s v=""/>
  </r>
  <r>
    <s v="L1_0544"/>
    <d v="2027-05-08T00:00:00"/>
    <x v="16"/>
    <s v="Cambridge United"/>
    <m/>
    <m/>
    <m/>
    <m/>
    <m/>
    <m/>
    <n v="1"/>
    <s v="Home"/>
    <m/>
    <m/>
    <m/>
    <m/>
    <s v=""/>
  </r>
  <r>
    <s v="L1_0545"/>
    <d v="2027-05-08T00:00:00"/>
    <x v="17"/>
    <s v="Blackpool"/>
    <m/>
    <m/>
    <m/>
    <m/>
    <m/>
    <m/>
    <n v="1"/>
    <s v="Home"/>
    <m/>
    <m/>
    <m/>
    <m/>
    <s v=""/>
  </r>
  <r>
    <s v="L1_0546"/>
    <d v="2027-05-08T00:00:00"/>
    <x v="18"/>
    <s v="Bradford City"/>
    <m/>
    <m/>
    <m/>
    <m/>
    <m/>
    <m/>
    <n v="1"/>
    <s v="Home"/>
    <m/>
    <m/>
    <m/>
    <m/>
    <s v=""/>
  </r>
  <r>
    <s v="L1_0547"/>
    <d v="2027-05-08T00:00:00"/>
    <x v="19"/>
    <s v="Leyton Orient"/>
    <m/>
    <m/>
    <m/>
    <m/>
    <m/>
    <m/>
    <n v="1"/>
    <s v="Home"/>
    <m/>
    <m/>
    <m/>
    <m/>
    <s v=""/>
  </r>
  <r>
    <s v="L1_0548"/>
    <d v="2027-05-08T00:00:00"/>
    <x v="12"/>
    <s v="Oxford United"/>
    <m/>
    <m/>
    <m/>
    <m/>
    <m/>
    <m/>
    <n v="1"/>
    <s v="Home"/>
    <m/>
    <m/>
    <m/>
    <m/>
    <s v=""/>
  </r>
  <r>
    <s v="L1_0549"/>
    <d v="2027-05-08T00:00:00"/>
    <x v="20"/>
    <s v="Huddersfield Town"/>
    <m/>
    <m/>
    <m/>
    <m/>
    <m/>
    <m/>
    <n v="1"/>
    <s v="Home"/>
    <m/>
    <m/>
    <m/>
    <m/>
    <s v=""/>
  </r>
  <r>
    <s v="L1_0550"/>
    <d v="2027-05-08T00:00:00"/>
    <x v="21"/>
    <s v="Mansfield Town"/>
    <m/>
    <m/>
    <m/>
    <m/>
    <m/>
    <m/>
    <n v="1"/>
    <s v="Home"/>
    <m/>
    <m/>
    <m/>
    <m/>
    <s v=""/>
  </r>
  <r>
    <s v="L1_0551"/>
    <d v="2027-05-08T00:00:00"/>
    <x v="22"/>
    <s v="Burton Albion"/>
    <m/>
    <m/>
    <m/>
    <m/>
    <m/>
    <m/>
    <n v="1"/>
    <s v="Home"/>
    <m/>
    <m/>
    <m/>
    <m/>
    <s v=""/>
  </r>
  <r>
    <s v="L1_0552"/>
    <d v="2027-05-08T00:00:00"/>
    <x v="23"/>
    <s v="Barnsley"/>
    <m/>
    <m/>
    <m/>
    <m/>
    <m/>
    <m/>
    <n v="1"/>
    <s v="Home"/>
    <m/>
    <m/>
    <m/>
    <m/>
    <s v=""/>
  </r>
  <r>
    <s v="L1_0001"/>
    <d v="2026-08-15T00:00:00"/>
    <x v="14"/>
    <s v="Barnsley"/>
    <n v="1.42"/>
    <n v="1.32"/>
    <n v="1"/>
    <n v="0"/>
    <n v="2.74"/>
    <n v="1"/>
    <n v="1"/>
    <s v="Away"/>
    <n v="9.9999999999999867E-2"/>
    <n v="1"/>
    <n v="-0.41999999999999993"/>
    <s v="Win"/>
    <n v="6"/>
  </r>
  <r>
    <s v="L1_0002"/>
    <d v="2026-08-15T00:00:00"/>
    <x v="23"/>
    <s v="Blackpool"/>
    <n v="1.29"/>
    <n v="2.37"/>
    <n v="1"/>
    <n v="1"/>
    <n v="3.66"/>
    <n v="2"/>
    <n v="1"/>
    <s v="Away"/>
    <n v="-1.08"/>
    <n v="0"/>
    <n v="-0.29000000000000004"/>
    <s v="Draw"/>
    <n v="6"/>
  </r>
  <r>
    <s v="L1_0003"/>
    <d v="2026-08-15T00:00:00"/>
    <x v="19"/>
    <s v="Bradford City"/>
    <n v="1.1100000000000001"/>
    <n v="1.97"/>
    <n v="0"/>
    <n v="2"/>
    <n v="3.08"/>
    <n v="2"/>
    <n v="1"/>
    <s v="Away"/>
    <n v="-0.85999999999999988"/>
    <n v="-2"/>
    <n v="-1.1100000000000001"/>
    <s v="Loss"/>
    <n v="6"/>
  </r>
  <r>
    <s v="L1_0004"/>
    <d v="2026-08-15T00:00:00"/>
    <x v="20"/>
    <s v="Burton Albion"/>
    <n v="0.53"/>
    <n v="0.94"/>
    <n v="1"/>
    <n v="1"/>
    <n v="1.47"/>
    <n v="2"/>
    <n v="1"/>
    <s v="Away"/>
    <n v="-0.40999999999999992"/>
    <n v="0"/>
    <n v="0.47"/>
    <s v="Draw"/>
    <n v="6"/>
  </r>
  <r>
    <s v="L1_0005"/>
    <d v="2026-08-15T00:00:00"/>
    <x v="22"/>
    <s v="Cambridge United"/>
    <n v="2.2000000000000002"/>
    <n v="1.74"/>
    <n v="2"/>
    <n v="3"/>
    <n v="3.9400000000000004"/>
    <n v="5"/>
    <n v="1"/>
    <s v="Away"/>
    <n v="0.46000000000000019"/>
    <n v="-1"/>
    <n v="-0.20000000000000018"/>
    <s v="Loss"/>
    <n v="6"/>
  </r>
  <r>
    <s v="L1_0006"/>
    <d v="2026-08-15T00:00:00"/>
    <x v="13"/>
    <s v="Huddersfield Town"/>
    <n v="0.38"/>
    <n v="1.24"/>
    <n v="0"/>
    <n v="3"/>
    <n v="1.62"/>
    <n v="3"/>
    <n v="1"/>
    <s v="Away"/>
    <n v="-0.86"/>
    <n v="-3"/>
    <n v="-0.38"/>
    <s v="Loss"/>
    <n v="6"/>
  </r>
  <r>
    <s v="L1_0007"/>
    <d v="2026-08-15T00:00:00"/>
    <x v="12"/>
    <s v="Leyton Orient"/>
    <n v="2.84"/>
    <n v="1.38"/>
    <n v="2"/>
    <n v="1"/>
    <n v="4.22"/>
    <n v="3"/>
    <n v="1"/>
    <s v="Away"/>
    <n v="1.46"/>
    <n v="1"/>
    <n v="-0.83999999999999986"/>
    <s v="Win"/>
    <n v="6"/>
  </r>
  <r>
    <s v="L1_0008"/>
    <d v="2026-08-15T00:00:00"/>
    <x v="15"/>
    <s v="Mansfield Town"/>
    <n v="1.06"/>
    <n v="1.44"/>
    <n v="1"/>
    <n v="2"/>
    <n v="2.5"/>
    <n v="3"/>
    <n v="1"/>
    <s v="Away"/>
    <n v="-0.37999999999999989"/>
    <n v="-1"/>
    <n v="-6.0000000000000053E-2"/>
    <s v="Loss"/>
    <n v="6"/>
  </r>
  <r>
    <s v="L1_0009"/>
    <d v="2026-08-15T00:00:00"/>
    <x v="16"/>
    <s v="Notts County"/>
    <n v="0.74"/>
    <n v="2.1800000000000002"/>
    <n v="1"/>
    <n v="1"/>
    <n v="2.92"/>
    <n v="2"/>
    <n v="1"/>
    <s v="Away"/>
    <n v="-1.4400000000000002"/>
    <n v="0"/>
    <n v="0.26"/>
    <s v="Draw"/>
    <n v="6"/>
  </r>
  <r>
    <s v="L1_0010"/>
    <d v="2026-08-15T00:00:00"/>
    <x v="18"/>
    <s v="Oxford United"/>
    <n v="2.2000000000000002"/>
    <n v="1.83"/>
    <n v="2"/>
    <n v="2"/>
    <n v="4.03"/>
    <n v="4"/>
    <n v="1"/>
    <s v="Away"/>
    <n v="0.37000000000000011"/>
    <n v="0"/>
    <n v="-0.20000000000000018"/>
    <s v="Draw"/>
    <n v="6"/>
  </r>
  <r>
    <s v="L1_0011"/>
    <d v="2026-08-15T00:00:00"/>
    <x v="21"/>
    <s v="Plymouth Argyle"/>
    <n v="1.81"/>
    <n v="0.92"/>
    <n v="3"/>
    <n v="1"/>
    <n v="2.73"/>
    <n v="4"/>
    <n v="1"/>
    <s v="Away"/>
    <n v="0.89"/>
    <n v="2"/>
    <n v="1.19"/>
    <s v="Win"/>
    <n v="6"/>
  </r>
  <r>
    <s v="L1_0012"/>
    <d v="2026-08-15T00:00:00"/>
    <x v="17"/>
    <s v="Reading"/>
    <n v="1.65"/>
    <n v="1.61"/>
    <n v="4"/>
    <n v="3"/>
    <n v="3.26"/>
    <n v="7"/>
    <n v="1"/>
    <s v="Away"/>
    <n v="3.9999999999999813E-2"/>
    <n v="1"/>
    <n v="2.35"/>
    <s v="Win"/>
    <n v="6"/>
  </r>
  <r>
    <s v="L1_0013"/>
    <d v="2026-08-20T00:00:00"/>
    <x v="2"/>
    <s v="Sheffield Wednesday"/>
    <n v="0.59"/>
    <n v="1.49"/>
    <n v="1"/>
    <n v="0"/>
    <n v="2.08"/>
    <n v="1"/>
    <n v="1"/>
    <s v="Away"/>
    <n v="-0.9"/>
    <n v="1"/>
    <n v="0.41000000000000003"/>
    <s v="Win"/>
    <n v="5"/>
  </r>
  <r>
    <s v="L1_0014"/>
    <d v="2026-08-22T00:00:00"/>
    <x v="11"/>
    <s v="AFC Wimbledon"/>
    <n v="1.28"/>
    <n v="0.37"/>
    <n v="0"/>
    <n v="0"/>
    <n v="1.65"/>
    <n v="0"/>
    <n v="1"/>
    <s v="Away"/>
    <n v="0.91"/>
    <n v="0"/>
    <n v="-1.28"/>
    <s v="Draw"/>
    <n v="4"/>
  </r>
  <r>
    <s v="L1_0015"/>
    <d v="2026-08-22T00:00:00"/>
    <x v="4"/>
    <s v="Bromley"/>
    <n v="0.59"/>
    <n v="0.57999999999999996"/>
    <n v="1"/>
    <n v="1"/>
    <n v="1.17"/>
    <n v="2"/>
    <n v="1"/>
    <s v="Away"/>
    <n v="1.0000000000000009E-2"/>
    <n v="0"/>
    <n v="0.41000000000000003"/>
    <s v="Draw"/>
    <n v="5"/>
  </r>
  <r>
    <s v="L1_0016"/>
    <d v="2026-08-22T00:00:00"/>
    <x v="0"/>
    <s v="Doncaster Rovers"/>
    <n v="0.45"/>
    <n v="1.82"/>
    <n v="0"/>
    <n v="0"/>
    <n v="2.27"/>
    <n v="0"/>
    <n v="1"/>
    <s v="Away"/>
    <n v="-1.37"/>
    <n v="0"/>
    <n v="-0.45"/>
    <s v="Draw"/>
    <n v="5"/>
  </r>
  <r>
    <s v="L1_0017"/>
    <d v="2026-08-22T00:00:00"/>
    <x v="3"/>
    <s v="Leicester City"/>
    <n v="0.81"/>
    <n v="1.31"/>
    <n v="2"/>
    <n v="1"/>
    <n v="2.12"/>
    <n v="3"/>
    <n v="1"/>
    <s v="Away"/>
    <n v="-0.5"/>
    <n v="1"/>
    <n v="1.19"/>
    <s v="Win"/>
    <n v="5"/>
  </r>
  <r>
    <s v="L1_0018"/>
    <d v="2026-08-22T00:00:00"/>
    <x v="8"/>
    <s v="Luton Town"/>
    <n v="0.76"/>
    <n v="1.85"/>
    <n v="2"/>
    <n v="2"/>
    <n v="2.6100000000000003"/>
    <n v="4"/>
    <n v="1"/>
    <s v="Away"/>
    <n v="-1.0900000000000001"/>
    <n v="0"/>
    <n v="1.24"/>
    <s v="Draw"/>
    <n v="5"/>
  </r>
  <r>
    <s v="L1_0019"/>
    <d v="2026-08-22T00:00:00"/>
    <x v="5"/>
    <s v="Milton Keynes Dons"/>
    <n v="2.2799999999999998"/>
    <n v="1.54"/>
    <n v="1"/>
    <n v="1"/>
    <n v="3.82"/>
    <n v="2"/>
    <n v="1"/>
    <s v="Away"/>
    <n v="0.73999999999999977"/>
    <n v="0"/>
    <n v="-1.2799999999999998"/>
    <s v="Draw"/>
    <n v="5"/>
  </r>
  <r>
    <s v="L1_0020"/>
    <d v="2026-08-22T00:00:00"/>
    <x v="7"/>
    <s v="Peterborough United"/>
    <n v="1.25"/>
    <n v="1.39"/>
    <n v="1"/>
    <n v="2"/>
    <n v="2.6399999999999997"/>
    <n v="3"/>
    <n v="1"/>
    <s v="Away"/>
    <n v="-0.1399999999999999"/>
    <n v="-1"/>
    <n v="-0.25"/>
    <s v="Loss"/>
    <n v="5"/>
  </r>
  <r>
    <s v="L1_0021"/>
    <d v="2026-08-22T00:00:00"/>
    <x v="9"/>
    <s v="Stevenage"/>
    <n v="1.36"/>
    <n v="1.17"/>
    <n v="2"/>
    <n v="1"/>
    <n v="2.5300000000000002"/>
    <n v="3"/>
    <n v="1"/>
    <s v="Away"/>
    <n v="0.19000000000000017"/>
    <n v="1"/>
    <n v="0.6399999999999999"/>
    <s v="Win"/>
    <n v="4"/>
  </r>
  <r>
    <s v="L1_0022"/>
    <d v="2026-08-22T00:00:00"/>
    <x v="1"/>
    <s v="Stockport County"/>
    <n v="1.79"/>
    <n v="3.54"/>
    <n v="2"/>
    <n v="1"/>
    <n v="5.33"/>
    <n v="3"/>
    <n v="1"/>
    <s v="Away"/>
    <n v="-1.75"/>
    <n v="1"/>
    <n v="0.20999999999999996"/>
    <s v="Win"/>
    <n v="5"/>
  </r>
  <r>
    <s v="L1_0023"/>
    <d v="2026-08-22T00:00:00"/>
    <x v="6"/>
    <s v="Wigan Athletic"/>
    <n v="1.25"/>
    <n v="1.6"/>
    <n v="2"/>
    <n v="0"/>
    <n v="2.85"/>
    <n v="2"/>
    <n v="1"/>
    <s v="Away"/>
    <n v="-0.35000000000000009"/>
    <n v="2"/>
    <n v="0.75"/>
    <s v="Win"/>
    <n v="5"/>
  </r>
  <r>
    <s v="L1_0024"/>
    <d v="2026-08-22T00:00:00"/>
    <x v="10"/>
    <s v="Wycombe Wanderers"/>
    <n v="0.76"/>
    <n v="1.89"/>
    <n v="1"/>
    <n v="1"/>
    <n v="2.65"/>
    <n v="2"/>
    <n v="1"/>
    <s v="Away"/>
    <n v="-1.1299999999999999"/>
    <n v="0"/>
    <n v="0.24"/>
    <s v="Draw"/>
    <n v="5"/>
  </r>
  <r>
    <s v="L1_0025"/>
    <d v="2026-08-29T00:00:00"/>
    <x v="19"/>
    <s v="Blackpool"/>
    <n v="1.72"/>
    <n v="2.73"/>
    <n v="0"/>
    <n v="4"/>
    <n v="4.45"/>
    <n v="4"/>
    <n v="1"/>
    <s v="Away"/>
    <n v="-1.01"/>
    <n v="-4"/>
    <n v="-1.72"/>
    <s v="Loss"/>
    <n v="4"/>
  </r>
  <r>
    <s v="L1_0026"/>
    <d v="2026-08-29T00:00:00"/>
    <x v="5"/>
    <s v="Cambridge United"/>
    <n v="1.1299999999999999"/>
    <n v="1.22"/>
    <n v="2"/>
    <n v="1"/>
    <n v="2.3499999999999996"/>
    <n v="3"/>
    <n v="1"/>
    <s v="Away"/>
    <n v="-9.000000000000008E-2"/>
    <n v="1"/>
    <n v="0.87000000000000011"/>
    <s v="Win"/>
    <n v="4"/>
  </r>
  <r>
    <s v="L1_0027"/>
    <d v="2026-08-29T00:00:00"/>
    <x v="0"/>
    <s v="Leyton Orient"/>
    <n v="1.99"/>
    <n v="0.73"/>
    <n v="3"/>
    <n v="1"/>
    <n v="2.7199999999999998"/>
    <n v="4"/>
    <n v="1"/>
    <s v="Away"/>
    <n v="1.26"/>
    <n v="2"/>
    <n v="1.01"/>
    <s v="Win"/>
    <n v="4"/>
  </r>
  <r>
    <s v="L1_0028"/>
    <d v="2026-08-29T00:00:00"/>
    <x v="16"/>
    <s v="Milton Keynes Dons"/>
    <n v="1.53"/>
    <n v="0.56999999999999995"/>
    <n v="0"/>
    <n v="0"/>
    <n v="2.1"/>
    <n v="0"/>
    <n v="1"/>
    <s v="Away"/>
    <n v="0.96000000000000008"/>
    <n v="0"/>
    <n v="-1.53"/>
    <s v="Draw"/>
    <n v="4"/>
  </r>
  <r>
    <s v="L1_0029"/>
    <d v="2026-08-29T00:00:00"/>
    <x v="3"/>
    <s v="Notts County"/>
    <n v="0.11"/>
    <n v="2.29"/>
    <n v="1"/>
    <n v="2"/>
    <n v="2.4"/>
    <n v="3"/>
    <n v="1"/>
    <s v="Away"/>
    <n v="-2.1800000000000002"/>
    <n v="-1"/>
    <n v="0.89"/>
    <s v="Loss"/>
    <n v="4"/>
  </r>
  <r>
    <s v="L1_0030"/>
    <d v="2026-08-29T00:00:00"/>
    <x v="2"/>
    <s v="Plymouth Argyle"/>
    <n v="0.9"/>
    <n v="1.1599999999999999"/>
    <n v="0"/>
    <n v="2"/>
    <n v="2.06"/>
    <n v="2"/>
    <n v="1"/>
    <s v="Away"/>
    <n v="-0.2599999999999999"/>
    <n v="-2"/>
    <n v="-0.9"/>
    <s v="Loss"/>
    <n v="4"/>
  </r>
  <r>
    <s v="L1_0031"/>
    <d v="2026-08-29T00:00:00"/>
    <x v="14"/>
    <s v="Sheffield Wednesday"/>
    <n v="1.5"/>
    <n v="4.5199999999999996"/>
    <n v="2"/>
    <n v="7"/>
    <n v="6.02"/>
    <n v="9"/>
    <n v="1"/>
    <s v="Away"/>
    <n v="-3.0199999999999996"/>
    <n v="-5"/>
    <n v="0.5"/>
    <s v="Loss"/>
    <n v="4"/>
  </r>
  <r>
    <s v="L1_0032"/>
    <d v="2026-08-29T00:00:00"/>
    <x v="15"/>
    <s v="Stevenage"/>
    <n v="0.65"/>
    <n v="0.47"/>
    <n v="2"/>
    <n v="2"/>
    <n v="1.1200000000000001"/>
    <n v="4"/>
    <n v="1"/>
    <s v="Away"/>
    <n v="0.18000000000000005"/>
    <n v="0"/>
    <n v="1.35"/>
    <s v="Draw"/>
    <n v="4"/>
  </r>
  <r>
    <s v="L1_0033"/>
    <d v="2026-08-29T00:00:00"/>
    <x v="23"/>
    <s v="Stockport County"/>
    <n v="0.94"/>
    <n v="1.34"/>
    <n v="1"/>
    <n v="5"/>
    <n v="2.2800000000000002"/>
    <n v="6"/>
    <n v="1"/>
    <s v="Away"/>
    <n v="-0.40000000000000013"/>
    <n v="-4"/>
    <n v="6.0000000000000053E-2"/>
    <s v="Loss"/>
    <n v="4"/>
  </r>
  <r>
    <s v="L1_0034"/>
    <d v="2026-08-30T00:00:00"/>
    <x v="22"/>
    <s v="AFC Wimbledon"/>
    <n v="2.99"/>
    <n v="0.72"/>
    <n v="0"/>
    <n v="1"/>
    <n v="3.71"/>
    <n v="1"/>
    <n v="1"/>
    <s v="Away"/>
    <n v="2.2700000000000005"/>
    <n v="-1"/>
    <n v="-2.99"/>
    <s v="Loss"/>
    <n v="4"/>
  </r>
  <r>
    <s v="L1_0035"/>
    <d v="2026-08-30T00:00:00"/>
    <x v="17"/>
    <s v="Mansfield Town"/>
    <n v="1.35"/>
    <n v="1.37"/>
    <n v="2"/>
    <n v="5"/>
    <n v="2.72"/>
    <n v="7"/>
    <n v="1"/>
    <s v="Away"/>
    <n v="-2.0000000000000018E-2"/>
    <n v="-3"/>
    <n v="0.64999999999999991"/>
    <s v="Loss"/>
    <n v="4"/>
  </r>
  <r>
    <s v="L1_0036"/>
    <d v="2026-09-01T00:00:00"/>
    <x v="4"/>
    <s v="Bradford City"/>
    <n v="0.44"/>
    <n v="2.1800000000000002"/>
    <n v="2"/>
    <n v="1"/>
    <n v="2.62"/>
    <n v="3"/>
    <n v="1"/>
    <s v="Away"/>
    <n v="-1.7400000000000002"/>
    <n v="1"/>
    <n v="1.56"/>
    <s v="Win"/>
    <n v="3"/>
  </r>
  <r>
    <s v="L1_0037"/>
    <d v="2026-09-01T00:00:00"/>
    <x v="6"/>
    <s v="Bromley"/>
    <n v="1.94"/>
    <n v="0.63"/>
    <n v="5"/>
    <n v="0"/>
    <n v="2.57"/>
    <n v="5"/>
    <n v="1"/>
    <s v="Away"/>
    <n v="1.31"/>
    <n v="5"/>
    <n v="3.06"/>
    <s v="Win"/>
    <n v="3"/>
  </r>
  <r>
    <s v="L1_0038"/>
    <d v="2026-09-01T00:00:00"/>
    <x v="8"/>
    <s v="Doncaster Rovers"/>
    <n v="0.87"/>
    <n v="1.1200000000000001"/>
    <n v="1"/>
    <n v="1"/>
    <n v="1.9900000000000002"/>
    <n v="2"/>
    <n v="1"/>
    <s v="Away"/>
    <n v="-0.25000000000000011"/>
    <n v="0"/>
    <n v="0.13"/>
    <s v="Draw"/>
    <n v="3"/>
  </r>
  <r>
    <s v="L1_0039"/>
    <d v="2026-09-01T00:00:00"/>
    <x v="9"/>
    <s v="Huddersfield Town"/>
    <n v="1.01"/>
    <n v="3.62"/>
    <n v="1"/>
    <n v="3"/>
    <n v="4.63"/>
    <n v="4"/>
    <n v="1"/>
    <s v="Away"/>
    <n v="-2.6100000000000003"/>
    <n v="-2"/>
    <n v="-1.0000000000000009E-2"/>
    <s v="Loss"/>
    <n v="3"/>
  </r>
  <r>
    <s v="L1_0040"/>
    <d v="2026-09-01T00:00:00"/>
    <x v="10"/>
    <s v="Leicester City"/>
    <n v="1.1299999999999999"/>
    <n v="1.76"/>
    <n v="0"/>
    <n v="2"/>
    <n v="2.8899999999999997"/>
    <n v="2"/>
    <n v="1"/>
    <s v="Away"/>
    <n v="-0.63000000000000012"/>
    <n v="-2"/>
    <n v="-1.1299999999999999"/>
    <s v="Loss"/>
    <n v="3"/>
  </r>
  <r>
    <s v="L1_0041"/>
    <d v="2026-09-01T00:00:00"/>
    <x v="20"/>
    <s v="Peterborough United"/>
    <n v="0.47"/>
    <n v="0.91"/>
    <n v="0"/>
    <n v="0"/>
    <n v="1.38"/>
    <n v="0"/>
    <n v="1"/>
    <s v="Away"/>
    <n v="-0.44000000000000006"/>
    <n v="0"/>
    <n v="-0.47"/>
    <s v="Draw"/>
    <n v="3"/>
  </r>
  <r>
    <s v="L1_0042"/>
    <d v="2026-09-01T00:00:00"/>
    <x v="12"/>
    <s v="Wycombe Wanderers"/>
    <n v="2.56"/>
    <n v="1.02"/>
    <n v="2"/>
    <n v="1"/>
    <n v="3.58"/>
    <n v="3"/>
    <n v="1"/>
    <s v="Away"/>
    <n v="1.54"/>
    <n v="1"/>
    <n v="-0.56000000000000005"/>
    <s v="Win"/>
    <n v="3"/>
  </r>
  <r>
    <s v="L1_0043"/>
    <d v="2026-09-02T00:00:00"/>
    <x v="1"/>
    <s v="Barnsley"/>
    <n v="2.4"/>
    <n v="1.97"/>
    <n v="1"/>
    <n v="2"/>
    <n v="4.37"/>
    <n v="3"/>
    <n v="1"/>
    <s v="Away"/>
    <n v="0.42999999999999994"/>
    <n v="-1"/>
    <n v="-1.4"/>
    <s v="Loss"/>
    <n v="3"/>
  </r>
  <r>
    <s v="L1_0044"/>
    <d v="2026-09-02T00:00:00"/>
    <x v="13"/>
    <s v="Burton Albion"/>
    <n v="1.43"/>
    <n v="0.93"/>
    <n v="1"/>
    <n v="4"/>
    <n v="2.36"/>
    <n v="5"/>
    <n v="1"/>
    <s v="Away"/>
    <n v="0.49999999999999989"/>
    <n v="-3"/>
    <n v="-0.42999999999999994"/>
    <s v="Loss"/>
    <n v="3"/>
  </r>
  <r>
    <s v="L1_0045"/>
    <d v="2026-09-02T00:00:00"/>
    <x v="21"/>
    <s v="Luton Town"/>
    <n v="0.84"/>
    <n v="1.4"/>
    <n v="0"/>
    <n v="2"/>
    <n v="2.2399999999999998"/>
    <n v="2"/>
    <n v="1"/>
    <s v="Away"/>
    <n v="-0.55999999999999994"/>
    <n v="-2"/>
    <n v="-0.84"/>
    <s v="Loss"/>
    <n v="3"/>
  </r>
  <r>
    <s v="L1_0046"/>
    <d v="2026-09-02T00:00:00"/>
    <x v="7"/>
    <s v="Reading"/>
    <n v="2.8"/>
    <n v="2.35"/>
    <n v="0"/>
    <n v="5"/>
    <n v="5.15"/>
    <n v="5"/>
    <n v="1"/>
    <s v="Away"/>
    <n v="0.44999999999999973"/>
    <n v="-5"/>
    <n v="-2.8"/>
    <s v="Loss"/>
    <n v="3"/>
  </r>
  <r>
    <s v="L1_0047"/>
    <d v="2026-09-02T00:00:00"/>
    <x v="18"/>
    <s v="Wigan Athletic"/>
    <n v="1.37"/>
    <n v="2.68"/>
    <n v="1"/>
    <n v="3"/>
    <n v="4.0500000000000007"/>
    <n v="4"/>
    <n v="1"/>
    <s v="Away"/>
    <n v="-1.31"/>
    <n v="-2"/>
    <n v="-0.37000000000000011"/>
    <s v="Loss"/>
    <n v="3"/>
  </r>
  <r>
    <s v="L1_0048"/>
    <d v="2026-09-05T00:00:00"/>
    <x v="20"/>
    <s v="Barnsley"/>
    <n v="1.93"/>
    <n v="1.83"/>
    <n v="5"/>
    <n v="1"/>
    <n v="3.76"/>
    <n v="6"/>
    <n v="1"/>
    <s v="Away"/>
    <n v="9.9999999999999867E-2"/>
    <n v="4"/>
    <n v="3.0700000000000003"/>
    <s v="Win"/>
    <n v="2"/>
  </r>
  <r>
    <s v="L1_0049"/>
    <d v="2026-09-05T00:00:00"/>
    <x v="7"/>
    <s v="Bradford City"/>
    <n v="0.48"/>
    <n v="1.03"/>
    <n v="0"/>
    <n v="1"/>
    <n v="1.51"/>
    <n v="1"/>
    <n v="1"/>
    <s v="Away"/>
    <n v="-0.55000000000000004"/>
    <n v="-1"/>
    <n v="-0.48"/>
    <s v="Loss"/>
    <n v="2"/>
  </r>
  <r>
    <s v="L1_0050"/>
    <d v="2026-09-05T00:00:00"/>
    <x v="4"/>
    <s v="Burton Albion"/>
    <n v="0.9"/>
    <n v="2.31"/>
    <n v="2"/>
    <n v="2"/>
    <n v="3.21"/>
    <n v="4"/>
    <n v="1"/>
    <s v="Away"/>
    <n v="-1.4100000000000001"/>
    <n v="0"/>
    <n v="1.1000000000000001"/>
    <s v="Draw"/>
    <n v="2"/>
  </r>
  <r>
    <s v="L1_0051"/>
    <d v="2026-09-05T00:00:00"/>
    <x v="10"/>
    <s v="Doncaster Rovers"/>
    <n v="2.65"/>
    <n v="2.33"/>
    <n v="3"/>
    <n v="2"/>
    <n v="4.9800000000000004"/>
    <n v="5"/>
    <n v="1"/>
    <s v="Away"/>
    <n v="0.31999999999999984"/>
    <n v="1"/>
    <n v="0.35000000000000009"/>
    <s v="Win"/>
    <n v="2"/>
  </r>
  <r>
    <s v="L1_0052"/>
    <d v="2026-09-05T00:00:00"/>
    <x v="8"/>
    <s v="Huddersfield Town"/>
    <n v="1.24"/>
    <n v="1.41"/>
    <n v="1"/>
    <n v="1"/>
    <n v="2.65"/>
    <n v="2"/>
    <n v="1"/>
    <s v="Away"/>
    <n v="-0.16999999999999993"/>
    <n v="0"/>
    <n v="-0.24"/>
    <s v="Draw"/>
    <n v="2"/>
  </r>
  <r>
    <s v="L1_0053"/>
    <d v="2026-09-05T00:00:00"/>
    <x v="9"/>
    <s v="Leicester City"/>
    <n v="2.31"/>
    <n v="1.03"/>
    <n v="4"/>
    <n v="0"/>
    <n v="3.34"/>
    <n v="4"/>
    <n v="1"/>
    <s v="Away"/>
    <n v="1.28"/>
    <n v="4"/>
    <n v="1.69"/>
    <s v="Win"/>
    <n v="2"/>
  </r>
  <r>
    <s v="L1_0054"/>
    <d v="2026-09-05T00:00:00"/>
    <x v="6"/>
    <s v="Luton Town"/>
    <n v="0.56000000000000005"/>
    <n v="2.21"/>
    <n v="1"/>
    <n v="1"/>
    <n v="2.77"/>
    <n v="2"/>
    <n v="1"/>
    <s v="Away"/>
    <n v="-1.65"/>
    <n v="0"/>
    <n v="0.43999999999999995"/>
    <s v="Draw"/>
    <n v="2"/>
  </r>
  <r>
    <s v="L1_0055"/>
    <d v="2026-09-05T00:00:00"/>
    <x v="12"/>
    <s v="Peterborough United"/>
    <n v="1.36"/>
    <n v="1.97"/>
    <n v="2"/>
    <n v="1"/>
    <n v="3.33"/>
    <n v="3"/>
    <n v="1"/>
    <s v="Away"/>
    <n v="-0.60999999999999988"/>
    <n v="1"/>
    <n v="0.6399999999999999"/>
    <s v="Win"/>
    <n v="2"/>
  </r>
  <r>
    <s v="L1_0056"/>
    <d v="2026-09-05T00:00:00"/>
    <x v="1"/>
    <s v="Reading"/>
    <n v="0.51"/>
    <n v="3.5"/>
    <n v="1"/>
    <n v="3"/>
    <n v="4.01"/>
    <n v="4"/>
    <n v="1"/>
    <s v="Away"/>
    <n v="-2.99"/>
    <n v="-2"/>
    <n v="0.49"/>
    <s v="Loss"/>
    <n v="2"/>
  </r>
  <r>
    <s v="L1_0057"/>
    <d v="2026-09-05T00:00:00"/>
    <x v="21"/>
    <s v="Wigan Athletic"/>
    <n v="2.15"/>
    <n v="0.73"/>
    <n v="4"/>
    <n v="0"/>
    <n v="2.88"/>
    <n v="4"/>
    <n v="1"/>
    <s v="Away"/>
    <n v="1.42"/>
    <n v="4"/>
    <n v="1.85"/>
    <s v="Win"/>
    <n v="2"/>
  </r>
  <r>
    <s v="L1_0058"/>
    <d v="2026-09-05T00:00:00"/>
    <x v="18"/>
    <s v="Wycombe Wanderers"/>
    <n v="1.65"/>
    <n v="0.89"/>
    <n v="3"/>
    <n v="3"/>
    <n v="2.54"/>
    <n v="6"/>
    <n v="1"/>
    <s v="Away"/>
    <n v="0.7599999999999999"/>
    <n v="0"/>
    <n v="1.35"/>
    <s v="Draw"/>
    <n v="2"/>
  </r>
  <r>
    <s v="L1_0059"/>
    <d v="2026-09-07T00:00:00"/>
    <x v="13"/>
    <s v="Bromley"/>
    <n v="1.22"/>
    <n v="0.55000000000000004"/>
    <n v="2"/>
    <n v="0"/>
    <n v="1.77"/>
    <n v="2"/>
    <n v="1"/>
    <s v="Away"/>
    <n v="0.66999999999999993"/>
    <n v="2"/>
    <n v="0.78"/>
    <s v="Win"/>
    <n v="2"/>
  </r>
  <r>
    <s v="L1_0060"/>
    <d v="2026-09-08T00:00:00"/>
    <x v="11"/>
    <s v="Oxford United"/>
    <m/>
    <m/>
    <m/>
    <m/>
    <m/>
    <m/>
    <n v="1"/>
    <s v="Away"/>
    <m/>
    <m/>
    <m/>
    <m/>
    <s v=""/>
  </r>
  <r>
    <s v="L1_0061"/>
    <d v="2026-09-10T00:00:00"/>
    <x v="17"/>
    <s v="Stevenage"/>
    <n v="0.89"/>
    <n v="1.31"/>
    <n v="1"/>
    <n v="2"/>
    <n v="2.2000000000000002"/>
    <n v="3"/>
    <n v="1"/>
    <s v="Away"/>
    <n v="-0.42000000000000004"/>
    <n v="-1"/>
    <n v="0.10999999999999999"/>
    <s v="Loss"/>
    <n v="1"/>
  </r>
  <r>
    <s v="L1_0062"/>
    <d v="2026-09-12T00:00:00"/>
    <x v="15"/>
    <s v="AFC Wimbledon"/>
    <n v="2.41"/>
    <n v="0.81"/>
    <n v="0"/>
    <n v="1"/>
    <n v="3.22"/>
    <n v="1"/>
    <n v="1"/>
    <s v="Away"/>
    <n v="1.6"/>
    <n v="-1"/>
    <n v="-2.41"/>
    <s v="Loss"/>
    <n v="1"/>
  </r>
  <r>
    <s v="L1_0063"/>
    <d v="2026-09-12T00:00:00"/>
    <x v="14"/>
    <s v="Blackpool"/>
    <n v="1.38"/>
    <n v="1.17"/>
    <n v="2"/>
    <n v="2"/>
    <n v="2.5499999999999998"/>
    <n v="4"/>
    <n v="1"/>
    <s v="Away"/>
    <n v="0.20999999999999996"/>
    <n v="0"/>
    <n v="0.62000000000000011"/>
    <s v="Draw"/>
    <n v="1"/>
  </r>
  <r>
    <s v="L1_0064"/>
    <d v="2026-09-12T00:00:00"/>
    <x v="11"/>
    <s v="Cambridge United"/>
    <n v="1.99"/>
    <n v="0.94"/>
    <n v="1"/>
    <n v="2"/>
    <n v="2.9299999999999997"/>
    <n v="3"/>
    <n v="1"/>
    <s v="Away"/>
    <n v="1.05"/>
    <n v="-1"/>
    <n v="-0.99"/>
    <s v="Loss"/>
    <n v="1"/>
  </r>
  <r>
    <s v="L1_0065"/>
    <d v="2026-09-12T00:00:00"/>
    <x v="23"/>
    <s v="Leyton Orient"/>
    <n v="1.1599999999999999"/>
    <n v="0.88"/>
    <n v="3"/>
    <n v="2"/>
    <n v="2.04"/>
    <n v="5"/>
    <n v="1"/>
    <s v="Away"/>
    <n v="0.27999999999999992"/>
    <n v="1"/>
    <n v="1.84"/>
    <s v="Win"/>
    <n v="1"/>
  </r>
  <r>
    <s v="L1_0066"/>
    <d v="2026-09-12T00:00:00"/>
    <x v="5"/>
    <s v="Mansfield Town"/>
    <n v="1.36"/>
    <n v="0.86"/>
    <n v="0"/>
    <n v="0"/>
    <n v="2.2200000000000002"/>
    <n v="0"/>
    <n v="1"/>
    <s v="Away"/>
    <n v="0.50000000000000011"/>
    <n v="0"/>
    <n v="-1.36"/>
    <s v="Draw"/>
    <n v="1"/>
  </r>
  <r>
    <s v="L1_0067"/>
    <d v="2026-09-12T00:00:00"/>
    <x v="19"/>
    <s v="Milton Keynes Dons"/>
    <n v="1.21"/>
    <n v="1.24"/>
    <n v="1"/>
    <n v="1"/>
    <n v="2.4500000000000002"/>
    <n v="2"/>
    <n v="1"/>
    <s v="Away"/>
    <n v="-3.0000000000000027E-2"/>
    <n v="0"/>
    <n v="-0.20999999999999996"/>
    <s v="Draw"/>
    <n v="1"/>
  </r>
  <r>
    <s v="L1_0068"/>
    <d v="2026-09-12T00:00:00"/>
    <x v="2"/>
    <s v="Notts County"/>
    <n v="0.5"/>
    <n v="0.49"/>
    <n v="1"/>
    <n v="0"/>
    <n v="0.99"/>
    <n v="1"/>
    <n v="1"/>
    <s v="Away"/>
    <n v="1.0000000000000009E-2"/>
    <n v="1"/>
    <n v="0.5"/>
    <s v="Win"/>
    <n v="1"/>
  </r>
  <r>
    <s v="L1_0069"/>
    <d v="2026-09-12T00:00:00"/>
    <x v="3"/>
    <s v="Oxford United"/>
    <n v="0.47"/>
    <n v="1.21"/>
    <n v="0"/>
    <n v="3"/>
    <n v="1.68"/>
    <n v="3"/>
    <n v="1"/>
    <s v="Away"/>
    <n v="-0.74"/>
    <n v="-3"/>
    <n v="-0.47"/>
    <s v="Loss"/>
    <n v="1"/>
  </r>
  <r>
    <s v="L1_0070"/>
    <d v="2026-09-12T00:00:00"/>
    <x v="0"/>
    <s v="Plymouth Argyle"/>
    <n v="0.77"/>
    <n v="0.99"/>
    <n v="0"/>
    <n v="3"/>
    <n v="1.76"/>
    <n v="3"/>
    <n v="1"/>
    <s v="Away"/>
    <n v="-0.21999999999999997"/>
    <n v="-3"/>
    <n v="-0.77"/>
    <s v="Loss"/>
    <n v="1"/>
  </r>
  <r>
    <s v="L1_0071"/>
    <d v="2026-09-12T00:00:00"/>
    <x v="22"/>
    <s v="Sheffield Wednesday"/>
    <n v="1.59"/>
    <n v="0.82"/>
    <n v="0"/>
    <n v="0"/>
    <n v="2.41"/>
    <n v="0"/>
    <n v="1"/>
    <s v="Away"/>
    <n v="0.77000000000000013"/>
    <n v="0"/>
    <n v="-1.59"/>
    <s v="Draw"/>
    <n v="1"/>
  </r>
  <r>
    <s v="L1_0072"/>
    <d v="2026-09-12T00:00:00"/>
    <x v="16"/>
    <s v="Stockport County"/>
    <n v="1.21"/>
    <n v="2.29"/>
    <n v="4"/>
    <n v="3"/>
    <n v="3.5"/>
    <n v="7"/>
    <n v="1"/>
    <s v="Away"/>
    <n v="-1.08"/>
    <n v="1"/>
    <n v="2.79"/>
    <s v="Win"/>
    <n v="1"/>
  </r>
  <r>
    <s v="L1_0073"/>
    <d v="2026-09-17T00:00:00"/>
    <x v="18"/>
    <s v="AFC Wimbledon"/>
    <m/>
    <m/>
    <m/>
    <m/>
    <m/>
    <m/>
    <n v="1"/>
    <s v="Away"/>
    <m/>
    <m/>
    <m/>
    <m/>
    <s v=""/>
  </r>
  <r>
    <s v="L1_0074"/>
    <d v="2026-09-19T00:00:00"/>
    <x v="16"/>
    <s v="Barnsley"/>
    <m/>
    <m/>
    <m/>
    <m/>
    <m/>
    <m/>
    <n v="1"/>
    <s v="Away"/>
    <m/>
    <m/>
    <m/>
    <m/>
    <s v=""/>
  </r>
  <r>
    <s v="L1_0075"/>
    <d v="2026-09-19T00:00:00"/>
    <x v="10"/>
    <s v="Blackpool"/>
    <m/>
    <m/>
    <m/>
    <m/>
    <m/>
    <m/>
    <n v="1"/>
    <s v="Away"/>
    <m/>
    <m/>
    <m/>
    <m/>
    <s v=""/>
  </r>
  <r>
    <s v="L1_0076"/>
    <d v="2026-09-19T00:00:00"/>
    <x v="5"/>
    <s v="Bromley"/>
    <m/>
    <m/>
    <m/>
    <m/>
    <m/>
    <m/>
    <n v="1"/>
    <s v="Away"/>
    <m/>
    <m/>
    <m/>
    <m/>
    <s v=""/>
  </r>
  <r>
    <s v="L1_0077"/>
    <d v="2026-09-19T00:00:00"/>
    <x v="7"/>
    <s v="Burton Albion"/>
    <m/>
    <m/>
    <m/>
    <m/>
    <m/>
    <m/>
    <n v="1"/>
    <s v="Away"/>
    <m/>
    <m/>
    <m/>
    <m/>
    <s v=""/>
  </r>
  <r>
    <s v="L1_0078"/>
    <d v="2026-09-19T00:00:00"/>
    <x v="20"/>
    <s v="Leyton Orient"/>
    <m/>
    <m/>
    <m/>
    <m/>
    <m/>
    <m/>
    <n v="1"/>
    <s v="Away"/>
    <m/>
    <m/>
    <m/>
    <m/>
    <s v=""/>
  </r>
  <r>
    <s v="L1_0079"/>
    <d v="2026-09-19T00:00:00"/>
    <x v="2"/>
    <s v="Luton Town"/>
    <m/>
    <m/>
    <m/>
    <m/>
    <m/>
    <m/>
    <n v="1"/>
    <s v="Away"/>
    <m/>
    <m/>
    <m/>
    <m/>
    <s v=""/>
  </r>
  <r>
    <s v="L1_0080"/>
    <d v="2026-09-19T00:00:00"/>
    <x v="4"/>
    <s v="Oxford United"/>
    <m/>
    <m/>
    <m/>
    <m/>
    <m/>
    <m/>
    <n v="1"/>
    <s v="Away"/>
    <m/>
    <m/>
    <m/>
    <m/>
    <s v=""/>
  </r>
  <r>
    <s v="L1_0081"/>
    <d v="2026-09-19T00:00:00"/>
    <x v="15"/>
    <s v="Peterborough United"/>
    <m/>
    <m/>
    <m/>
    <m/>
    <m/>
    <m/>
    <n v="1"/>
    <s v="Away"/>
    <m/>
    <m/>
    <m/>
    <m/>
    <s v=""/>
  </r>
  <r>
    <s v="L1_0082"/>
    <d v="2026-09-19T00:00:00"/>
    <x v="8"/>
    <s v="Reading"/>
    <m/>
    <m/>
    <m/>
    <m/>
    <m/>
    <m/>
    <n v="1"/>
    <s v="Away"/>
    <m/>
    <m/>
    <m/>
    <m/>
    <s v=""/>
  </r>
  <r>
    <s v="L1_0083"/>
    <d v="2026-09-19T00:00:00"/>
    <x v="21"/>
    <s v="Sheffield Wednesday"/>
    <m/>
    <m/>
    <m/>
    <m/>
    <m/>
    <m/>
    <n v="1"/>
    <s v="Away"/>
    <m/>
    <m/>
    <m/>
    <m/>
    <s v=""/>
  </r>
  <r>
    <s v="L1_0084"/>
    <d v="2026-09-19T00:00:00"/>
    <x v="23"/>
    <s v="Wigan Athletic"/>
    <m/>
    <m/>
    <m/>
    <m/>
    <m/>
    <m/>
    <n v="1"/>
    <s v="Away"/>
    <m/>
    <m/>
    <m/>
    <m/>
    <s v=""/>
  </r>
  <r>
    <s v="L1_0085"/>
    <d v="2026-09-26T00:00:00"/>
    <x v="0"/>
    <s v="Bradford City"/>
    <m/>
    <m/>
    <m/>
    <m/>
    <m/>
    <m/>
    <n v="1"/>
    <s v="Away"/>
    <m/>
    <m/>
    <m/>
    <m/>
    <s v=""/>
  </r>
  <r>
    <s v="L1_0086"/>
    <d v="2026-09-26T00:00:00"/>
    <x v="13"/>
    <s v="Cambridge United"/>
    <m/>
    <m/>
    <m/>
    <m/>
    <m/>
    <m/>
    <n v="1"/>
    <s v="Away"/>
    <m/>
    <m/>
    <m/>
    <m/>
    <s v=""/>
  </r>
  <r>
    <s v="L1_0087"/>
    <d v="2026-09-26T00:00:00"/>
    <x v="9"/>
    <s v="Doncaster Rovers"/>
    <m/>
    <m/>
    <m/>
    <m/>
    <m/>
    <m/>
    <n v="1"/>
    <s v="Away"/>
    <m/>
    <m/>
    <m/>
    <m/>
    <s v=""/>
  </r>
  <r>
    <s v="L1_0088"/>
    <d v="2026-09-26T00:00:00"/>
    <x v="17"/>
    <s v="Huddersfield Town"/>
    <m/>
    <m/>
    <m/>
    <m/>
    <m/>
    <m/>
    <n v="1"/>
    <s v="Away"/>
    <m/>
    <m/>
    <m/>
    <m/>
    <s v=""/>
  </r>
  <r>
    <s v="L1_0089"/>
    <d v="2026-09-26T00:00:00"/>
    <x v="22"/>
    <s v="Leicester City"/>
    <m/>
    <m/>
    <m/>
    <m/>
    <m/>
    <m/>
    <n v="1"/>
    <s v="Away"/>
    <m/>
    <m/>
    <m/>
    <m/>
    <s v=""/>
  </r>
  <r>
    <s v="L1_0090"/>
    <d v="2026-09-26T00:00:00"/>
    <x v="6"/>
    <s v="Mansfield Town"/>
    <m/>
    <m/>
    <m/>
    <m/>
    <m/>
    <m/>
    <n v="1"/>
    <s v="Away"/>
    <m/>
    <m/>
    <m/>
    <m/>
    <s v=""/>
  </r>
  <r>
    <s v="L1_0091"/>
    <d v="2026-09-26T00:00:00"/>
    <x v="14"/>
    <s v="Milton Keynes Dons"/>
    <m/>
    <m/>
    <m/>
    <m/>
    <m/>
    <m/>
    <n v="1"/>
    <s v="Away"/>
    <m/>
    <m/>
    <m/>
    <m/>
    <s v=""/>
  </r>
  <r>
    <s v="L1_0092"/>
    <d v="2026-09-26T00:00:00"/>
    <x v="1"/>
    <s v="Notts County"/>
    <m/>
    <m/>
    <m/>
    <m/>
    <m/>
    <m/>
    <n v="1"/>
    <s v="Away"/>
    <m/>
    <m/>
    <m/>
    <m/>
    <s v=""/>
  </r>
  <r>
    <s v="L1_0093"/>
    <d v="2026-09-26T00:00:00"/>
    <x v="3"/>
    <s v="Plymouth Argyle"/>
    <m/>
    <m/>
    <m/>
    <m/>
    <m/>
    <m/>
    <n v="1"/>
    <s v="Away"/>
    <m/>
    <m/>
    <m/>
    <m/>
    <s v=""/>
  </r>
  <r>
    <s v="L1_0094"/>
    <d v="2026-09-26T00:00:00"/>
    <x v="12"/>
    <s v="Stevenage"/>
    <m/>
    <m/>
    <m/>
    <m/>
    <m/>
    <m/>
    <n v="1"/>
    <s v="Away"/>
    <m/>
    <m/>
    <m/>
    <m/>
    <s v=""/>
  </r>
  <r>
    <s v="L1_0095"/>
    <d v="2026-09-26T00:00:00"/>
    <x v="19"/>
    <s v="Stockport County"/>
    <m/>
    <m/>
    <m/>
    <m/>
    <m/>
    <m/>
    <n v="1"/>
    <s v="Away"/>
    <m/>
    <m/>
    <m/>
    <m/>
    <s v=""/>
  </r>
  <r>
    <s v="L1_0096"/>
    <d v="2026-09-26T00:00:00"/>
    <x v="11"/>
    <s v="Wycombe Wanderers"/>
    <m/>
    <m/>
    <m/>
    <m/>
    <m/>
    <m/>
    <n v="1"/>
    <s v="Away"/>
    <m/>
    <m/>
    <m/>
    <m/>
    <s v=""/>
  </r>
  <r>
    <s v="L1_0097"/>
    <d v="2026-10-03T00:00:00"/>
    <x v="20"/>
    <s v="AFC Wimbledon"/>
    <m/>
    <m/>
    <m/>
    <m/>
    <m/>
    <m/>
    <n v="1"/>
    <s v="Away"/>
    <m/>
    <m/>
    <m/>
    <m/>
    <s v=""/>
  </r>
  <r>
    <s v="L1_0098"/>
    <d v="2026-10-03T00:00:00"/>
    <x v="18"/>
    <s v="Barnsley"/>
    <m/>
    <m/>
    <m/>
    <m/>
    <m/>
    <m/>
    <n v="1"/>
    <s v="Away"/>
    <m/>
    <m/>
    <m/>
    <m/>
    <s v=""/>
  </r>
  <r>
    <s v="L1_0099"/>
    <d v="2026-10-03T00:00:00"/>
    <x v="16"/>
    <s v="Blackpool"/>
    <m/>
    <m/>
    <m/>
    <m/>
    <m/>
    <m/>
    <n v="1"/>
    <s v="Away"/>
    <m/>
    <m/>
    <m/>
    <m/>
    <s v=""/>
  </r>
  <r>
    <s v="L1_0100"/>
    <d v="2026-10-03T00:00:00"/>
    <x v="23"/>
    <s v="Bromley"/>
    <m/>
    <m/>
    <m/>
    <m/>
    <m/>
    <m/>
    <n v="1"/>
    <s v="Away"/>
    <m/>
    <m/>
    <m/>
    <m/>
    <s v=""/>
  </r>
  <r>
    <s v="L1_0101"/>
    <d v="2026-10-03T00:00:00"/>
    <x v="5"/>
    <s v="Burton Albion"/>
    <m/>
    <m/>
    <m/>
    <m/>
    <m/>
    <m/>
    <n v="1"/>
    <s v="Away"/>
    <m/>
    <m/>
    <m/>
    <m/>
    <s v=""/>
  </r>
  <r>
    <s v="L1_0102"/>
    <d v="2026-10-03T00:00:00"/>
    <x v="10"/>
    <s v="Leyton Orient"/>
    <m/>
    <m/>
    <m/>
    <m/>
    <m/>
    <m/>
    <n v="1"/>
    <s v="Away"/>
    <m/>
    <m/>
    <m/>
    <m/>
    <s v=""/>
  </r>
  <r>
    <s v="L1_0103"/>
    <d v="2026-10-03T00:00:00"/>
    <x v="15"/>
    <s v="Luton Town"/>
    <m/>
    <m/>
    <m/>
    <m/>
    <m/>
    <m/>
    <n v="1"/>
    <s v="Away"/>
    <m/>
    <m/>
    <m/>
    <m/>
    <s v=""/>
  </r>
  <r>
    <s v="L1_0104"/>
    <d v="2026-10-03T00:00:00"/>
    <x v="21"/>
    <s v="Oxford United"/>
    <m/>
    <m/>
    <m/>
    <m/>
    <m/>
    <m/>
    <n v="1"/>
    <s v="Away"/>
    <m/>
    <m/>
    <m/>
    <m/>
    <s v=""/>
  </r>
  <r>
    <s v="L1_0105"/>
    <d v="2026-10-03T00:00:00"/>
    <x v="8"/>
    <s v="Peterborough United"/>
    <m/>
    <m/>
    <m/>
    <m/>
    <m/>
    <m/>
    <n v="1"/>
    <s v="Away"/>
    <m/>
    <m/>
    <m/>
    <m/>
    <s v=""/>
  </r>
  <r>
    <s v="L1_0106"/>
    <d v="2026-10-03T00:00:00"/>
    <x v="2"/>
    <s v="Reading"/>
    <m/>
    <m/>
    <m/>
    <m/>
    <m/>
    <m/>
    <n v="1"/>
    <s v="Away"/>
    <m/>
    <m/>
    <m/>
    <m/>
    <s v=""/>
  </r>
  <r>
    <s v="L1_0107"/>
    <d v="2026-10-03T00:00:00"/>
    <x v="4"/>
    <s v="Sheffield Wednesday"/>
    <m/>
    <m/>
    <m/>
    <m/>
    <m/>
    <m/>
    <n v="1"/>
    <s v="Away"/>
    <m/>
    <m/>
    <m/>
    <m/>
    <s v=""/>
  </r>
  <r>
    <s v="L1_0108"/>
    <d v="2026-10-03T00:00:00"/>
    <x v="7"/>
    <s v="Wigan Athletic"/>
    <m/>
    <m/>
    <m/>
    <m/>
    <m/>
    <m/>
    <n v="1"/>
    <s v="Away"/>
    <m/>
    <m/>
    <m/>
    <m/>
    <s v=""/>
  </r>
  <r>
    <s v="L1_0109"/>
    <d v="2026-10-10T00:00:00"/>
    <x v="6"/>
    <s v="Bradford City"/>
    <m/>
    <m/>
    <m/>
    <m/>
    <m/>
    <m/>
    <n v="1"/>
    <s v="Away"/>
    <m/>
    <m/>
    <m/>
    <m/>
    <s v=""/>
  </r>
  <r>
    <s v="L1_0110"/>
    <d v="2026-10-10T00:00:00"/>
    <x v="1"/>
    <s v="Cambridge United"/>
    <m/>
    <m/>
    <m/>
    <m/>
    <m/>
    <m/>
    <n v="1"/>
    <s v="Away"/>
    <m/>
    <m/>
    <m/>
    <m/>
    <s v=""/>
  </r>
  <r>
    <s v="L1_0111"/>
    <d v="2026-10-10T00:00:00"/>
    <x v="3"/>
    <s v="Doncaster Rovers"/>
    <m/>
    <m/>
    <m/>
    <m/>
    <m/>
    <m/>
    <n v="1"/>
    <s v="Away"/>
    <m/>
    <m/>
    <m/>
    <m/>
    <s v=""/>
  </r>
  <r>
    <s v="L1_0112"/>
    <d v="2026-10-10T00:00:00"/>
    <x v="12"/>
    <s v="Huddersfield Town"/>
    <m/>
    <m/>
    <m/>
    <m/>
    <m/>
    <m/>
    <n v="1"/>
    <s v="Away"/>
    <m/>
    <m/>
    <m/>
    <m/>
    <s v=""/>
  </r>
  <r>
    <s v="L1_0113"/>
    <d v="2026-10-10T00:00:00"/>
    <x v="19"/>
    <s v="Leicester City"/>
    <m/>
    <m/>
    <m/>
    <m/>
    <m/>
    <m/>
    <n v="1"/>
    <s v="Away"/>
    <m/>
    <m/>
    <m/>
    <m/>
    <s v=""/>
  </r>
  <r>
    <s v="L1_0114"/>
    <d v="2026-10-10T00:00:00"/>
    <x v="14"/>
    <s v="Mansfield Town"/>
    <m/>
    <m/>
    <m/>
    <m/>
    <m/>
    <m/>
    <n v="1"/>
    <s v="Away"/>
    <m/>
    <m/>
    <m/>
    <m/>
    <s v=""/>
  </r>
  <r>
    <s v="L1_0115"/>
    <d v="2026-10-10T00:00:00"/>
    <x v="11"/>
    <s v="Milton Keynes Dons"/>
    <m/>
    <m/>
    <m/>
    <m/>
    <m/>
    <m/>
    <n v="1"/>
    <s v="Away"/>
    <m/>
    <m/>
    <m/>
    <m/>
    <s v=""/>
  </r>
  <r>
    <s v="L1_0116"/>
    <d v="2026-10-10T00:00:00"/>
    <x v="9"/>
    <s v="Notts County"/>
    <m/>
    <m/>
    <m/>
    <m/>
    <m/>
    <m/>
    <n v="1"/>
    <s v="Away"/>
    <m/>
    <m/>
    <m/>
    <m/>
    <s v=""/>
  </r>
  <r>
    <s v="L1_0117"/>
    <d v="2026-10-10T00:00:00"/>
    <x v="13"/>
    <s v="Plymouth Argyle"/>
    <m/>
    <m/>
    <m/>
    <m/>
    <m/>
    <m/>
    <n v="1"/>
    <s v="Away"/>
    <m/>
    <m/>
    <m/>
    <m/>
    <s v=""/>
  </r>
  <r>
    <s v="L1_0118"/>
    <d v="2026-10-10T00:00:00"/>
    <x v="22"/>
    <s v="Stevenage"/>
    <m/>
    <m/>
    <m/>
    <m/>
    <m/>
    <m/>
    <n v="1"/>
    <s v="Away"/>
    <m/>
    <m/>
    <m/>
    <m/>
    <s v=""/>
  </r>
  <r>
    <s v="L1_0119"/>
    <d v="2026-10-10T00:00:00"/>
    <x v="0"/>
    <s v="Stockport County"/>
    <m/>
    <m/>
    <m/>
    <m/>
    <m/>
    <m/>
    <n v="1"/>
    <s v="Away"/>
    <m/>
    <m/>
    <m/>
    <m/>
    <s v=""/>
  </r>
  <r>
    <s v="L1_0120"/>
    <d v="2026-10-10T00:00:00"/>
    <x v="17"/>
    <s v="Wycombe Wanderers"/>
    <m/>
    <m/>
    <m/>
    <m/>
    <m/>
    <m/>
    <n v="1"/>
    <s v="Away"/>
    <m/>
    <m/>
    <m/>
    <m/>
    <s v=""/>
  </r>
  <r>
    <s v="L1_0121"/>
    <d v="2026-10-15T00:00:00"/>
    <x v="9"/>
    <s v="Mansfield Town"/>
    <m/>
    <m/>
    <m/>
    <m/>
    <m/>
    <m/>
    <n v="1"/>
    <s v="Away"/>
    <m/>
    <m/>
    <m/>
    <m/>
    <s v=""/>
  </r>
  <r>
    <s v="L1_0122"/>
    <d v="2026-10-17T00:00:00"/>
    <x v="4"/>
    <s v="Barnsley"/>
    <m/>
    <m/>
    <m/>
    <m/>
    <m/>
    <m/>
    <n v="1"/>
    <s v="Away"/>
    <m/>
    <m/>
    <m/>
    <m/>
    <s v=""/>
  </r>
  <r>
    <s v="L1_0123"/>
    <d v="2026-10-17T00:00:00"/>
    <x v="20"/>
    <s v="Bradford City"/>
    <m/>
    <m/>
    <m/>
    <m/>
    <m/>
    <m/>
    <n v="1"/>
    <s v="Away"/>
    <m/>
    <m/>
    <m/>
    <m/>
    <s v=""/>
  </r>
  <r>
    <s v="L1_0124"/>
    <d v="2026-10-17T00:00:00"/>
    <x v="15"/>
    <s v="Leicester City"/>
    <m/>
    <m/>
    <m/>
    <m/>
    <m/>
    <m/>
    <n v="1"/>
    <s v="Away"/>
    <m/>
    <m/>
    <m/>
    <m/>
    <s v=""/>
  </r>
  <r>
    <s v="L1_0125"/>
    <d v="2026-10-17T00:00:00"/>
    <x v="1"/>
    <s v="Leyton Orient"/>
    <m/>
    <m/>
    <m/>
    <m/>
    <m/>
    <m/>
    <n v="1"/>
    <s v="Away"/>
    <m/>
    <m/>
    <m/>
    <m/>
    <s v=""/>
  </r>
  <r>
    <s v="L1_0126"/>
    <d v="2026-10-17T00:00:00"/>
    <x v="17"/>
    <s v="Milton Keynes Dons"/>
    <m/>
    <m/>
    <m/>
    <m/>
    <m/>
    <m/>
    <n v="1"/>
    <s v="Away"/>
    <m/>
    <m/>
    <m/>
    <m/>
    <s v=""/>
  </r>
  <r>
    <s v="L1_0127"/>
    <d v="2026-10-17T00:00:00"/>
    <x v="3"/>
    <s v="Peterborough United"/>
    <m/>
    <m/>
    <m/>
    <m/>
    <m/>
    <m/>
    <n v="1"/>
    <s v="Away"/>
    <m/>
    <m/>
    <m/>
    <m/>
    <s v=""/>
  </r>
  <r>
    <s v="L1_0128"/>
    <d v="2026-10-17T00:00:00"/>
    <x v="5"/>
    <s v="Plymouth Argyle"/>
    <m/>
    <m/>
    <m/>
    <m/>
    <m/>
    <m/>
    <n v="1"/>
    <s v="Away"/>
    <m/>
    <m/>
    <m/>
    <m/>
    <s v=""/>
  </r>
  <r>
    <s v="L1_0129"/>
    <d v="2026-10-17T00:00:00"/>
    <x v="13"/>
    <s v="Sheffield Wednesday"/>
    <m/>
    <m/>
    <m/>
    <m/>
    <m/>
    <m/>
    <n v="1"/>
    <s v="Away"/>
    <m/>
    <m/>
    <m/>
    <m/>
    <s v=""/>
  </r>
  <r>
    <s v="L1_0130"/>
    <d v="2026-10-17T00:00:00"/>
    <x v="14"/>
    <s v="Stockport County"/>
    <m/>
    <m/>
    <m/>
    <m/>
    <m/>
    <m/>
    <n v="1"/>
    <s v="Away"/>
    <m/>
    <m/>
    <m/>
    <m/>
    <s v=""/>
  </r>
  <r>
    <s v="L1_0131"/>
    <d v="2026-10-17T00:00:00"/>
    <x v="11"/>
    <s v="Wigan Athletic"/>
    <m/>
    <m/>
    <m/>
    <m/>
    <m/>
    <m/>
    <n v="1"/>
    <s v="Away"/>
    <m/>
    <m/>
    <m/>
    <m/>
    <s v=""/>
  </r>
  <r>
    <s v="L1_0132"/>
    <d v="2026-10-17T00:00:00"/>
    <x v="8"/>
    <s v="Wycombe Wanderers"/>
    <m/>
    <m/>
    <m/>
    <m/>
    <m/>
    <m/>
    <n v="1"/>
    <s v="Away"/>
    <m/>
    <m/>
    <m/>
    <m/>
    <s v=""/>
  </r>
  <r>
    <s v="L1_0133"/>
    <d v="2026-10-20T00:00:00"/>
    <x v="7"/>
    <s v="AFC Wimbledon"/>
    <m/>
    <m/>
    <m/>
    <m/>
    <m/>
    <m/>
    <n v="1"/>
    <s v="Away"/>
    <m/>
    <m/>
    <m/>
    <m/>
    <s v=""/>
  </r>
  <r>
    <s v="L1_0134"/>
    <d v="2026-10-20T00:00:00"/>
    <x v="18"/>
    <s v="Blackpool"/>
    <m/>
    <m/>
    <m/>
    <m/>
    <m/>
    <m/>
    <n v="1"/>
    <s v="Away"/>
    <m/>
    <m/>
    <m/>
    <m/>
    <s v=""/>
  </r>
  <r>
    <s v="L1_0135"/>
    <d v="2026-10-20T00:00:00"/>
    <x v="16"/>
    <s v="Bromley"/>
    <m/>
    <m/>
    <m/>
    <m/>
    <m/>
    <m/>
    <n v="1"/>
    <s v="Away"/>
    <m/>
    <m/>
    <m/>
    <m/>
    <s v=""/>
  </r>
  <r>
    <s v="L1_0136"/>
    <d v="2026-10-20T00:00:00"/>
    <x v="2"/>
    <s v="Burton Albion"/>
    <m/>
    <m/>
    <m/>
    <m/>
    <m/>
    <m/>
    <n v="1"/>
    <s v="Away"/>
    <m/>
    <m/>
    <m/>
    <m/>
    <s v=""/>
  </r>
  <r>
    <s v="L1_0137"/>
    <d v="2026-10-20T00:00:00"/>
    <x v="23"/>
    <s v="Cambridge United"/>
    <m/>
    <m/>
    <m/>
    <m/>
    <m/>
    <m/>
    <n v="1"/>
    <s v="Away"/>
    <m/>
    <m/>
    <m/>
    <m/>
    <s v=""/>
  </r>
  <r>
    <s v="L1_0138"/>
    <d v="2026-10-20T00:00:00"/>
    <x v="21"/>
    <s v="Doncaster Rovers"/>
    <m/>
    <m/>
    <m/>
    <m/>
    <m/>
    <m/>
    <n v="1"/>
    <s v="Away"/>
    <m/>
    <m/>
    <m/>
    <m/>
    <s v=""/>
  </r>
  <r>
    <s v="L1_0139"/>
    <d v="2026-10-20T00:00:00"/>
    <x v="19"/>
    <s v="Huddersfield Town"/>
    <m/>
    <m/>
    <m/>
    <m/>
    <m/>
    <m/>
    <n v="1"/>
    <s v="Away"/>
    <m/>
    <m/>
    <m/>
    <m/>
    <s v=""/>
  </r>
  <r>
    <s v="L1_0140"/>
    <d v="2026-10-20T00:00:00"/>
    <x v="0"/>
    <s v="Luton Town"/>
    <m/>
    <m/>
    <m/>
    <m/>
    <m/>
    <m/>
    <n v="1"/>
    <s v="Away"/>
    <m/>
    <m/>
    <m/>
    <m/>
    <s v=""/>
  </r>
  <r>
    <s v="L1_0141"/>
    <d v="2026-10-20T00:00:00"/>
    <x v="12"/>
    <s v="Notts County"/>
    <m/>
    <m/>
    <m/>
    <m/>
    <m/>
    <m/>
    <n v="1"/>
    <s v="Away"/>
    <m/>
    <m/>
    <m/>
    <m/>
    <s v=""/>
  </r>
  <r>
    <s v="L1_0142"/>
    <d v="2026-10-20T00:00:00"/>
    <x v="22"/>
    <s v="Oxford United"/>
    <m/>
    <m/>
    <m/>
    <m/>
    <m/>
    <m/>
    <n v="1"/>
    <s v="Away"/>
    <m/>
    <m/>
    <m/>
    <m/>
    <s v=""/>
  </r>
  <r>
    <s v="L1_0143"/>
    <d v="2026-10-20T00:00:00"/>
    <x v="10"/>
    <s v="Stevenage"/>
    <m/>
    <m/>
    <m/>
    <m/>
    <m/>
    <m/>
    <n v="1"/>
    <s v="Away"/>
    <m/>
    <m/>
    <m/>
    <m/>
    <s v=""/>
  </r>
  <r>
    <s v="L1_0144"/>
    <d v="2026-10-21T00:00:00"/>
    <x v="6"/>
    <s v="Reading"/>
    <m/>
    <m/>
    <m/>
    <m/>
    <m/>
    <m/>
    <n v="1"/>
    <s v="Away"/>
    <m/>
    <m/>
    <m/>
    <m/>
    <s v=""/>
  </r>
  <r>
    <s v="L1_0145"/>
    <d v="2026-10-24T00:00:00"/>
    <x v="23"/>
    <s v="AFC Wimbledon"/>
    <m/>
    <m/>
    <m/>
    <m/>
    <m/>
    <m/>
    <n v="1"/>
    <s v="Away"/>
    <m/>
    <m/>
    <m/>
    <m/>
    <s v=""/>
  </r>
  <r>
    <s v="L1_0146"/>
    <d v="2026-10-24T00:00:00"/>
    <x v="7"/>
    <s v="Blackpool"/>
    <m/>
    <m/>
    <m/>
    <m/>
    <m/>
    <m/>
    <n v="1"/>
    <s v="Away"/>
    <m/>
    <m/>
    <m/>
    <m/>
    <s v=""/>
  </r>
  <r>
    <s v="L1_0147"/>
    <d v="2026-10-24T00:00:00"/>
    <x v="19"/>
    <s v="Bromley"/>
    <m/>
    <m/>
    <m/>
    <m/>
    <m/>
    <m/>
    <n v="1"/>
    <s v="Away"/>
    <m/>
    <m/>
    <m/>
    <m/>
    <s v=""/>
  </r>
  <r>
    <s v="L1_0148"/>
    <d v="2026-10-24T00:00:00"/>
    <x v="6"/>
    <s v="Burton Albion"/>
    <m/>
    <m/>
    <m/>
    <m/>
    <m/>
    <m/>
    <n v="1"/>
    <s v="Away"/>
    <m/>
    <m/>
    <m/>
    <m/>
    <s v=""/>
  </r>
  <r>
    <s v="L1_0149"/>
    <d v="2026-10-24T00:00:00"/>
    <x v="10"/>
    <s v="Cambridge United"/>
    <m/>
    <m/>
    <m/>
    <m/>
    <m/>
    <m/>
    <n v="1"/>
    <s v="Away"/>
    <m/>
    <m/>
    <m/>
    <m/>
    <s v=""/>
  </r>
  <r>
    <s v="L1_0150"/>
    <d v="2026-10-24T00:00:00"/>
    <x v="12"/>
    <s v="Doncaster Rovers"/>
    <m/>
    <m/>
    <m/>
    <m/>
    <m/>
    <m/>
    <n v="1"/>
    <s v="Away"/>
    <m/>
    <m/>
    <m/>
    <m/>
    <s v=""/>
  </r>
  <r>
    <s v="L1_0151"/>
    <d v="2026-10-24T00:00:00"/>
    <x v="22"/>
    <s v="Huddersfield Town"/>
    <m/>
    <m/>
    <m/>
    <m/>
    <m/>
    <m/>
    <n v="1"/>
    <s v="Away"/>
    <m/>
    <m/>
    <m/>
    <m/>
    <s v=""/>
  </r>
  <r>
    <s v="L1_0152"/>
    <d v="2026-10-24T00:00:00"/>
    <x v="16"/>
    <s v="Luton Town"/>
    <m/>
    <m/>
    <m/>
    <m/>
    <m/>
    <m/>
    <n v="1"/>
    <s v="Away"/>
    <m/>
    <m/>
    <m/>
    <m/>
    <s v=""/>
  </r>
  <r>
    <s v="L1_0153"/>
    <d v="2026-10-24T00:00:00"/>
    <x v="21"/>
    <s v="Notts County"/>
    <m/>
    <m/>
    <m/>
    <m/>
    <m/>
    <m/>
    <n v="1"/>
    <s v="Away"/>
    <m/>
    <m/>
    <m/>
    <m/>
    <s v=""/>
  </r>
  <r>
    <s v="L1_0154"/>
    <d v="2026-10-24T00:00:00"/>
    <x v="2"/>
    <s v="Oxford United"/>
    <m/>
    <m/>
    <m/>
    <m/>
    <m/>
    <m/>
    <n v="1"/>
    <s v="Away"/>
    <m/>
    <m/>
    <m/>
    <m/>
    <s v=""/>
  </r>
  <r>
    <s v="L1_0155"/>
    <d v="2026-10-24T00:00:00"/>
    <x v="0"/>
    <s v="Reading"/>
    <m/>
    <m/>
    <m/>
    <m/>
    <m/>
    <m/>
    <n v="1"/>
    <s v="Away"/>
    <m/>
    <m/>
    <m/>
    <m/>
    <s v=""/>
  </r>
  <r>
    <s v="L1_0156"/>
    <d v="2026-10-24T00:00:00"/>
    <x v="18"/>
    <s v="Stevenage"/>
    <m/>
    <m/>
    <m/>
    <m/>
    <m/>
    <m/>
    <n v="1"/>
    <s v="Away"/>
    <m/>
    <m/>
    <m/>
    <m/>
    <s v=""/>
  </r>
  <r>
    <s v="L1_0157"/>
    <d v="2026-10-31T00:00:00"/>
    <x v="9"/>
    <s v="Barnsley"/>
    <m/>
    <m/>
    <m/>
    <m/>
    <m/>
    <m/>
    <n v="1"/>
    <s v="Away"/>
    <m/>
    <m/>
    <m/>
    <m/>
    <s v=""/>
  </r>
  <r>
    <s v="L1_0158"/>
    <d v="2026-10-31T00:00:00"/>
    <x v="5"/>
    <s v="Bradford City"/>
    <m/>
    <m/>
    <m/>
    <m/>
    <m/>
    <m/>
    <n v="1"/>
    <s v="Away"/>
    <m/>
    <m/>
    <m/>
    <m/>
    <s v=""/>
  </r>
  <r>
    <s v="L1_0159"/>
    <d v="2026-10-31T00:00:00"/>
    <x v="20"/>
    <s v="Leicester City"/>
    <m/>
    <m/>
    <m/>
    <m/>
    <m/>
    <m/>
    <n v="1"/>
    <s v="Away"/>
    <m/>
    <m/>
    <m/>
    <m/>
    <s v=""/>
  </r>
  <r>
    <s v="L1_0160"/>
    <d v="2026-10-31T00:00:00"/>
    <x v="4"/>
    <s v="Leyton Orient"/>
    <m/>
    <m/>
    <m/>
    <m/>
    <m/>
    <m/>
    <n v="1"/>
    <s v="Away"/>
    <m/>
    <m/>
    <m/>
    <m/>
    <s v=""/>
  </r>
  <r>
    <s v="L1_0161"/>
    <d v="2026-10-31T00:00:00"/>
    <x v="8"/>
    <s v="Mansfield Town"/>
    <m/>
    <m/>
    <m/>
    <m/>
    <m/>
    <m/>
    <n v="1"/>
    <s v="Away"/>
    <m/>
    <m/>
    <m/>
    <m/>
    <s v=""/>
  </r>
  <r>
    <s v="L1_0162"/>
    <d v="2026-10-31T00:00:00"/>
    <x v="15"/>
    <s v="Milton Keynes Dons"/>
    <m/>
    <m/>
    <m/>
    <m/>
    <m/>
    <m/>
    <n v="1"/>
    <s v="Away"/>
    <m/>
    <m/>
    <m/>
    <m/>
    <s v=""/>
  </r>
  <r>
    <s v="L1_0163"/>
    <d v="2026-10-31T00:00:00"/>
    <x v="17"/>
    <s v="Peterborough United"/>
    <m/>
    <m/>
    <m/>
    <m/>
    <m/>
    <m/>
    <n v="1"/>
    <s v="Away"/>
    <m/>
    <m/>
    <m/>
    <m/>
    <s v=""/>
  </r>
  <r>
    <s v="L1_0164"/>
    <d v="2026-10-31T00:00:00"/>
    <x v="11"/>
    <s v="Plymouth Argyle"/>
    <m/>
    <m/>
    <m/>
    <m/>
    <m/>
    <m/>
    <n v="1"/>
    <s v="Away"/>
    <m/>
    <m/>
    <m/>
    <m/>
    <s v=""/>
  </r>
  <r>
    <s v="L1_0165"/>
    <d v="2026-10-31T00:00:00"/>
    <x v="13"/>
    <s v="Stockport County"/>
    <m/>
    <m/>
    <m/>
    <m/>
    <m/>
    <m/>
    <n v="1"/>
    <s v="Away"/>
    <m/>
    <m/>
    <m/>
    <m/>
    <s v=""/>
  </r>
  <r>
    <s v="L1_0166"/>
    <d v="2026-10-31T00:00:00"/>
    <x v="14"/>
    <s v="Wigan Athletic"/>
    <m/>
    <m/>
    <m/>
    <m/>
    <m/>
    <m/>
    <n v="1"/>
    <s v="Away"/>
    <m/>
    <m/>
    <m/>
    <m/>
    <s v=""/>
  </r>
  <r>
    <s v="L1_0167"/>
    <d v="2026-10-31T00:00:00"/>
    <x v="3"/>
    <s v="Wycombe Wanderers"/>
    <m/>
    <m/>
    <m/>
    <m/>
    <m/>
    <m/>
    <n v="1"/>
    <s v="Away"/>
    <m/>
    <m/>
    <m/>
    <m/>
    <s v=""/>
  </r>
  <r>
    <s v="L1_0168"/>
    <d v="2026-11-01T00:00:00"/>
    <x v="1"/>
    <s v="Sheffield Wednesday"/>
    <m/>
    <m/>
    <m/>
    <m/>
    <m/>
    <m/>
    <n v="1"/>
    <s v="Away"/>
    <m/>
    <m/>
    <m/>
    <m/>
    <s v=""/>
  </r>
  <r>
    <s v="L1_0169"/>
    <d v="2026-11-14T00:00:00"/>
    <x v="1"/>
    <s v="AFC Wimbledon"/>
    <m/>
    <m/>
    <m/>
    <m/>
    <m/>
    <m/>
    <n v="1"/>
    <s v="Away"/>
    <m/>
    <m/>
    <m/>
    <m/>
    <s v=""/>
  </r>
  <r>
    <s v="L1_0170"/>
    <d v="2026-11-14T00:00:00"/>
    <x v="8"/>
    <s v="Bromley"/>
    <m/>
    <m/>
    <m/>
    <m/>
    <m/>
    <m/>
    <n v="1"/>
    <s v="Away"/>
    <m/>
    <m/>
    <m/>
    <m/>
    <s v=""/>
  </r>
  <r>
    <s v="L1_0171"/>
    <d v="2026-11-14T00:00:00"/>
    <x v="6"/>
    <s v="Doncaster Rovers"/>
    <m/>
    <m/>
    <m/>
    <m/>
    <m/>
    <m/>
    <n v="1"/>
    <s v="Away"/>
    <m/>
    <m/>
    <m/>
    <m/>
    <s v=""/>
  </r>
  <r>
    <s v="L1_0172"/>
    <d v="2026-11-14T00:00:00"/>
    <x v="2"/>
    <s v="Leicester City"/>
    <m/>
    <m/>
    <m/>
    <m/>
    <m/>
    <m/>
    <n v="1"/>
    <s v="Away"/>
    <m/>
    <m/>
    <m/>
    <m/>
    <s v=""/>
  </r>
  <r>
    <s v="L1_0173"/>
    <d v="2026-11-14T00:00:00"/>
    <x v="4"/>
    <s v="Luton Town"/>
    <m/>
    <m/>
    <m/>
    <m/>
    <m/>
    <m/>
    <n v="1"/>
    <s v="Away"/>
    <m/>
    <m/>
    <m/>
    <m/>
    <s v=""/>
  </r>
  <r>
    <s v="L1_0174"/>
    <d v="2026-11-14T00:00:00"/>
    <x v="3"/>
    <s v="Milton Keynes Dons"/>
    <m/>
    <m/>
    <m/>
    <m/>
    <m/>
    <m/>
    <n v="1"/>
    <s v="Away"/>
    <m/>
    <m/>
    <m/>
    <m/>
    <s v=""/>
  </r>
  <r>
    <s v="L1_0175"/>
    <d v="2026-11-14T00:00:00"/>
    <x v="9"/>
    <s v="Peterborough United"/>
    <m/>
    <m/>
    <m/>
    <m/>
    <m/>
    <m/>
    <n v="1"/>
    <s v="Away"/>
    <m/>
    <m/>
    <m/>
    <m/>
    <s v=""/>
  </r>
  <r>
    <s v="L1_0176"/>
    <d v="2026-11-14T00:00:00"/>
    <x v="10"/>
    <s v="Sheffield Wednesday"/>
    <m/>
    <m/>
    <m/>
    <m/>
    <m/>
    <m/>
    <n v="1"/>
    <s v="Away"/>
    <m/>
    <m/>
    <m/>
    <m/>
    <s v=""/>
  </r>
  <r>
    <s v="L1_0177"/>
    <d v="2026-11-14T00:00:00"/>
    <x v="7"/>
    <s v="Stevenage"/>
    <m/>
    <m/>
    <m/>
    <m/>
    <m/>
    <m/>
    <n v="1"/>
    <s v="Away"/>
    <m/>
    <m/>
    <m/>
    <m/>
    <s v=""/>
  </r>
  <r>
    <s v="L1_0178"/>
    <d v="2026-11-14T00:00:00"/>
    <x v="11"/>
    <s v="Stockport County"/>
    <m/>
    <m/>
    <m/>
    <m/>
    <m/>
    <m/>
    <n v="1"/>
    <s v="Away"/>
    <m/>
    <m/>
    <m/>
    <m/>
    <s v=""/>
  </r>
  <r>
    <s v="L1_0179"/>
    <d v="2026-11-14T00:00:00"/>
    <x v="0"/>
    <s v="Wigan Athletic"/>
    <m/>
    <m/>
    <m/>
    <m/>
    <m/>
    <m/>
    <n v="1"/>
    <s v="Away"/>
    <m/>
    <m/>
    <m/>
    <m/>
    <s v=""/>
  </r>
  <r>
    <s v="L1_0180"/>
    <d v="2026-11-14T00:00:00"/>
    <x v="5"/>
    <s v="Wycombe Wanderers"/>
    <m/>
    <m/>
    <m/>
    <m/>
    <m/>
    <m/>
    <n v="1"/>
    <s v="Away"/>
    <m/>
    <m/>
    <m/>
    <m/>
    <s v=""/>
  </r>
  <r>
    <s v="L1_0181"/>
    <d v="2026-11-20T00:00:00"/>
    <x v="12"/>
    <s v="Barnsley"/>
    <m/>
    <m/>
    <m/>
    <m/>
    <m/>
    <m/>
    <n v="1"/>
    <s v="Away"/>
    <m/>
    <m/>
    <m/>
    <m/>
    <s v=""/>
  </r>
  <r>
    <s v="L1_0182"/>
    <d v="2026-11-21T00:00:00"/>
    <x v="22"/>
    <s v="Blackpool"/>
    <m/>
    <m/>
    <m/>
    <m/>
    <m/>
    <m/>
    <n v="1"/>
    <s v="Away"/>
    <m/>
    <m/>
    <m/>
    <m/>
    <s v=""/>
  </r>
  <r>
    <s v="L1_0183"/>
    <d v="2026-11-21T00:00:00"/>
    <x v="15"/>
    <s v="Bradford City"/>
    <m/>
    <m/>
    <m/>
    <m/>
    <m/>
    <m/>
    <n v="1"/>
    <s v="Away"/>
    <m/>
    <m/>
    <m/>
    <m/>
    <s v=""/>
  </r>
  <r>
    <s v="L1_0184"/>
    <d v="2026-11-21T00:00:00"/>
    <x v="17"/>
    <s v="Burton Albion"/>
    <m/>
    <m/>
    <m/>
    <m/>
    <m/>
    <m/>
    <n v="1"/>
    <s v="Away"/>
    <m/>
    <m/>
    <m/>
    <m/>
    <s v=""/>
  </r>
  <r>
    <s v="L1_0185"/>
    <d v="2026-11-21T00:00:00"/>
    <x v="21"/>
    <s v="Cambridge United"/>
    <m/>
    <m/>
    <m/>
    <m/>
    <m/>
    <m/>
    <n v="1"/>
    <s v="Away"/>
    <m/>
    <m/>
    <m/>
    <m/>
    <s v=""/>
  </r>
  <r>
    <s v="L1_0186"/>
    <d v="2026-11-21T00:00:00"/>
    <x v="16"/>
    <s v="Huddersfield Town"/>
    <m/>
    <m/>
    <m/>
    <m/>
    <m/>
    <m/>
    <n v="1"/>
    <s v="Away"/>
    <m/>
    <m/>
    <m/>
    <m/>
    <s v=""/>
  </r>
  <r>
    <s v="L1_0187"/>
    <d v="2026-11-21T00:00:00"/>
    <x v="13"/>
    <s v="Leyton Orient"/>
    <m/>
    <m/>
    <m/>
    <m/>
    <m/>
    <m/>
    <n v="1"/>
    <s v="Away"/>
    <m/>
    <m/>
    <m/>
    <m/>
    <s v=""/>
  </r>
  <r>
    <s v="L1_0188"/>
    <d v="2026-11-21T00:00:00"/>
    <x v="18"/>
    <s v="Mansfield Town"/>
    <m/>
    <m/>
    <m/>
    <m/>
    <m/>
    <m/>
    <n v="1"/>
    <s v="Away"/>
    <m/>
    <m/>
    <m/>
    <m/>
    <s v=""/>
  </r>
  <r>
    <s v="L1_0189"/>
    <d v="2026-11-21T00:00:00"/>
    <x v="20"/>
    <s v="Notts County"/>
    <m/>
    <m/>
    <m/>
    <m/>
    <m/>
    <m/>
    <n v="1"/>
    <s v="Away"/>
    <m/>
    <m/>
    <m/>
    <m/>
    <s v=""/>
  </r>
  <r>
    <s v="L1_0190"/>
    <d v="2026-11-21T00:00:00"/>
    <x v="23"/>
    <s v="Oxford United"/>
    <m/>
    <m/>
    <m/>
    <m/>
    <m/>
    <m/>
    <n v="1"/>
    <s v="Away"/>
    <m/>
    <m/>
    <m/>
    <m/>
    <s v=""/>
  </r>
  <r>
    <s v="L1_0191"/>
    <d v="2026-11-21T00:00:00"/>
    <x v="19"/>
    <s v="Plymouth Argyle"/>
    <m/>
    <m/>
    <m/>
    <m/>
    <m/>
    <m/>
    <n v="1"/>
    <s v="Away"/>
    <m/>
    <m/>
    <m/>
    <m/>
    <s v=""/>
  </r>
  <r>
    <s v="L1_0192"/>
    <d v="2026-11-21T00:00:00"/>
    <x v="14"/>
    <s v="Reading"/>
    <m/>
    <m/>
    <m/>
    <m/>
    <m/>
    <m/>
    <n v="1"/>
    <s v="Away"/>
    <m/>
    <m/>
    <m/>
    <m/>
    <s v=""/>
  </r>
  <r>
    <s v="L1_0193"/>
    <d v="2026-11-26T00:00:00"/>
    <x v="5"/>
    <s v="Doncaster Rovers"/>
    <m/>
    <m/>
    <m/>
    <m/>
    <m/>
    <m/>
    <n v="1"/>
    <s v="Away"/>
    <m/>
    <m/>
    <m/>
    <m/>
    <s v=""/>
  </r>
  <r>
    <s v="L1_0194"/>
    <d v="2026-11-28T00:00:00"/>
    <x v="0"/>
    <s v="AFC Wimbledon"/>
    <m/>
    <m/>
    <m/>
    <m/>
    <m/>
    <m/>
    <n v="1"/>
    <s v="Away"/>
    <m/>
    <m/>
    <m/>
    <m/>
    <s v=""/>
  </r>
  <r>
    <s v="L1_0195"/>
    <d v="2026-11-28T00:00:00"/>
    <x v="3"/>
    <s v="Bromley"/>
    <m/>
    <m/>
    <m/>
    <m/>
    <m/>
    <m/>
    <n v="1"/>
    <s v="Away"/>
    <m/>
    <m/>
    <m/>
    <m/>
    <s v=""/>
  </r>
  <r>
    <s v="L1_0196"/>
    <d v="2026-11-28T00:00:00"/>
    <x v="7"/>
    <s v="Leicester City"/>
    <m/>
    <m/>
    <m/>
    <m/>
    <m/>
    <m/>
    <n v="1"/>
    <s v="Away"/>
    <m/>
    <m/>
    <m/>
    <m/>
    <s v=""/>
  </r>
  <r>
    <s v="L1_0197"/>
    <d v="2026-11-28T00:00:00"/>
    <x v="9"/>
    <s v="Luton Town"/>
    <m/>
    <m/>
    <m/>
    <m/>
    <m/>
    <m/>
    <n v="1"/>
    <s v="Away"/>
    <m/>
    <m/>
    <m/>
    <m/>
    <s v=""/>
  </r>
  <r>
    <s v="L1_0198"/>
    <d v="2026-11-28T00:00:00"/>
    <x v="8"/>
    <s v="Milton Keynes Dons"/>
    <m/>
    <m/>
    <m/>
    <m/>
    <m/>
    <m/>
    <n v="1"/>
    <s v="Away"/>
    <m/>
    <m/>
    <m/>
    <m/>
    <s v=""/>
  </r>
  <r>
    <s v="L1_0199"/>
    <d v="2026-11-28T00:00:00"/>
    <x v="4"/>
    <s v="Peterborough United"/>
    <m/>
    <m/>
    <m/>
    <m/>
    <m/>
    <m/>
    <n v="1"/>
    <s v="Away"/>
    <m/>
    <m/>
    <m/>
    <m/>
    <s v=""/>
  </r>
  <r>
    <s v="L1_0200"/>
    <d v="2026-11-28T00:00:00"/>
    <x v="11"/>
    <s v="Sheffield Wednesday"/>
    <m/>
    <m/>
    <m/>
    <m/>
    <m/>
    <m/>
    <n v="1"/>
    <s v="Away"/>
    <m/>
    <m/>
    <m/>
    <m/>
    <s v=""/>
  </r>
  <r>
    <s v="L1_0201"/>
    <d v="2026-11-28T00:00:00"/>
    <x v="1"/>
    <s v="Stevenage"/>
    <m/>
    <m/>
    <m/>
    <m/>
    <m/>
    <m/>
    <n v="1"/>
    <s v="Away"/>
    <m/>
    <m/>
    <m/>
    <m/>
    <s v=""/>
  </r>
  <r>
    <s v="L1_0202"/>
    <d v="2026-11-28T00:00:00"/>
    <x v="6"/>
    <s v="Stockport County"/>
    <m/>
    <m/>
    <m/>
    <m/>
    <m/>
    <m/>
    <n v="1"/>
    <s v="Away"/>
    <m/>
    <m/>
    <m/>
    <m/>
    <s v=""/>
  </r>
  <r>
    <s v="L1_0203"/>
    <d v="2026-11-28T00:00:00"/>
    <x v="10"/>
    <s v="Wigan Athletic"/>
    <m/>
    <m/>
    <m/>
    <m/>
    <m/>
    <m/>
    <n v="1"/>
    <s v="Away"/>
    <m/>
    <m/>
    <m/>
    <m/>
    <s v=""/>
  </r>
  <r>
    <s v="L1_0204"/>
    <d v="2026-11-28T00:00:00"/>
    <x v="2"/>
    <s v="Wycombe Wanderers"/>
    <m/>
    <m/>
    <m/>
    <m/>
    <m/>
    <m/>
    <n v="1"/>
    <s v="Away"/>
    <m/>
    <m/>
    <m/>
    <m/>
    <s v=""/>
  </r>
  <r>
    <s v="L1_0205"/>
    <d v="2026-12-01T00:00:00"/>
    <x v="23"/>
    <s v="Barnsley"/>
    <m/>
    <m/>
    <m/>
    <m/>
    <m/>
    <m/>
    <n v="1"/>
    <s v="Away"/>
    <m/>
    <m/>
    <m/>
    <m/>
    <s v=""/>
  </r>
  <r>
    <s v="L1_0206"/>
    <d v="2026-12-01T00:00:00"/>
    <x v="17"/>
    <s v="Blackpool"/>
    <m/>
    <m/>
    <m/>
    <m/>
    <m/>
    <m/>
    <n v="1"/>
    <s v="Away"/>
    <m/>
    <m/>
    <m/>
    <m/>
    <s v=""/>
  </r>
  <r>
    <s v="L1_0207"/>
    <d v="2026-12-01T00:00:00"/>
    <x v="18"/>
    <s v="Bradford City"/>
    <m/>
    <m/>
    <m/>
    <m/>
    <m/>
    <m/>
    <n v="1"/>
    <s v="Away"/>
    <m/>
    <m/>
    <m/>
    <m/>
    <s v=""/>
  </r>
  <r>
    <s v="L1_0208"/>
    <d v="2026-12-01T00:00:00"/>
    <x v="22"/>
    <s v="Burton Albion"/>
    <m/>
    <m/>
    <m/>
    <m/>
    <m/>
    <m/>
    <n v="1"/>
    <s v="Away"/>
    <m/>
    <m/>
    <m/>
    <m/>
    <s v=""/>
  </r>
  <r>
    <s v="L1_0209"/>
    <d v="2026-12-01T00:00:00"/>
    <x v="16"/>
    <s v="Cambridge United"/>
    <m/>
    <m/>
    <m/>
    <m/>
    <m/>
    <m/>
    <n v="1"/>
    <s v="Away"/>
    <m/>
    <m/>
    <m/>
    <m/>
    <s v=""/>
  </r>
  <r>
    <s v="L1_0210"/>
    <d v="2026-12-01T00:00:00"/>
    <x v="20"/>
    <s v="Huddersfield Town"/>
    <m/>
    <m/>
    <m/>
    <m/>
    <m/>
    <m/>
    <n v="1"/>
    <s v="Away"/>
    <m/>
    <m/>
    <m/>
    <m/>
    <s v=""/>
  </r>
  <r>
    <s v="L1_0211"/>
    <d v="2026-12-01T00:00:00"/>
    <x v="19"/>
    <s v="Leyton Orient"/>
    <m/>
    <m/>
    <m/>
    <m/>
    <m/>
    <m/>
    <n v="1"/>
    <s v="Away"/>
    <m/>
    <m/>
    <m/>
    <m/>
    <s v=""/>
  </r>
  <r>
    <s v="L1_0212"/>
    <d v="2026-12-01T00:00:00"/>
    <x v="21"/>
    <s v="Mansfield Town"/>
    <m/>
    <m/>
    <m/>
    <m/>
    <m/>
    <m/>
    <n v="1"/>
    <s v="Away"/>
    <m/>
    <m/>
    <m/>
    <m/>
    <s v=""/>
  </r>
  <r>
    <s v="L1_0213"/>
    <d v="2026-12-01T00:00:00"/>
    <x v="13"/>
    <s v="Notts County"/>
    <m/>
    <m/>
    <m/>
    <m/>
    <m/>
    <m/>
    <n v="1"/>
    <s v="Away"/>
    <m/>
    <m/>
    <m/>
    <m/>
    <s v=""/>
  </r>
  <r>
    <s v="L1_0214"/>
    <d v="2026-12-01T00:00:00"/>
    <x v="12"/>
    <s v="Oxford United"/>
    <m/>
    <m/>
    <m/>
    <m/>
    <m/>
    <m/>
    <n v="1"/>
    <s v="Away"/>
    <m/>
    <m/>
    <m/>
    <m/>
    <s v=""/>
  </r>
  <r>
    <s v="L1_0215"/>
    <d v="2026-12-01T00:00:00"/>
    <x v="14"/>
    <s v="Plymouth Argyle"/>
    <m/>
    <m/>
    <m/>
    <m/>
    <m/>
    <m/>
    <n v="1"/>
    <s v="Away"/>
    <m/>
    <m/>
    <m/>
    <m/>
    <s v=""/>
  </r>
  <r>
    <s v="L1_0216"/>
    <d v="2026-12-01T00:00:00"/>
    <x v="15"/>
    <s v="Reading"/>
    <m/>
    <m/>
    <m/>
    <m/>
    <m/>
    <m/>
    <n v="1"/>
    <s v="Away"/>
    <m/>
    <m/>
    <m/>
    <m/>
    <s v=""/>
  </r>
  <r>
    <s v="L1_0217"/>
    <d v="2026-12-10T00:00:00"/>
    <x v="12"/>
    <s v="Leicester City"/>
    <m/>
    <m/>
    <m/>
    <m/>
    <m/>
    <m/>
    <n v="1"/>
    <s v="Away"/>
    <m/>
    <m/>
    <m/>
    <m/>
    <s v=""/>
  </r>
  <r>
    <s v="L1_0218"/>
    <d v="2026-12-12T00:00:00"/>
    <x v="13"/>
    <s v="Bradford City"/>
    <m/>
    <m/>
    <m/>
    <m/>
    <m/>
    <m/>
    <n v="1"/>
    <s v="Away"/>
    <m/>
    <m/>
    <m/>
    <m/>
    <s v=""/>
  </r>
  <r>
    <s v="L1_0219"/>
    <d v="2026-12-12T00:00:00"/>
    <x v="11"/>
    <s v="Burton Albion"/>
    <m/>
    <m/>
    <m/>
    <m/>
    <m/>
    <m/>
    <n v="1"/>
    <s v="Away"/>
    <m/>
    <m/>
    <m/>
    <m/>
    <s v=""/>
  </r>
  <r>
    <s v="L1_0220"/>
    <d v="2026-12-12T00:00:00"/>
    <x v="14"/>
    <s v="Doncaster Rovers"/>
    <m/>
    <m/>
    <m/>
    <m/>
    <m/>
    <m/>
    <n v="1"/>
    <s v="Away"/>
    <m/>
    <m/>
    <m/>
    <m/>
    <s v=""/>
  </r>
  <r>
    <s v="L1_0221"/>
    <d v="2026-12-12T00:00:00"/>
    <x v="6"/>
    <s v="Huddersfield Town"/>
    <m/>
    <m/>
    <m/>
    <m/>
    <m/>
    <m/>
    <n v="1"/>
    <s v="Away"/>
    <m/>
    <m/>
    <m/>
    <m/>
    <s v=""/>
  </r>
  <r>
    <s v="L1_0222"/>
    <d v="2026-12-12T00:00:00"/>
    <x v="22"/>
    <s v="Luton Town"/>
    <m/>
    <m/>
    <m/>
    <m/>
    <m/>
    <m/>
    <n v="1"/>
    <s v="Away"/>
    <m/>
    <m/>
    <m/>
    <m/>
    <s v=""/>
  </r>
  <r>
    <s v="L1_0223"/>
    <d v="2026-12-12T00:00:00"/>
    <x v="23"/>
    <s v="Mansfield Town"/>
    <m/>
    <m/>
    <m/>
    <m/>
    <m/>
    <m/>
    <n v="1"/>
    <s v="Away"/>
    <m/>
    <m/>
    <m/>
    <m/>
    <s v=""/>
  </r>
  <r>
    <s v="L1_0224"/>
    <d v="2026-12-12T00:00:00"/>
    <x v="4"/>
    <s v="Milton Keynes Dons"/>
    <m/>
    <m/>
    <m/>
    <m/>
    <m/>
    <m/>
    <n v="1"/>
    <s v="Away"/>
    <m/>
    <m/>
    <m/>
    <m/>
    <s v=""/>
  </r>
  <r>
    <s v="L1_0225"/>
    <d v="2026-12-12T00:00:00"/>
    <x v="10"/>
    <s v="Notts County"/>
    <m/>
    <m/>
    <m/>
    <m/>
    <m/>
    <m/>
    <n v="1"/>
    <s v="Away"/>
    <m/>
    <m/>
    <m/>
    <m/>
    <s v=""/>
  </r>
  <r>
    <s v="L1_0226"/>
    <d v="2026-12-12T00:00:00"/>
    <x v="1"/>
    <s v="Oxford United"/>
    <m/>
    <m/>
    <m/>
    <m/>
    <m/>
    <m/>
    <n v="1"/>
    <s v="Away"/>
    <m/>
    <m/>
    <m/>
    <m/>
    <s v=""/>
  </r>
  <r>
    <s v="L1_0227"/>
    <d v="2026-12-12T00:00:00"/>
    <x v="0"/>
    <s v="Peterborough United"/>
    <m/>
    <m/>
    <m/>
    <m/>
    <m/>
    <m/>
    <n v="1"/>
    <s v="Away"/>
    <m/>
    <m/>
    <m/>
    <m/>
    <s v=""/>
  </r>
  <r>
    <s v="L1_0228"/>
    <d v="2026-12-12T00:00:00"/>
    <x v="21"/>
    <s v="Stevenage"/>
    <m/>
    <m/>
    <m/>
    <m/>
    <m/>
    <m/>
    <n v="1"/>
    <s v="Away"/>
    <m/>
    <m/>
    <m/>
    <m/>
    <s v=""/>
  </r>
  <r>
    <s v="L1_0229"/>
    <d v="2026-12-18T00:00:00"/>
    <x v="20"/>
    <s v="Cambridge United"/>
    <m/>
    <m/>
    <m/>
    <m/>
    <m/>
    <m/>
    <n v="1"/>
    <s v="Away"/>
    <m/>
    <m/>
    <m/>
    <m/>
    <s v=""/>
  </r>
  <r>
    <s v="L1_0230"/>
    <d v="2026-12-19T00:00:00"/>
    <x v="9"/>
    <s v="AFC Wimbledon"/>
    <m/>
    <m/>
    <m/>
    <m/>
    <m/>
    <m/>
    <n v="1"/>
    <s v="Away"/>
    <m/>
    <m/>
    <m/>
    <m/>
    <s v=""/>
  </r>
  <r>
    <s v="L1_0231"/>
    <d v="2026-12-19T00:00:00"/>
    <x v="5"/>
    <s v="Barnsley"/>
    <m/>
    <m/>
    <m/>
    <m/>
    <m/>
    <m/>
    <n v="1"/>
    <s v="Away"/>
    <m/>
    <m/>
    <m/>
    <m/>
    <s v=""/>
  </r>
  <r>
    <s v="L1_0232"/>
    <d v="2026-12-19T00:00:00"/>
    <x v="3"/>
    <s v="Blackpool"/>
    <m/>
    <m/>
    <m/>
    <m/>
    <m/>
    <m/>
    <n v="1"/>
    <s v="Away"/>
    <m/>
    <m/>
    <m/>
    <m/>
    <s v=""/>
  </r>
  <r>
    <s v="L1_0233"/>
    <d v="2026-12-19T00:00:00"/>
    <x v="2"/>
    <s v="Bromley"/>
    <m/>
    <m/>
    <m/>
    <m/>
    <m/>
    <m/>
    <n v="1"/>
    <s v="Away"/>
    <m/>
    <m/>
    <m/>
    <m/>
    <s v=""/>
  </r>
  <r>
    <s v="L1_0234"/>
    <d v="2026-12-19T00:00:00"/>
    <x v="8"/>
    <s v="Leyton Orient"/>
    <m/>
    <m/>
    <m/>
    <m/>
    <m/>
    <m/>
    <n v="1"/>
    <s v="Away"/>
    <m/>
    <m/>
    <m/>
    <m/>
    <s v=""/>
  </r>
  <r>
    <s v="L1_0235"/>
    <d v="2026-12-19T00:00:00"/>
    <x v="7"/>
    <s v="Plymouth Argyle"/>
    <m/>
    <m/>
    <m/>
    <m/>
    <m/>
    <m/>
    <n v="1"/>
    <s v="Away"/>
    <m/>
    <m/>
    <m/>
    <m/>
    <s v=""/>
  </r>
  <r>
    <s v="L1_0236"/>
    <d v="2026-12-19T00:00:00"/>
    <x v="16"/>
    <s v="Reading"/>
    <m/>
    <m/>
    <m/>
    <m/>
    <m/>
    <m/>
    <n v="1"/>
    <s v="Away"/>
    <m/>
    <m/>
    <m/>
    <m/>
    <s v=""/>
  </r>
  <r>
    <s v="L1_0237"/>
    <d v="2026-12-19T00:00:00"/>
    <x v="17"/>
    <s v="Sheffield Wednesday"/>
    <m/>
    <m/>
    <m/>
    <m/>
    <m/>
    <m/>
    <n v="1"/>
    <s v="Away"/>
    <m/>
    <m/>
    <m/>
    <m/>
    <s v=""/>
  </r>
  <r>
    <s v="L1_0238"/>
    <d v="2026-12-19T00:00:00"/>
    <x v="18"/>
    <s v="Stockport County"/>
    <m/>
    <m/>
    <m/>
    <m/>
    <m/>
    <m/>
    <n v="1"/>
    <s v="Away"/>
    <m/>
    <m/>
    <m/>
    <m/>
    <s v=""/>
  </r>
  <r>
    <s v="L1_0239"/>
    <d v="2026-12-19T00:00:00"/>
    <x v="19"/>
    <s v="Wigan Athletic"/>
    <m/>
    <m/>
    <m/>
    <m/>
    <m/>
    <m/>
    <n v="1"/>
    <s v="Away"/>
    <m/>
    <m/>
    <m/>
    <m/>
    <s v=""/>
  </r>
  <r>
    <s v="L1_0240"/>
    <d v="2026-12-19T00:00:00"/>
    <x v="15"/>
    <s v="Wycombe Wanderers"/>
    <m/>
    <m/>
    <m/>
    <m/>
    <m/>
    <m/>
    <n v="1"/>
    <s v="Away"/>
    <m/>
    <m/>
    <m/>
    <m/>
    <s v=""/>
  </r>
  <r>
    <s v="L1_0241"/>
    <d v="2026-12-26T00:00:00"/>
    <x v="21"/>
    <s v="Bradford City"/>
    <m/>
    <m/>
    <m/>
    <m/>
    <m/>
    <m/>
    <n v="1"/>
    <s v="Away"/>
    <m/>
    <m/>
    <m/>
    <m/>
    <s v=""/>
  </r>
  <r>
    <s v="L1_0242"/>
    <d v="2026-12-26T00:00:00"/>
    <x v="12"/>
    <s v="Burton Albion"/>
    <m/>
    <m/>
    <m/>
    <m/>
    <m/>
    <m/>
    <n v="1"/>
    <s v="Away"/>
    <m/>
    <m/>
    <m/>
    <m/>
    <s v=""/>
  </r>
  <r>
    <s v="L1_0243"/>
    <d v="2026-12-26T00:00:00"/>
    <x v="22"/>
    <s v="Doncaster Rovers"/>
    <m/>
    <m/>
    <m/>
    <m/>
    <m/>
    <m/>
    <n v="1"/>
    <s v="Away"/>
    <m/>
    <m/>
    <m/>
    <m/>
    <s v=""/>
  </r>
  <r>
    <s v="L1_0244"/>
    <d v="2026-12-26T00:00:00"/>
    <x v="1"/>
    <s v="Huddersfield Town"/>
    <m/>
    <m/>
    <m/>
    <m/>
    <m/>
    <m/>
    <n v="1"/>
    <s v="Away"/>
    <m/>
    <m/>
    <m/>
    <m/>
    <s v=""/>
  </r>
  <r>
    <s v="L1_0245"/>
    <d v="2026-12-26T00:00:00"/>
    <x v="13"/>
    <s v="Leicester City"/>
    <m/>
    <m/>
    <m/>
    <m/>
    <m/>
    <m/>
    <n v="1"/>
    <s v="Away"/>
    <m/>
    <m/>
    <m/>
    <m/>
    <s v=""/>
  </r>
  <r>
    <s v="L1_0246"/>
    <d v="2026-12-26T00:00:00"/>
    <x v="14"/>
    <s v="Luton Town"/>
    <m/>
    <m/>
    <m/>
    <m/>
    <m/>
    <m/>
    <n v="1"/>
    <s v="Away"/>
    <m/>
    <m/>
    <m/>
    <m/>
    <s v=""/>
  </r>
  <r>
    <s v="L1_0247"/>
    <d v="2026-12-26T00:00:00"/>
    <x v="0"/>
    <s v="Mansfield Town"/>
    <m/>
    <m/>
    <m/>
    <m/>
    <m/>
    <m/>
    <n v="1"/>
    <s v="Away"/>
    <m/>
    <m/>
    <m/>
    <m/>
    <s v=""/>
  </r>
  <r>
    <s v="L1_0248"/>
    <d v="2026-12-26T00:00:00"/>
    <x v="6"/>
    <s v="Milton Keynes Dons"/>
    <m/>
    <m/>
    <m/>
    <m/>
    <m/>
    <m/>
    <n v="1"/>
    <s v="Away"/>
    <m/>
    <m/>
    <m/>
    <m/>
    <s v=""/>
  </r>
  <r>
    <s v="L1_0249"/>
    <d v="2026-12-26T00:00:00"/>
    <x v="4"/>
    <s v="Notts County"/>
    <m/>
    <m/>
    <m/>
    <m/>
    <m/>
    <m/>
    <n v="1"/>
    <s v="Away"/>
    <m/>
    <m/>
    <m/>
    <m/>
    <s v=""/>
  </r>
  <r>
    <s v="L1_0250"/>
    <d v="2026-12-26T00:00:00"/>
    <x v="10"/>
    <s v="Oxford United"/>
    <m/>
    <m/>
    <m/>
    <m/>
    <m/>
    <m/>
    <n v="1"/>
    <s v="Away"/>
    <m/>
    <m/>
    <m/>
    <m/>
    <s v=""/>
  </r>
  <r>
    <s v="L1_0251"/>
    <d v="2026-12-26T00:00:00"/>
    <x v="23"/>
    <s v="Peterborough United"/>
    <m/>
    <m/>
    <m/>
    <m/>
    <m/>
    <m/>
    <n v="1"/>
    <s v="Away"/>
    <m/>
    <m/>
    <m/>
    <m/>
    <s v=""/>
  </r>
  <r>
    <s v="L1_0252"/>
    <d v="2026-12-26T00:00:00"/>
    <x v="11"/>
    <s v="Stevenage"/>
    <m/>
    <m/>
    <m/>
    <m/>
    <m/>
    <m/>
    <n v="1"/>
    <s v="Away"/>
    <m/>
    <m/>
    <m/>
    <m/>
    <s v=""/>
  </r>
  <r>
    <s v="L1_0253"/>
    <d v="2026-12-29T00:00:00"/>
    <x v="17"/>
    <s v="AFC Wimbledon"/>
    <m/>
    <m/>
    <m/>
    <m/>
    <m/>
    <m/>
    <n v="1"/>
    <s v="Away"/>
    <m/>
    <m/>
    <m/>
    <m/>
    <s v=""/>
  </r>
  <r>
    <s v="L1_0254"/>
    <d v="2026-12-29T00:00:00"/>
    <x v="3"/>
    <s v="Barnsley"/>
    <m/>
    <m/>
    <m/>
    <m/>
    <m/>
    <m/>
    <n v="1"/>
    <s v="Away"/>
    <m/>
    <m/>
    <m/>
    <m/>
    <s v=""/>
  </r>
  <r>
    <s v="L1_0255"/>
    <d v="2026-12-29T00:00:00"/>
    <x v="2"/>
    <s v="Blackpool"/>
    <m/>
    <m/>
    <m/>
    <m/>
    <m/>
    <m/>
    <n v="1"/>
    <s v="Away"/>
    <m/>
    <m/>
    <m/>
    <m/>
    <s v=""/>
  </r>
  <r>
    <s v="L1_0256"/>
    <d v="2026-12-29T00:00:00"/>
    <x v="9"/>
    <s v="Bromley"/>
    <m/>
    <m/>
    <m/>
    <m/>
    <m/>
    <m/>
    <n v="1"/>
    <s v="Away"/>
    <m/>
    <m/>
    <m/>
    <m/>
    <s v=""/>
  </r>
  <r>
    <s v="L1_0257"/>
    <d v="2026-12-29T00:00:00"/>
    <x v="15"/>
    <s v="Cambridge United"/>
    <m/>
    <m/>
    <m/>
    <m/>
    <m/>
    <m/>
    <n v="1"/>
    <s v="Away"/>
    <m/>
    <m/>
    <m/>
    <m/>
    <s v=""/>
  </r>
  <r>
    <s v="L1_0258"/>
    <d v="2026-12-29T00:00:00"/>
    <x v="16"/>
    <s v="Leyton Orient"/>
    <m/>
    <m/>
    <m/>
    <m/>
    <m/>
    <m/>
    <n v="1"/>
    <s v="Away"/>
    <m/>
    <m/>
    <m/>
    <m/>
    <s v=""/>
  </r>
  <r>
    <s v="L1_0259"/>
    <d v="2026-12-29T00:00:00"/>
    <x v="18"/>
    <s v="Plymouth Argyle"/>
    <m/>
    <m/>
    <m/>
    <m/>
    <m/>
    <m/>
    <n v="1"/>
    <s v="Away"/>
    <m/>
    <m/>
    <m/>
    <m/>
    <s v=""/>
  </r>
  <r>
    <s v="L1_0260"/>
    <d v="2026-12-29T00:00:00"/>
    <x v="19"/>
    <s v="Reading"/>
    <m/>
    <m/>
    <m/>
    <m/>
    <m/>
    <m/>
    <n v="1"/>
    <s v="Away"/>
    <m/>
    <m/>
    <m/>
    <m/>
    <s v=""/>
  </r>
  <r>
    <s v="L1_0261"/>
    <d v="2026-12-29T00:00:00"/>
    <x v="7"/>
    <s v="Sheffield Wednesday"/>
    <m/>
    <m/>
    <m/>
    <m/>
    <m/>
    <m/>
    <n v="1"/>
    <s v="Away"/>
    <m/>
    <m/>
    <m/>
    <m/>
    <s v=""/>
  </r>
  <r>
    <s v="L1_0262"/>
    <d v="2026-12-29T00:00:00"/>
    <x v="5"/>
    <s v="Stockport County"/>
    <m/>
    <m/>
    <m/>
    <m/>
    <m/>
    <m/>
    <n v="1"/>
    <s v="Away"/>
    <m/>
    <m/>
    <m/>
    <m/>
    <s v=""/>
  </r>
  <r>
    <s v="L1_0263"/>
    <d v="2026-12-29T00:00:00"/>
    <x v="8"/>
    <s v="Wigan Athletic"/>
    <m/>
    <m/>
    <m/>
    <m/>
    <m/>
    <m/>
    <n v="1"/>
    <s v="Away"/>
    <m/>
    <m/>
    <m/>
    <m/>
    <s v=""/>
  </r>
  <r>
    <s v="L1_0264"/>
    <d v="2026-12-29T00:00:00"/>
    <x v="20"/>
    <s v="Wycombe Wanderers"/>
    <m/>
    <m/>
    <m/>
    <m/>
    <m/>
    <m/>
    <n v="1"/>
    <s v="Away"/>
    <m/>
    <m/>
    <m/>
    <m/>
    <s v=""/>
  </r>
  <r>
    <s v="L1_0265"/>
    <d v="2027-01-01T00:00:00"/>
    <x v="19"/>
    <s v="AFC Wimbledon"/>
    <m/>
    <m/>
    <m/>
    <m/>
    <m/>
    <m/>
    <n v="1"/>
    <s v="Away"/>
    <m/>
    <m/>
    <m/>
    <m/>
    <s v=""/>
  </r>
  <r>
    <s v="L1_0266"/>
    <d v="2027-01-01T00:00:00"/>
    <x v="8"/>
    <s v="Barnsley"/>
    <m/>
    <m/>
    <m/>
    <m/>
    <m/>
    <m/>
    <n v="1"/>
    <s v="Away"/>
    <m/>
    <m/>
    <m/>
    <m/>
    <s v=""/>
  </r>
  <r>
    <s v="L1_0267"/>
    <d v="2027-01-01T00:00:00"/>
    <x v="15"/>
    <s v="Blackpool"/>
    <m/>
    <m/>
    <m/>
    <m/>
    <m/>
    <m/>
    <n v="1"/>
    <s v="Away"/>
    <m/>
    <m/>
    <m/>
    <m/>
    <s v=""/>
  </r>
  <r>
    <s v="L1_0268"/>
    <d v="2027-01-01T00:00:00"/>
    <x v="20"/>
    <s v="Bromley"/>
    <m/>
    <m/>
    <m/>
    <m/>
    <m/>
    <m/>
    <n v="1"/>
    <s v="Away"/>
    <m/>
    <m/>
    <m/>
    <m/>
    <s v=""/>
  </r>
  <r>
    <s v="L1_0269"/>
    <d v="2027-01-01T00:00:00"/>
    <x v="9"/>
    <s v="Leyton Orient"/>
    <m/>
    <m/>
    <m/>
    <m/>
    <m/>
    <m/>
    <n v="1"/>
    <s v="Away"/>
    <m/>
    <m/>
    <m/>
    <m/>
    <s v=""/>
  </r>
  <r>
    <s v="L1_0270"/>
    <d v="2027-01-01T00:00:00"/>
    <x v="18"/>
    <s v="Reading"/>
    <m/>
    <m/>
    <m/>
    <m/>
    <m/>
    <m/>
    <n v="1"/>
    <s v="Away"/>
    <m/>
    <m/>
    <m/>
    <m/>
    <s v=""/>
  </r>
  <r>
    <s v="L1_0271"/>
    <d v="2027-01-01T00:00:00"/>
    <x v="5"/>
    <s v="Sheffield Wednesday"/>
    <m/>
    <m/>
    <m/>
    <m/>
    <m/>
    <m/>
    <n v="1"/>
    <s v="Away"/>
    <m/>
    <m/>
    <m/>
    <m/>
    <s v=""/>
  </r>
  <r>
    <s v="L1_0272"/>
    <d v="2027-01-01T00:00:00"/>
    <x v="2"/>
    <s v="Wigan Athletic"/>
    <m/>
    <m/>
    <m/>
    <m/>
    <m/>
    <m/>
    <n v="1"/>
    <s v="Away"/>
    <m/>
    <m/>
    <m/>
    <m/>
    <s v=""/>
  </r>
  <r>
    <s v="L1_0273"/>
    <d v="2027-01-01T00:00:00"/>
    <x v="16"/>
    <s v="Wycombe Wanderers"/>
    <m/>
    <m/>
    <m/>
    <m/>
    <m/>
    <m/>
    <n v="1"/>
    <s v="Away"/>
    <m/>
    <m/>
    <m/>
    <m/>
    <s v=""/>
  </r>
  <r>
    <s v="L1_0274"/>
    <d v="2027-01-02T00:00:00"/>
    <x v="7"/>
    <s v="Cambridge United"/>
    <m/>
    <m/>
    <m/>
    <m/>
    <m/>
    <m/>
    <n v="1"/>
    <s v="Away"/>
    <m/>
    <m/>
    <m/>
    <m/>
    <s v=""/>
  </r>
  <r>
    <s v="L1_0275"/>
    <d v="2027-01-02T00:00:00"/>
    <x v="17"/>
    <s v="Plymouth Argyle"/>
    <m/>
    <m/>
    <m/>
    <m/>
    <m/>
    <m/>
    <n v="1"/>
    <s v="Away"/>
    <m/>
    <m/>
    <m/>
    <m/>
    <s v=""/>
  </r>
  <r>
    <s v="L1_0276"/>
    <d v="2027-01-02T00:00:00"/>
    <x v="3"/>
    <s v="Stockport County"/>
    <m/>
    <m/>
    <m/>
    <m/>
    <m/>
    <m/>
    <n v="1"/>
    <s v="Away"/>
    <m/>
    <m/>
    <m/>
    <m/>
    <s v=""/>
  </r>
  <r>
    <s v="L1_0277"/>
    <d v="2027-01-08T00:00:00"/>
    <x v="1"/>
    <s v="Burton Albion"/>
    <m/>
    <m/>
    <m/>
    <m/>
    <m/>
    <m/>
    <n v="1"/>
    <s v="Away"/>
    <m/>
    <m/>
    <m/>
    <m/>
    <s v=""/>
  </r>
  <r>
    <s v="L1_0278"/>
    <d v="2027-01-09T00:00:00"/>
    <x v="14"/>
    <s v="Bradford City"/>
    <m/>
    <m/>
    <m/>
    <m/>
    <m/>
    <m/>
    <n v="1"/>
    <s v="Away"/>
    <m/>
    <m/>
    <m/>
    <m/>
    <s v=""/>
  </r>
  <r>
    <s v="L1_0279"/>
    <d v="2027-01-09T00:00:00"/>
    <x v="23"/>
    <s v="Doncaster Rovers"/>
    <m/>
    <m/>
    <m/>
    <m/>
    <m/>
    <m/>
    <n v="1"/>
    <s v="Away"/>
    <m/>
    <m/>
    <m/>
    <m/>
    <s v=""/>
  </r>
  <r>
    <s v="L1_0280"/>
    <d v="2027-01-09T00:00:00"/>
    <x v="0"/>
    <s v="Huddersfield Town"/>
    <m/>
    <m/>
    <m/>
    <m/>
    <m/>
    <m/>
    <n v="1"/>
    <s v="Away"/>
    <m/>
    <m/>
    <m/>
    <m/>
    <s v=""/>
  </r>
  <r>
    <s v="L1_0281"/>
    <d v="2027-01-09T00:00:00"/>
    <x v="11"/>
    <s v="Leicester City"/>
    <m/>
    <m/>
    <m/>
    <m/>
    <m/>
    <m/>
    <n v="1"/>
    <s v="Away"/>
    <m/>
    <m/>
    <m/>
    <m/>
    <s v=""/>
  </r>
  <r>
    <s v="L1_0282"/>
    <d v="2027-01-09T00:00:00"/>
    <x v="12"/>
    <s v="Luton Town"/>
    <m/>
    <m/>
    <m/>
    <m/>
    <m/>
    <m/>
    <n v="1"/>
    <s v="Away"/>
    <m/>
    <m/>
    <m/>
    <m/>
    <s v=""/>
  </r>
  <r>
    <s v="L1_0283"/>
    <d v="2027-01-09T00:00:00"/>
    <x v="10"/>
    <s v="Mansfield Town"/>
    <m/>
    <m/>
    <m/>
    <m/>
    <m/>
    <m/>
    <n v="1"/>
    <s v="Away"/>
    <m/>
    <m/>
    <m/>
    <m/>
    <s v=""/>
  </r>
  <r>
    <s v="L1_0284"/>
    <d v="2027-01-09T00:00:00"/>
    <x v="21"/>
    <s v="Milton Keynes Dons"/>
    <m/>
    <m/>
    <m/>
    <m/>
    <m/>
    <m/>
    <n v="1"/>
    <s v="Away"/>
    <m/>
    <m/>
    <m/>
    <m/>
    <s v=""/>
  </r>
  <r>
    <s v="L1_0285"/>
    <d v="2027-01-09T00:00:00"/>
    <x v="6"/>
    <s v="Notts County"/>
    <m/>
    <m/>
    <m/>
    <m/>
    <m/>
    <m/>
    <n v="1"/>
    <s v="Away"/>
    <m/>
    <m/>
    <m/>
    <m/>
    <s v=""/>
  </r>
  <r>
    <s v="L1_0286"/>
    <d v="2027-01-09T00:00:00"/>
    <x v="13"/>
    <s v="Oxford United"/>
    <m/>
    <m/>
    <m/>
    <m/>
    <m/>
    <m/>
    <n v="1"/>
    <s v="Away"/>
    <m/>
    <m/>
    <m/>
    <m/>
    <s v=""/>
  </r>
  <r>
    <s v="L1_0287"/>
    <d v="2027-01-09T00:00:00"/>
    <x v="22"/>
    <s v="Peterborough United"/>
    <m/>
    <m/>
    <m/>
    <m/>
    <m/>
    <m/>
    <n v="1"/>
    <s v="Away"/>
    <m/>
    <m/>
    <m/>
    <m/>
    <s v=""/>
  </r>
  <r>
    <s v="L1_0288"/>
    <d v="2027-01-09T00:00:00"/>
    <x v="4"/>
    <s v="Stevenage"/>
    <m/>
    <m/>
    <m/>
    <m/>
    <m/>
    <m/>
    <n v="1"/>
    <s v="Away"/>
    <m/>
    <m/>
    <m/>
    <m/>
    <s v=""/>
  </r>
  <r>
    <s v="L1_0289"/>
    <d v="2027-01-16T00:00:00"/>
    <x v="12"/>
    <s v="AFC Wimbledon"/>
    <m/>
    <m/>
    <m/>
    <m/>
    <m/>
    <m/>
    <n v="1"/>
    <s v="Away"/>
    <m/>
    <m/>
    <m/>
    <m/>
    <s v=""/>
  </r>
  <r>
    <s v="L1_0290"/>
    <d v="2027-01-16T00:00:00"/>
    <x v="6"/>
    <s v="Blackpool"/>
    <m/>
    <m/>
    <m/>
    <m/>
    <m/>
    <m/>
    <n v="1"/>
    <s v="Away"/>
    <m/>
    <m/>
    <m/>
    <m/>
    <s v=""/>
  </r>
  <r>
    <s v="L1_0291"/>
    <d v="2027-01-16T00:00:00"/>
    <x v="21"/>
    <s v="Bromley"/>
    <m/>
    <m/>
    <m/>
    <m/>
    <m/>
    <m/>
    <n v="1"/>
    <s v="Away"/>
    <m/>
    <m/>
    <m/>
    <m/>
    <s v=""/>
  </r>
  <r>
    <s v="L1_0292"/>
    <d v="2027-01-16T00:00:00"/>
    <x v="19"/>
    <s v="Burton Albion"/>
    <m/>
    <m/>
    <m/>
    <m/>
    <m/>
    <m/>
    <n v="1"/>
    <s v="Away"/>
    <m/>
    <m/>
    <m/>
    <m/>
    <s v=""/>
  </r>
  <r>
    <s v="L1_0293"/>
    <d v="2027-01-16T00:00:00"/>
    <x v="0"/>
    <s v="Cambridge United"/>
    <m/>
    <m/>
    <m/>
    <m/>
    <m/>
    <m/>
    <n v="1"/>
    <s v="Away"/>
    <m/>
    <m/>
    <m/>
    <m/>
    <s v=""/>
  </r>
  <r>
    <s v="L1_0294"/>
    <d v="2027-01-16T00:00:00"/>
    <x v="16"/>
    <s v="Doncaster Rovers"/>
    <m/>
    <m/>
    <m/>
    <m/>
    <m/>
    <m/>
    <n v="1"/>
    <s v="Away"/>
    <m/>
    <m/>
    <m/>
    <m/>
    <s v=""/>
  </r>
  <r>
    <s v="L1_0295"/>
    <d v="2027-01-16T00:00:00"/>
    <x v="10"/>
    <s v="Huddersfield Town"/>
    <m/>
    <m/>
    <m/>
    <m/>
    <m/>
    <m/>
    <n v="1"/>
    <s v="Away"/>
    <m/>
    <m/>
    <m/>
    <m/>
    <s v=""/>
  </r>
  <r>
    <s v="L1_0296"/>
    <d v="2027-01-16T00:00:00"/>
    <x v="18"/>
    <s v="Luton Town"/>
    <m/>
    <m/>
    <m/>
    <m/>
    <m/>
    <m/>
    <n v="1"/>
    <s v="Away"/>
    <m/>
    <m/>
    <m/>
    <m/>
    <s v=""/>
  </r>
  <r>
    <s v="L1_0297"/>
    <d v="2027-01-16T00:00:00"/>
    <x v="23"/>
    <s v="Notts County"/>
    <m/>
    <m/>
    <m/>
    <m/>
    <m/>
    <m/>
    <n v="1"/>
    <s v="Away"/>
    <m/>
    <m/>
    <m/>
    <m/>
    <s v=""/>
  </r>
  <r>
    <s v="L1_0298"/>
    <d v="2027-01-16T00:00:00"/>
    <x v="7"/>
    <s v="Oxford United"/>
    <m/>
    <m/>
    <m/>
    <m/>
    <m/>
    <m/>
    <n v="1"/>
    <s v="Away"/>
    <m/>
    <m/>
    <m/>
    <m/>
    <s v=""/>
  </r>
  <r>
    <s v="L1_0299"/>
    <d v="2027-01-16T00:00:00"/>
    <x v="22"/>
    <s v="Reading"/>
    <m/>
    <m/>
    <m/>
    <m/>
    <m/>
    <m/>
    <n v="1"/>
    <s v="Away"/>
    <m/>
    <m/>
    <m/>
    <m/>
    <s v=""/>
  </r>
  <r>
    <s v="L1_0300"/>
    <d v="2027-01-16T00:00:00"/>
    <x v="2"/>
    <s v="Stevenage"/>
    <m/>
    <m/>
    <m/>
    <m/>
    <m/>
    <m/>
    <n v="1"/>
    <s v="Away"/>
    <m/>
    <m/>
    <m/>
    <m/>
    <s v=""/>
  </r>
  <r>
    <s v="L1_0301"/>
    <d v="2027-01-19T00:00:00"/>
    <x v="17"/>
    <s v="Barnsley"/>
    <m/>
    <m/>
    <m/>
    <m/>
    <m/>
    <m/>
    <n v="1"/>
    <s v="Away"/>
    <m/>
    <m/>
    <m/>
    <m/>
    <s v=""/>
  </r>
  <r>
    <s v="L1_0302"/>
    <d v="2027-01-19T00:00:00"/>
    <x v="3"/>
    <s v="Bradford City"/>
    <m/>
    <m/>
    <m/>
    <m/>
    <m/>
    <m/>
    <n v="1"/>
    <s v="Away"/>
    <m/>
    <m/>
    <m/>
    <m/>
    <s v=""/>
  </r>
  <r>
    <s v="L1_0303"/>
    <d v="2027-01-19T00:00:00"/>
    <x v="14"/>
    <s v="Leicester City"/>
    <m/>
    <m/>
    <m/>
    <m/>
    <m/>
    <m/>
    <n v="1"/>
    <s v="Away"/>
    <m/>
    <m/>
    <m/>
    <m/>
    <s v=""/>
  </r>
  <r>
    <s v="L1_0304"/>
    <d v="2027-01-19T00:00:00"/>
    <x v="11"/>
    <s v="Leyton Orient"/>
    <m/>
    <m/>
    <m/>
    <m/>
    <m/>
    <m/>
    <n v="1"/>
    <s v="Away"/>
    <m/>
    <m/>
    <m/>
    <m/>
    <s v=""/>
  </r>
  <r>
    <s v="L1_0305"/>
    <d v="2027-01-19T00:00:00"/>
    <x v="13"/>
    <s v="Mansfield Town"/>
    <m/>
    <m/>
    <m/>
    <m/>
    <m/>
    <m/>
    <n v="1"/>
    <s v="Away"/>
    <m/>
    <m/>
    <m/>
    <m/>
    <s v=""/>
  </r>
  <r>
    <s v="L1_0306"/>
    <d v="2027-01-19T00:00:00"/>
    <x v="1"/>
    <s v="Milton Keynes Dons"/>
    <m/>
    <m/>
    <m/>
    <m/>
    <m/>
    <m/>
    <n v="1"/>
    <s v="Away"/>
    <m/>
    <m/>
    <m/>
    <m/>
    <s v=""/>
  </r>
  <r>
    <s v="L1_0307"/>
    <d v="2027-01-19T00:00:00"/>
    <x v="5"/>
    <s v="Peterborough United"/>
    <m/>
    <m/>
    <m/>
    <m/>
    <m/>
    <m/>
    <n v="1"/>
    <s v="Away"/>
    <m/>
    <m/>
    <m/>
    <m/>
    <s v=""/>
  </r>
  <r>
    <s v="L1_0308"/>
    <d v="2027-01-19T00:00:00"/>
    <x v="20"/>
    <s v="Plymouth Argyle"/>
    <m/>
    <m/>
    <m/>
    <m/>
    <m/>
    <m/>
    <n v="1"/>
    <s v="Away"/>
    <m/>
    <m/>
    <m/>
    <m/>
    <s v=""/>
  </r>
  <r>
    <s v="L1_0309"/>
    <d v="2027-01-19T00:00:00"/>
    <x v="8"/>
    <s v="Sheffield Wednesday"/>
    <m/>
    <m/>
    <m/>
    <m/>
    <m/>
    <m/>
    <n v="1"/>
    <s v="Away"/>
    <m/>
    <m/>
    <m/>
    <m/>
    <s v=""/>
  </r>
  <r>
    <s v="L1_0310"/>
    <d v="2027-01-19T00:00:00"/>
    <x v="15"/>
    <s v="Stockport County"/>
    <m/>
    <m/>
    <m/>
    <m/>
    <m/>
    <m/>
    <n v="1"/>
    <s v="Away"/>
    <m/>
    <m/>
    <m/>
    <m/>
    <s v=""/>
  </r>
  <r>
    <s v="L1_0311"/>
    <d v="2027-01-19T00:00:00"/>
    <x v="9"/>
    <s v="Wigan Athletic"/>
    <m/>
    <m/>
    <m/>
    <m/>
    <m/>
    <m/>
    <n v="1"/>
    <s v="Away"/>
    <m/>
    <m/>
    <m/>
    <m/>
    <s v=""/>
  </r>
  <r>
    <s v="L1_0312"/>
    <d v="2027-01-19T00:00:00"/>
    <x v="4"/>
    <s v="Wycombe Wanderers"/>
    <m/>
    <m/>
    <m/>
    <m/>
    <m/>
    <m/>
    <n v="1"/>
    <s v="Away"/>
    <m/>
    <m/>
    <m/>
    <m/>
    <s v=""/>
  </r>
  <r>
    <s v="L1_0313"/>
    <d v="2027-01-23T00:00:00"/>
    <x v="11"/>
    <s v="Barnsley"/>
    <m/>
    <m/>
    <m/>
    <m/>
    <m/>
    <m/>
    <n v="1"/>
    <s v="Away"/>
    <m/>
    <m/>
    <m/>
    <m/>
    <s v=""/>
  </r>
  <r>
    <s v="L1_0314"/>
    <d v="2027-01-23T00:00:00"/>
    <x v="9"/>
    <s v="Bradford City"/>
    <m/>
    <m/>
    <m/>
    <m/>
    <m/>
    <m/>
    <n v="1"/>
    <s v="Away"/>
    <m/>
    <m/>
    <m/>
    <m/>
    <s v=""/>
  </r>
  <r>
    <s v="L1_0315"/>
    <d v="2027-01-23T00:00:00"/>
    <x v="17"/>
    <s v="Leicester City"/>
    <m/>
    <m/>
    <m/>
    <m/>
    <m/>
    <m/>
    <n v="1"/>
    <s v="Away"/>
    <m/>
    <m/>
    <m/>
    <m/>
    <s v=""/>
  </r>
  <r>
    <s v="L1_0316"/>
    <d v="2027-01-23T00:00:00"/>
    <x v="3"/>
    <s v="Leyton Orient"/>
    <m/>
    <m/>
    <m/>
    <m/>
    <m/>
    <m/>
    <n v="1"/>
    <s v="Away"/>
    <m/>
    <m/>
    <m/>
    <m/>
    <s v=""/>
  </r>
  <r>
    <s v="L1_0317"/>
    <d v="2027-01-23T00:00:00"/>
    <x v="1"/>
    <s v="Mansfield Town"/>
    <m/>
    <m/>
    <m/>
    <m/>
    <m/>
    <m/>
    <n v="1"/>
    <s v="Away"/>
    <m/>
    <m/>
    <m/>
    <m/>
    <s v=""/>
  </r>
  <r>
    <s v="L1_0318"/>
    <d v="2027-01-23T00:00:00"/>
    <x v="20"/>
    <s v="Milton Keynes Dons"/>
    <m/>
    <m/>
    <m/>
    <m/>
    <m/>
    <m/>
    <n v="1"/>
    <s v="Away"/>
    <m/>
    <m/>
    <m/>
    <m/>
    <s v=""/>
  </r>
  <r>
    <s v="L1_0319"/>
    <d v="2027-01-23T00:00:00"/>
    <x v="14"/>
    <s v="Peterborough United"/>
    <m/>
    <m/>
    <m/>
    <m/>
    <m/>
    <m/>
    <n v="1"/>
    <s v="Away"/>
    <m/>
    <m/>
    <m/>
    <m/>
    <s v=""/>
  </r>
  <r>
    <s v="L1_0320"/>
    <d v="2027-01-23T00:00:00"/>
    <x v="4"/>
    <s v="Plymouth Argyle"/>
    <m/>
    <m/>
    <m/>
    <m/>
    <m/>
    <m/>
    <n v="1"/>
    <s v="Away"/>
    <m/>
    <m/>
    <m/>
    <m/>
    <s v=""/>
  </r>
  <r>
    <s v="L1_0321"/>
    <d v="2027-01-23T00:00:00"/>
    <x v="15"/>
    <s v="Sheffield Wednesday"/>
    <m/>
    <m/>
    <m/>
    <m/>
    <m/>
    <m/>
    <n v="1"/>
    <s v="Away"/>
    <m/>
    <m/>
    <m/>
    <m/>
    <s v=""/>
  </r>
  <r>
    <s v="L1_0322"/>
    <d v="2027-01-23T00:00:00"/>
    <x v="8"/>
    <s v="Stockport County"/>
    <m/>
    <m/>
    <m/>
    <m/>
    <m/>
    <m/>
    <n v="1"/>
    <s v="Away"/>
    <m/>
    <m/>
    <m/>
    <m/>
    <s v=""/>
  </r>
  <r>
    <s v="L1_0323"/>
    <d v="2027-01-23T00:00:00"/>
    <x v="5"/>
    <s v="Wigan Athletic"/>
    <m/>
    <m/>
    <m/>
    <m/>
    <m/>
    <m/>
    <n v="1"/>
    <s v="Away"/>
    <m/>
    <m/>
    <m/>
    <m/>
    <s v=""/>
  </r>
  <r>
    <s v="L1_0324"/>
    <d v="2027-01-23T00:00:00"/>
    <x v="13"/>
    <s v="Wycombe Wanderers"/>
    <m/>
    <m/>
    <m/>
    <m/>
    <m/>
    <m/>
    <n v="1"/>
    <s v="Away"/>
    <m/>
    <m/>
    <m/>
    <m/>
    <s v=""/>
  </r>
  <r>
    <s v="L1_0325"/>
    <d v="2027-01-30T00:00:00"/>
    <x v="21"/>
    <s v="AFC Wimbledon"/>
    <m/>
    <m/>
    <m/>
    <m/>
    <m/>
    <m/>
    <n v="1"/>
    <s v="Away"/>
    <m/>
    <m/>
    <m/>
    <m/>
    <s v=""/>
  </r>
  <r>
    <s v="L1_0326"/>
    <d v="2027-01-30T00:00:00"/>
    <x v="12"/>
    <s v="Blackpool"/>
    <m/>
    <m/>
    <m/>
    <m/>
    <m/>
    <m/>
    <n v="1"/>
    <s v="Away"/>
    <m/>
    <m/>
    <m/>
    <m/>
    <s v=""/>
  </r>
  <r>
    <s v="L1_0327"/>
    <d v="2027-01-30T00:00:00"/>
    <x v="22"/>
    <s v="Bromley"/>
    <m/>
    <m/>
    <m/>
    <m/>
    <m/>
    <m/>
    <n v="1"/>
    <s v="Away"/>
    <m/>
    <m/>
    <m/>
    <m/>
    <s v=""/>
  </r>
  <r>
    <s v="L1_0328"/>
    <d v="2027-01-30T00:00:00"/>
    <x v="23"/>
    <s v="Burton Albion"/>
    <m/>
    <m/>
    <m/>
    <m/>
    <m/>
    <m/>
    <n v="1"/>
    <s v="Away"/>
    <m/>
    <m/>
    <m/>
    <m/>
    <s v=""/>
  </r>
  <r>
    <s v="L1_0329"/>
    <d v="2027-01-30T00:00:00"/>
    <x v="6"/>
    <s v="Cambridge United"/>
    <m/>
    <m/>
    <m/>
    <m/>
    <m/>
    <m/>
    <n v="1"/>
    <s v="Away"/>
    <m/>
    <m/>
    <m/>
    <m/>
    <s v=""/>
  </r>
  <r>
    <s v="L1_0330"/>
    <d v="2027-01-30T00:00:00"/>
    <x v="18"/>
    <s v="Doncaster Rovers"/>
    <m/>
    <m/>
    <m/>
    <m/>
    <m/>
    <m/>
    <n v="1"/>
    <s v="Away"/>
    <m/>
    <m/>
    <m/>
    <m/>
    <s v=""/>
  </r>
  <r>
    <s v="L1_0331"/>
    <d v="2027-01-30T00:00:00"/>
    <x v="2"/>
    <s v="Huddersfield Town"/>
    <m/>
    <m/>
    <m/>
    <m/>
    <m/>
    <m/>
    <n v="1"/>
    <s v="Away"/>
    <m/>
    <m/>
    <m/>
    <m/>
    <s v=""/>
  </r>
  <r>
    <s v="L1_0332"/>
    <d v="2027-01-30T00:00:00"/>
    <x v="19"/>
    <s v="Luton Town"/>
    <m/>
    <m/>
    <m/>
    <m/>
    <m/>
    <m/>
    <n v="1"/>
    <s v="Away"/>
    <m/>
    <m/>
    <m/>
    <m/>
    <s v=""/>
  </r>
  <r>
    <s v="L1_0333"/>
    <d v="2027-01-30T00:00:00"/>
    <x v="7"/>
    <s v="Notts County"/>
    <m/>
    <m/>
    <m/>
    <m/>
    <m/>
    <m/>
    <n v="1"/>
    <s v="Away"/>
    <m/>
    <m/>
    <m/>
    <m/>
    <s v=""/>
  </r>
  <r>
    <s v="L1_0334"/>
    <d v="2027-01-30T00:00:00"/>
    <x v="0"/>
    <s v="Oxford United"/>
    <m/>
    <m/>
    <m/>
    <m/>
    <m/>
    <m/>
    <n v="1"/>
    <s v="Away"/>
    <m/>
    <m/>
    <m/>
    <m/>
    <s v=""/>
  </r>
  <r>
    <s v="L1_0335"/>
    <d v="2027-01-30T00:00:00"/>
    <x v="10"/>
    <s v="Reading"/>
    <m/>
    <m/>
    <m/>
    <m/>
    <m/>
    <m/>
    <n v="1"/>
    <s v="Away"/>
    <m/>
    <m/>
    <m/>
    <m/>
    <s v=""/>
  </r>
  <r>
    <s v="L1_0336"/>
    <d v="2027-01-30T00:00:00"/>
    <x v="16"/>
    <s v="Stevenage"/>
    <m/>
    <m/>
    <m/>
    <m/>
    <m/>
    <m/>
    <n v="1"/>
    <s v="Away"/>
    <m/>
    <m/>
    <m/>
    <m/>
    <s v=""/>
  </r>
  <r>
    <s v="L1_0337"/>
    <d v="2027-02-06T00:00:00"/>
    <x v="6"/>
    <s v="Barnsley"/>
    <m/>
    <m/>
    <m/>
    <m/>
    <m/>
    <m/>
    <n v="1"/>
    <s v="Away"/>
    <m/>
    <m/>
    <m/>
    <m/>
    <s v=""/>
  </r>
  <r>
    <s v="L1_0338"/>
    <d v="2027-02-06T00:00:00"/>
    <x v="10"/>
    <s v="Bradford City"/>
    <m/>
    <m/>
    <m/>
    <m/>
    <m/>
    <m/>
    <n v="1"/>
    <s v="Away"/>
    <m/>
    <m/>
    <m/>
    <m/>
    <s v=""/>
  </r>
  <r>
    <s v="L1_0339"/>
    <d v="2027-02-06T00:00:00"/>
    <x v="12"/>
    <s v="Bromley"/>
    <m/>
    <m/>
    <m/>
    <m/>
    <m/>
    <m/>
    <n v="1"/>
    <s v="Away"/>
    <m/>
    <m/>
    <m/>
    <m/>
    <s v=""/>
  </r>
  <r>
    <s v="L1_0340"/>
    <d v="2027-02-06T00:00:00"/>
    <x v="8"/>
    <s v="Burton Albion"/>
    <m/>
    <m/>
    <m/>
    <m/>
    <m/>
    <m/>
    <n v="1"/>
    <s v="Away"/>
    <m/>
    <m/>
    <m/>
    <m/>
    <s v=""/>
  </r>
  <r>
    <s v="L1_0341"/>
    <d v="2027-02-06T00:00:00"/>
    <x v="20"/>
    <s v="Doncaster Rovers"/>
    <m/>
    <m/>
    <m/>
    <m/>
    <m/>
    <m/>
    <n v="1"/>
    <s v="Away"/>
    <m/>
    <m/>
    <m/>
    <m/>
    <s v=""/>
  </r>
  <r>
    <s v="L1_0342"/>
    <d v="2027-02-06T00:00:00"/>
    <x v="4"/>
    <s v="Huddersfield Town"/>
    <m/>
    <m/>
    <m/>
    <m/>
    <m/>
    <m/>
    <n v="1"/>
    <s v="Away"/>
    <m/>
    <m/>
    <m/>
    <m/>
    <s v=""/>
  </r>
  <r>
    <s v="L1_0343"/>
    <d v="2027-02-06T00:00:00"/>
    <x v="18"/>
    <s v="Leicester City"/>
    <m/>
    <m/>
    <m/>
    <m/>
    <m/>
    <m/>
    <n v="1"/>
    <s v="Away"/>
    <m/>
    <m/>
    <m/>
    <m/>
    <s v=""/>
  </r>
  <r>
    <s v="L1_0344"/>
    <d v="2027-02-06T00:00:00"/>
    <x v="7"/>
    <s v="Luton Town"/>
    <m/>
    <m/>
    <m/>
    <m/>
    <m/>
    <m/>
    <n v="1"/>
    <s v="Away"/>
    <m/>
    <m/>
    <m/>
    <m/>
    <s v=""/>
  </r>
  <r>
    <s v="L1_0345"/>
    <d v="2027-02-06T00:00:00"/>
    <x v="1"/>
    <s v="Peterborough United"/>
    <m/>
    <m/>
    <m/>
    <m/>
    <m/>
    <m/>
    <n v="1"/>
    <s v="Away"/>
    <m/>
    <m/>
    <m/>
    <m/>
    <s v=""/>
  </r>
  <r>
    <s v="L1_0346"/>
    <d v="2027-02-06T00:00:00"/>
    <x v="9"/>
    <s v="Reading"/>
    <m/>
    <m/>
    <m/>
    <m/>
    <m/>
    <m/>
    <n v="1"/>
    <s v="Away"/>
    <m/>
    <m/>
    <m/>
    <m/>
    <s v=""/>
  </r>
  <r>
    <s v="L1_0347"/>
    <d v="2027-02-06T00:00:00"/>
    <x v="13"/>
    <s v="Wigan Athletic"/>
    <m/>
    <m/>
    <m/>
    <m/>
    <m/>
    <m/>
    <n v="1"/>
    <s v="Away"/>
    <m/>
    <m/>
    <m/>
    <m/>
    <s v=""/>
  </r>
  <r>
    <s v="L1_0348"/>
    <d v="2027-02-06T00:00:00"/>
    <x v="21"/>
    <s v="Wycombe Wanderers"/>
    <m/>
    <m/>
    <m/>
    <m/>
    <m/>
    <m/>
    <n v="1"/>
    <s v="Away"/>
    <m/>
    <m/>
    <m/>
    <m/>
    <s v=""/>
  </r>
  <r>
    <s v="L1_0349"/>
    <d v="2027-02-09T00:00:00"/>
    <x v="3"/>
    <s v="AFC Wimbledon"/>
    <m/>
    <m/>
    <m/>
    <m/>
    <m/>
    <m/>
    <n v="1"/>
    <s v="Away"/>
    <m/>
    <m/>
    <m/>
    <m/>
    <s v=""/>
  </r>
  <r>
    <s v="L1_0350"/>
    <d v="2027-02-09T00:00:00"/>
    <x v="0"/>
    <s v="Blackpool"/>
    <m/>
    <m/>
    <m/>
    <m/>
    <m/>
    <m/>
    <n v="1"/>
    <s v="Away"/>
    <m/>
    <m/>
    <m/>
    <m/>
    <s v=""/>
  </r>
  <r>
    <s v="L1_0351"/>
    <d v="2027-02-09T00:00:00"/>
    <x v="2"/>
    <s v="Cambridge United"/>
    <m/>
    <m/>
    <m/>
    <m/>
    <m/>
    <m/>
    <n v="1"/>
    <s v="Away"/>
    <m/>
    <m/>
    <m/>
    <m/>
    <s v=""/>
  </r>
  <r>
    <s v="L1_0352"/>
    <d v="2027-02-09T00:00:00"/>
    <x v="14"/>
    <s v="Leyton Orient"/>
    <m/>
    <m/>
    <m/>
    <m/>
    <m/>
    <m/>
    <n v="1"/>
    <s v="Away"/>
    <m/>
    <m/>
    <m/>
    <m/>
    <s v=""/>
  </r>
  <r>
    <s v="L1_0353"/>
    <d v="2027-02-09T00:00:00"/>
    <x v="11"/>
    <s v="Mansfield Town"/>
    <m/>
    <m/>
    <m/>
    <m/>
    <m/>
    <m/>
    <n v="1"/>
    <s v="Away"/>
    <m/>
    <m/>
    <m/>
    <m/>
    <s v=""/>
  </r>
  <r>
    <s v="L1_0354"/>
    <d v="2027-02-09T00:00:00"/>
    <x v="22"/>
    <s v="Milton Keynes Dons"/>
    <m/>
    <m/>
    <m/>
    <m/>
    <m/>
    <m/>
    <n v="1"/>
    <s v="Away"/>
    <m/>
    <m/>
    <m/>
    <m/>
    <s v=""/>
  </r>
  <r>
    <s v="L1_0355"/>
    <d v="2027-02-09T00:00:00"/>
    <x v="15"/>
    <s v="Notts County"/>
    <m/>
    <m/>
    <m/>
    <m/>
    <m/>
    <m/>
    <n v="1"/>
    <s v="Away"/>
    <m/>
    <m/>
    <m/>
    <m/>
    <s v=""/>
  </r>
  <r>
    <s v="L1_0356"/>
    <d v="2027-02-09T00:00:00"/>
    <x v="5"/>
    <s v="Oxford United"/>
    <m/>
    <m/>
    <m/>
    <m/>
    <m/>
    <m/>
    <n v="1"/>
    <s v="Away"/>
    <m/>
    <m/>
    <m/>
    <m/>
    <s v=""/>
  </r>
  <r>
    <s v="L1_0357"/>
    <d v="2027-02-09T00:00:00"/>
    <x v="16"/>
    <s v="Plymouth Argyle"/>
    <m/>
    <m/>
    <m/>
    <m/>
    <m/>
    <m/>
    <n v="1"/>
    <s v="Away"/>
    <m/>
    <m/>
    <m/>
    <m/>
    <s v=""/>
  </r>
  <r>
    <s v="L1_0358"/>
    <d v="2027-02-09T00:00:00"/>
    <x v="23"/>
    <s v="Sheffield Wednesday"/>
    <m/>
    <m/>
    <m/>
    <m/>
    <m/>
    <m/>
    <n v="1"/>
    <s v="Away"/>
    <m/>
    <m/>
    <m/>
    <m/>
    <s v=""/>
  </r>
  <r>
    <s v="L1_0359"/>
    <d v="2027-02-09T00:00:00"/>
    <x v="19"/>
    <s v="Stevenage"/>
    <m/>
    <m/>
    <m/>
    <m/>
    <m/>
    <m/>
    <n v="1"/>
    <s v="Away"/>
    <m/>
    <m/>
    <m/>
    <m/>
    <s v=""/>
  </r>
  <r>
    <s v="L1_0360"/>
    <d v="2027-02-09T00:00:00"/>
    <x v="17"/>
    <s v="Stockport County"/>
    <m/>
    <m/>
    <m/>
    <m/>
    <m/>
    <m/>
    <n v="1"/>
    <s v="Away"/>
    <m/>
    <m/>
    <m/>
    <m/>
    <s v=""/>
  </r>
  <r>
    <s v="L1_0361"/>
    <d v="2027-02-13T00:00:00"/>
    <x v="14"/>
    <s v="AFC Wimbledon"/>
    <m/>
    <m/>
    <m/>
    <m/>
    <m/>
    <m/>
    <n v="1"/>
    <s v="Away"/>
    <m/>
    <m/>
    <m/>
    <m/>
    <s v=""/>
  </r>
  <r>
    <s v="L1_0362"/>
    <d v="2027-02-13T00:00:00"/>
    <x v="11"/>
    <s v="Blackpool"/>
    <m/>
    <m/>
    <m/>
    <m/>
    <m/>
    <m/>
    <n v="1"/>
    <s v="Away"/>
    <m/>
    <m/>
    <m/>
    <m/>
    <s v=""/>
  </r>
  <r>
    <s v="L1_0363"/>
    <d v="2027-02-13T00:00:00"/>
    <x v="3"/>
    <s v="Cambridge United"/>
    <m/>
    <m/>
    <m/>
    <m/>
    <m/>
    <m/>
    <n v="1"/>
    <s v="Away"/>
    <m/>
    <m/>
    <m/>
    <m/>
    <s v=""/>
  </r>
  <r>
    <s v="L1_0364"/>
    <d v="2027-02-13T00:00:00"/>
    <x v="17"/>
    <s v="Leyton Orient"/>
    <m/>
    <m/>
    <m/>
    <m/>
    <m/>
    <m/>
    <n v="1"/>
    <s v="Away"/>
    <m/>
    <m/>
    <m/>
    <m/>
    <s v=""/>
  </r>
  <r>
    <s v="L1_0365"/>
    <d v="2027-02-13T00:00:00"/>
    <x v="2"/>
    <s v="Mansfield Town"/>
    <m/>
    <m/>
    <m/>
    <m/>
    <m/>
    <m/>
    <n v="1"/>
    <s v="Away"/>
    <m/>
    <m/>
    <m/>
    <m/>
    <s v=""/>
  </r>
  <r>
    <s v="L1_0366"/>
    <d v="2027-02-13T00:00:00"/>
    <x v="23"/>
    <s v="Milton Keynes Dons"/>
    <m/>
    <m/>
    <m/>
    <m/>
    <m/>
    <m/>
    <n v="1"/>
    <s v="Away"/>
    <m/>
    <m/>
    <m/>
    <m/>
    <s v=""/>
  </r>
  <r>
    <s v="L1_0367"/>
    <d v="2027-02-13T00:00:00"/>
    <x v="5"/>
    <s v="Notts County"/>
    <m/>
    <m/>
    <m/>
    <m/>
    <m/>
    <m/>
    <n v="1"/>
    <s v="Away"/>
    <m/>
    <m/>
    <m/>
    <m/>
    <s v=""/>
  </r>
  <r>
    <s v="L1_0368"/>
    <d v="2027-02-13T00:00:00"/>
    <x v="16"/>
    <s v="Oxford United"/>
    <m/>
    <m/>
    <m/>
    <m/>
    <m/>
    <m/>
    <n v="1"/>
    <s v="Away"/>
    <m/>
    <m/>
    <m/>
    <m/>
    <s v=""/>
  </r>
  <r>
    <s v="L1_0369"/>
    <d v="2027-02-13T00:00:00"/>
    <x v="15"/>
    <s v="Plymouth Argyle"/>
    <m/>
    <m/>
    <m/>
    <m/>
    <m/>
    <m/>
    <n v="1"/>
    <s v="Away"/>
    <m/>
    <m/>
    <m/>
    <m/>
    <s v=""/>
  </r>
  <r>
    <s v="L1_0370"/>
    <d v="2027-02-13T00:00:00"/>
    <x v="19"/>
    <s v="Sheffield Wednesday"/>
    <m/>
    <m/>
    <m/>
    <m/>
    <m/>
    <m/>
    <n v="1"/>
    <s v="Away"/>
    <m/>
    <m/>
    <m/>
    <m/>
    <s v=""/>
  </r>
  <r>
    <s v="L1_0371"/>
    <d v="2027-02-13T00:00:00"/>
    <x v="0"/>
    <s v="Stevenage"/>
    <m/>
    <m/>
    <m/>
    <m/>
    <m/>
    <m/>
    <n v="1"/>
    <s v="Away"/>
    <m/>
    <m/>
    <m/>
    <m/>
    <s v=""/>
  </r>
  <r>
    <s v="L1_0372"/>
    <d v="2027-02-13T00:00:00"/>
    <x v="22"/>
    <s v="Stockport County"/>
    <m/>
    <m/>
    <m/>
    <m/>
    <m/>
    <m/>
    <n v="1"/>
    <s v="Away"/>
    <m/>
    <m/>
    <m/>
    <m/>
    <s v=""/>
  </r>
  <r>
    <s v="L1_0373"/>
    <d v="2027-02-20T00:00:00"/>
    <x v="10"/>
    <s v="Barnsley"/>
    <m/>
    <m/>
    <m/>
    <m/>
    <m/>
    <m/>
    <n v="1"/>
    <s v="Away"/>
    <m/>
    <m/>
    <m/>
    <m/>
    <s v=""/>
  </r>
  <r>
    <s v="L1_0374"/>
    <d v="2027-02-20T00:00:00"/>
    <x v="8"/>
    <s v="Bradford City"/>
    <m/>
    <m/>
    <m/>
    <m/>
    <m/>
    <m/>
    <n v="1"/>
    <s v="Away"/>
    <m/>
    <m/>
    <m/>
    <m/>
    <s v=""/>
  </r>
  <r>
    <s v="L1_0375"/>
    <d v="2027-02-20T00:00:00"/>
    <x v="1"/>
    <s v="Bromley"/>
    <m/>
    <m/>
    <m/>
    <m/>
    <m/>
    <m/>
    <n v="1"/>
    <s v="Away"/>
    <m/>
    <m/>
    <m/>
    <m/>
    <s v=""/>
  </r>
  <r>
    <s v="L1_0376"/>
    <d v="2027-02-20T00:00:00"/>
    <x v="9"/>
    <s v="Burton Albion"/>
    <m/>
    <m/>
    <m/>
    <m/>
    <m/>
    <m/>
    <n v="1"/>
    <s v="Away"/>
    <m/>
    <m/>
    <m/>
    <m/>
    <s v=""/>
  </r>
  <r>
    <s v="L1_0377"/>
    <d v="2027-02-20T00:00:00"/>
    <x v="13"/>
    <s v="Doncaster Rovers"/>
    <m/>
    <m/>
    <m/>
    <m/>
    <m/>
    <m/>
    <n v="1"/>
    <s v="Away"/>
    <m/>
    <m/>
    <m/>
    <m/>
    <s v=""/>
  </r>
  <r>
    <s v="L1_0378"/>
    <d v="2027-02-20T00:00:00"/>
    <x v="7"/>
    <s v="Huddersfield Town"/>
    <m/>
    <m/>
    <m/>
    <m/>
    <m/>
    <m/>
    <n v="1"/>
    <s v="Away"/>
    <m/>
    <m/>
    <m/>
    <m/>
    <s v=""/>
  </r>
  <r>
    <s v="L1_0379"/>
    <d v="2027-02-20T00:00:00"/>
    <x v="21"/>
    <s v="Leicester City"/>
    <m/>
    <m/>
    <m/>
    <m/>
    <m/>
    <m/>
    <n v="1"/>
    <s v="Away"/>
    <m/>
    <m/>
    <m/>
    <m/>
    <s v=""/>
  </r>
  <r>
    <s v="L1_0380"/>
    <d v="2027-02-20T00:00:00"/>
    <x v="20"/>
    <s v="Luton Town"/>
    <m/>
    <m/>
    <m/>
    <m/>
    <m/>
    <m/>
    <n v="1"/>
    <s v="Away"/>
    <m/>
    <m/>
    <m/>
    <m/>
    <s v=""/>
  </r>
  <r>
    <s v="L1_0381"/>
    <d v="2027-02-20T00:00:00"/>
    <x v="18"/>
    <s v="Peterborough United"/>
    <m/>
    <m/>
    <m/>
    <m/>
    <m/>
    <m/>
    <n v="1"/>
    <s v="Away"/>
    <m/>
    <m/>
    <m/>
    <m/>
    <s v=""/>
  </r>
  <r>
    <s v="L1_0382"/>
    <d v="2027-02-20T00:00:00"/>
    <x v="4"/>
    <s v="Reading"/>
    <m/>
    <m/>
    <m/>
    <m/>
    <m/>
    <m/>
    <n v="1"/>
    <s v="Away"/>
    <m/>
    <m/>
    <m/>
    <m/>
    <s v=""/>
  </r>
  <r>
    <s v="L1_0383"/>
    <d v="2027-02-20T00:00:00"/>
    <x v="12"/>
    <s v="Wigan Athletic"/>
    <m/>
    <m/>
    <m/>
    <m/>
    <m/>
    <m/>
    <n v="1"/>
    <s v="Away"/>
    <m/>
    <m/>
    <m/>
    <m/>
    <s v=""/>
  </r>
  <r>
    <s v="L1_0384"/>
    <d v="2027-02-20T00:00:00"/>
    <x v="6"/>
    <s v="Wycombe Wanderers"/>
    <m/>
    <m/>
    <m/>
    <m/>
    <m/>
    <m/>
    <n v="1"/>
    <s v="Away"/>
    <m/>
    <m/>
    <m/>
    <m/>
    <s v=""/>
  </r>
  <r>
    <s v="L1_0385"/>
    <d v="2027-02-27T00:00:00"/>
    <x v="22"/>
    <s v="Barnsley"/>
    <m/>
    <m/>
    <m/>
    <m/>
    <m/>
    <m/>
    <n v="1"/>
    <s v="Away"/>
    <m/>
    <m/>
    <m/>
    <m/>
    <s v=""/>
  </r>
  <r>
    <s v="L1_0386"/>
    <d v="2027-02-27T00:00:00"/>
    <x v="13"/>
    <s v="Blackpool"/>
    <m/>
    <m/>
    <m/>
    <m/>
    <m/>
    <m/>
    <n v="1"/>
    <s v="Away"/>
    <m/>
    <m/>
    <m/>
    <m/>
    <s v=""/>
  </r>
  <r>
    <s v="L1_0387"/>
    <d v="2027-02-27T00:00:00"/>
    <x v="16"/>
    <s v="Bradford City"/>
    <m/>
    <m/>
    <m/>
    <m/>
    <m/>
    <m/>
    <n v="1"/>
    <s v="Away"/>
    <m/>
    <m/>
    <m/>
    <m/>
    <s v=""/>
  </r>
  <r>
    <s v="L1_0388"/>
    <d v="2027-02-27T00:00:00"/>
    <x v="18"/>
    <s v="Burton Albion"/>
    <m/>
    <m/>
    <m/>
    <m/>
    <m/>
    <m/>
    <n v="1"/>
    <s v="Away"/>
    <m/>
    <m/>
    <m/>
    <m/>
    <s v=""/>
  </r>
  <r>
    <s v="L1_0389"/>
    <d v="2027-02-27T00:00:00"/>
    <x v="19"/>
    <s v="Cambridge United"/>
    <m/>
    <m/>
    <m/>
    <m/>
    <m/>
    <m/>
    <n v="1"/>
    <s v="Away"/>
    <m/>
    <m/>
    <m/>
    <m/>
    <s v=""/>
  </r>
  <r>
    <s v="L1_0390"/>
    <d v="2027-02-27T00:00:00"/>
    <x v="23"/>
    <s v="Huddersfield Town"/>
    <m/>
    <m/>
    <m/>
    <m/>
    <m/>
    <m/>
    <n v="1"/>
    <s v="Away"/>
    <m/>
    <m/>
    <m/>
    <m/>
    <s v=""/>
  </r>
  <r>
    <s v="L1_0391"/>
    <d v="2027-02-27T00:00:00"/>
    <x v="15"/>
    <s v="Leyton Orient"/>
    <m/>
    <m/>
    <m/>
    <m/>
    <m/>
    <m/>
    <n v="1"/>
    <s v="Away"/>
    <m/>
    <m/>
    <m/>
    <m/>
    <s v=""/>
  </r>
  <r>
    <s v="L1_0392"/>
    <d v="2027-02-27T00:00:00"/>
    <x v="20"/>
    <s v="Mansfield Town"/>
    <m/>
    <m/>
    <m/>
    <m/>
    <m/>
    <m/>
    <n v="1"/>
    <s v="Away"/>
    <m/>
    <m/>
    <m/>
    <m/>
    <s v=""/>
  </r>
  <r>
    <s v="L1_0393"/>
    <d v="2027-02-27T00:00:00"/>
    <x v="14"/>
    <s v="Notts County"/>
    <m/>
    <m/>
    <m/>
    <m/>
    <m/>
    <m/>
    <n v="1"/>
    <s v="Away"/>
    <m/>
    <m/>
    <m/>
    <m/>
    <s v=""/>
  </r>
  <r>
    <s v="L1_0394"/>
    <d v="2027-02-27T00:00:00"/>
    <x v="17"/>
    <s v="Oxford United"/>
    <m/>
    <m/>
    <m/>
    <m/>
    <m/>
    <m/>
    <n v="1"/>
    <s v="Away"/>
    <m/>
    <m/>
    <m/>
    <m/>
    <s v=""/>
  </r>
  <r>
    <s v="L1_0395"/>
    <d v="2027-02-27T00:00:00"/>
    <x v="12"/>
    <s v="Plymouth Argyle"/>
    <m/>
    <m/>
    <m/>
    <m/>
    <m/>
    <m/>
    <n v="1"/>
    <s v="Away"/>
    <m/>
    <m/>
    <m/>
    <m/>
    <s v=""/>
  </r>
  <r>
    <s v="L1_0396"/>
    <d v="2027-02-27T00:00:00"/>
    <x v="21"/>
    <s v="Reading"/>
    <m/>
    <m/>
    <m/>
    <m/>
    <m/>
    <m/>
    <n v="1"/>
    <s v="Away"/>
    <m/>
    <m/>
    <m/>
    <m/>
    <s v=""/>
  </r>
  <r>
    <s v="L1_0397"/>
    <d v="2027-03-06T00:00:00"/>
    <x v="5"/>
    <s v="AFC Wimbledon"/>
    <m/>
    <m/>
    <m/>
    <m/>
    <m/>
    <m/>
    <n v="1"/>
    <s v="Away"/>
    <m/>
    <m/>
    <m/>
    <m/>
    <s v=""/>
  </r>
  <r>
    <s v="L1_0398"/>
    <d v="2027-03-06T00:00:00"/>
    <x v="0"/>
    <s v="Bromley"/>
    <m/>
    <m/>
    <m/>
    <m/>
    <m/>
    <m/>
    <n v="1"/>
    <s v="Away"/>
    <m/>
    <m/>
    <m/>
    <m/>
    <s v=""/>
  </r>
  <r>
    <s v="L1_0399"/>
    <d v="2027-03-06T00:00:00"/>
    <x v="7"/>
    <s v="Doncaster Rovers"/>
    <m/>
    <m/>
    <m/>
    <m/>
    <m/>
    <m/>
    <n v="1"/>
    <s v="Away"/>
    <m/>
    <m/>
    <m/>
    <m/>
    <s v=""/>
  </r>
  <r>
    <s v="L1_0400"/>
    <d v="2027-03-06T00:00:00"/>
    <x v="8"/>
    <s v="Leicester City"/>
    <m/>
    <m/>
    <m/>
    <m/>
    <m/>
    <m/>
    <n v="1"/>
    <s v="Away"/>
    <m/>
    <m/>
    <m/>
    <m/>
    <s v=""/>
  </r>
  <r>
    <s v="L1_0401"/>
    <d v="2027-03-06T00:00:00"/>
    <x v="11"/>
    <s v="Luton Town"/>
    <m/>
    <m/>
    <m/>
    <m/>
    <m/>
    <m/>
    <n v="1"/>
    <s v="Away"/>
    <m/>
    <m/>
    <m/>
    <m/>
    <s v=""/>
  </r>
  <r>
    <s v="L1_0402"/>
    <d v="2027-03-06T00:00:00"/>
    <x v="9"/>
    <s v="Milton Keynes Dons"/>
    <m/>
    <m/>
    <m/>
    <m/>
    <m/>
    <m/>
    <n v="1"/>
    <s v="Away"/>
    <m/>
    <m/>
    <m/>
    <m/>
    <s v=""/>
  </r>
  <r>
    <s v="L1_0403"/>
    <d v="2027-03-06T00:00:00"/>
    <x v="2"/>
    <s v="Peterborough United"/>
    <m/>
    <m/>
    <m/>
    <m/>
    <m/>
    <m/>
    <n v="1"/>
    <s v="Away"/>
    <m/>
    <m/>
    <m/>
    <m/>
    <s v=""/>
  </r>
  <r>
    <s v="L1_0404"/>
    <d v="2027-03-06T00:00:00"/>
    <x v="6"/>
    <s v="Sheffield Wednesday"/>
    <m/>
    <m/>
    <m/>
    <m/>
    <m/>
    <m/>
    <n v="1"/>
    <s v="Away"/>
    <m/>
    <m/>
    <m/>
    <m/>
    <s v=""/>
  </r>
  <r>
    <s v="L1_0405"/>
    <d v="2027-03-06T00:00:00"/>
    <x v="3"/>
    <s v="Stevenage"/>
    <m/>
    <m/>
    <m/>
    <m/>
    <m/>
    <m/>
    <n v="1"/>
    <s v="Away"/>
    <m/>
    <m/>
    <m/>
    <m/>
    <s v=""/>
  </r>
  <r>
    <s v="L1_0406"/>
    <d v="2027-03-06T00:00:00"/>
    <x v="10"/>
    <s v="Stockport County"/>
    <m/>
    <m/>
    <m/>
    <m/>
    <m/>
    <m/>
    <n v="1"/>
    <s v="Away"/>
    <m/>
    <m/>
    <m/>
    <m/>
    <s v=""/>
  </r>
  <r>
    <s v="L1_0407"/>
    <d v="2027-03-06T00:00:00"/>
    <x v="4"/>
    <s v="Wigan Athletic"/>
    <m/>
    <m/>
    <m/>
    <m/>
    <m/>
    <m/>
    <n v="1"/>
    <s v="Away"/>
    <m/>
    <m/>
    <m/>
    <m/>
    <s v=""/>
  </r>
  <r>
    <s v="L1_0408"/>
    <d v="2027-03-06T00:00:00"/>
    <x v="1"/>
    <s v="Wycombe Wanderers"/>
    <m/>
    <m/>
    <m/>
    <m/>
    <m/>
    <m/>
    <n v="1"/>
    <s v="Away"/>
    <m/>
    <m/>
    <m/>
    <m/>
    <s v=""/>
  </r>
  <r>
    <s v="L1_0409"/>
    <d v="2027-03-13T00:00:00"/>
    <x v="15"/>
    <s v="Barnsley"/>
    <m/>
    <m/>
    <m/>
    <m/>
    <m/>
    <m/>
    <n v="1"/>
    <s v="Away"/>
    <m/>
    <m/>
    <m/>
    <m/>
    <s v=""/>
  </r>
  <r>
    <s v="L1_0410"/>
    <d v="2027-03-13T00:00:00"/>
    <x v="21"/>
    <s v="Blackpool"/>
    <m/>
    <m/>
    <m/>
    <m/>
    <m/>
    <m/>
    <n v="1"/>
    <s v="Away"/>
    <m/>
    <m/>
    <m/>
    <m/>
    <s v=""/>
  </r>
  <r>
    <s v="L1_0411"/>
    <d v="2027-03-13T00:00:00"/>
    <x v="12"/>
    <s v="Bradford City"/>
    <m/>
    <m/>
    <m/>
    <m/>
    <m/>
    <m/>
    <n v="1"/>
    <s v="Away"/>
    <m/>
    <m/>
    <m/>
    <m/>
    <s v=""/>
  </r>
  <r>
    <s v="L1_0412"/>
    <d v="2027-03-13T00:00:00"/>
    <x v="16"/>
    <s v="Burton Albion"/>
    <m/>
    <m/>
    <m/>
    <m/>
    <m/>
    <m/>
    <n v="1"/>
    <s v="Away"/>
    <m/>
    <m/>
    <m/>
    <m/>
    <s v=""/>
  </r>
  <r>
    <s v="L1_0413"/>
    <d v="2027-03-13T00:00:00"/>
    <x v="14"/>
    <s v="Cambridge United"/>
    <m/>
    <m/>
    <m/>
    <m/>
    <m/>
    <m/>
    <n v="1"/>
    <s v="Away"/>
    <m/>
    <m/>
    <m/>
    <m/>
    <s v=""/>
  </r>
  <r>
    <s v="L1_0414"/>
    <d v="2027-03-13T00:00:00"/>
    <x v="18"/>
    <s v="Huddersfield Town"/>
    <m/>
    <m/>
    <m/>
    <m/>
    <m/>
    <m/>
    <n v="1"/>
    <s v="Away"/>
    <m/>
    <m/>
    <m/>
    <m/>
    <s v=""/>
  </r>
  <r>
    <s v="L1_0415"/>
    <d v="2027-03-13T00:00:00"/>
    <x v="22"/>
    <s v="Leyton Orient"/>
    <m/>
    <m/>
    <m/>
    <m/>
    <m/>
    <m/>
    <n v="1"/>
    <s v="Away"/>
    <m/>
    <m/>
    <m/>
    <m/>
    <s v=""/>
  </r>
  <r>
    <s v="L1_0416"/>
    <d v="2027-03-13T00:00:00"/>
    <x v="19"/>
    <s v="Mansfield Town"/>
    <m/>
    <m/>
    <m/>
    <m/>
    <m/>
    <m/>
    <n v="1"/>
    <s v="Away"/>
    <m/>
    <m/>
    <m/>
    <m/>
    <s v=""/>
  </r>
  <r>
    <s v="L1_0417"/>
    <d v="2027-03-13T00:00:00"/>
    <x v="17"/>
    <s v="Notts County"/>
    <m/>
    <m/>
    <m/>
    <m/>
    <m/>
    <m/>
    <n v="1"/>
    <s v="Away"/>
    <m/>
    <m/>
    <m/>
    <m/>
    <s v=""/>
  </r>
  <r>
    <s v="L1_0418"/>
    <d v="2027-03-13T00:00:00"/>
    <x v="20"/>
    <s v="Oxford United"/>
    <m/>
    <m/>
    <m/>
    <m/>
    <m/>
    <m/>
    <n v="1"/>
    <s v="Away"/>
    <m/>
    <m/>
    <m/>
    <m/>
    <s v=""/>
  </r>
  <r>
    <s v="L1_0419"/>
    <d v="2027-03-13T00:00:00"/>
    <x v="23"/>
    <s v="Plymouth Argyle"/>
    <m/>
    <m/>
    <m/>
    <m/>
    <m/>
    <m/>
    <n v="1"/>
    <s v="Away"/>
    <m/>
    <m/>
    <m/>
    <m/>
    <s v=""/>
  </r>
  <r>
    <s v="L1_0420"/>
    <d v="2027-03-13T00:00:00"/>
    <x v="13"/>
    <s v="Reading"/>
    <m/>
    <m/>
    <m/>
    <m/>
    <m/>
    <m/>
    <n v="1"/>
    <s v="Away"/>
    <m/>
    <m/>
    <m/>
    <m/>
    <s v=""/>
  </r>
  <r>
    <s v="L1_0421"/>
    <d v="2027-03-20T00:00:00"/>
    <x v="6"/>
    <s v="AFC Wimbledon"/>
    <m/>
    <m/>
    <m/>
    <m/>
    <m/>
    <m/>
    <n v="1"/>
    <s v="Away"/>
    <m/>
    <m/>
    <m/>
    <m/>
    <s v=""/>
  </r>
  <r>
    <s v="L1_0422"/>
    <d v="2027-03-20T00:00:00"/>
    <x v="11"/>
    <s v="Bromley"/>
    <m/>
    <m/>
    <m/>
    <m/>
    <m/>
    <m/>
    <n v="1"/>
    <s v="Away"/>
    <m/>
    <m/>
    <m/>
    <m/>
    <s v=""/>
  </r>
  <r>
    <s v="L1_0423"/>
    <d v="2027-03-20T00:00:00"/>
    <x v="2"/>
    <s v="Doncaster Rovers"/>
    <m/>
    <m/>
    <m/>
    <m/>
    <m/>
    <m/>
    <n v="1"/>
    <s v="Away"/>
    <m/>
    <m/>
    <m/>
    <m/>
    <s v=""/>
  </r>
  <r>
    <s v="L1_0424"/>
    <d v="2027-03-20T00:00:00"/>
    <x v="5"/>
    <s v="Leicester City"/>
    <m/>
    <m/>
    <m/>
    <m/>
    <m/>
    <m/>
    <n v="1"/>
    <s v="Away"/>
    <m/>
    <m/>
    <m/>
    <m/>
    <s v=""/>
  </r>
  <r>
    <s v="L1_0425"/>
    <d v="2027-03-20T00:00:00"/>
    <x v="3"/>
    <s v="Luton Town"/>
    <m/>
    <m/>
    <m/>
    <m/>
    <m/>
    <m/>
    <n v="1"/>
    <s v="Away"/>
    <m/>
    <m/>
    <m/>
    <m/>
    <s v=""/>
  </r>
  <r>
    <s v="L1_0426"/>
    <d v="2027-03-20T00:00:00"/>
    <x v="7"/>
    <s v="Milton Keynes Dons"/>
    <m/>
    <m/>
    <m/>
    <m/>
    <m/>
    <m/>
    <n v="1"/>
    <s v="Away"/>
    <m/>
    <m/>
    <m/>
    <m/>
    <s v=""/>
  </r>
  <r>
    <s v="L1_0427"/>
    <d v="2027-03-20T00:00:00"/>
    <x v="10"/>
    <s v="Peterborough United"/>
    <m/>
    <m/>
    <m/>
    <m/>
    <m/>
    <m/>
    <n v="1"/>
    <s v="Away"/>
    <m/>
    <m/>
    <m/>
    <m/>
    <s v=""/>
  </r>
  <r>
    <s v="L1_0428"/>
    <d v="2027-03-20T00:00:00"/>
    <x v="0"/>
    <s v="Sheffield Wednesday"/>
    <m/>
    <m/>
    <m/>
    <m/>
    <m/>
    <m/>
    <n v="1"/>
    <s v="Away"/>
    <m/>
    <m/>
    <m/>
    <m/>
    <s v=""/>
  </r>
  <r>
    <s v="L1_0429"/>
    <d v="2027-03-20T00:00:00"/>
    <x v="8"/>
    <s v="Stevenage"/>
    <m/>
    <m/>
    <m/>
    <m/>
    <m/>
    <m/>
    <n v="1"/>
    <s v="Away"/>
    <m/>
    <m/>
    <m/>
    <m/>
    <s v=""/>
  </r>
  <r>
    <s v="L1_0430"/>
    <d v="2027-03-20T00:00:00"/>
    <x v="4"/>
    <s v="Stockport County"/>
    <m/>
    <m/>
    <m/>
    <m/>
    <m/>
    <m/>
    <n v="1"/>
    <s v="Away"/>
    <m/>
    <m/>
    <m/>
    <m/>
    <s v=""/>
  </r>
  <r>
    <s v="L1_0431"/>
    <d v="2027-03-20T00:00:00"/>
    <x v="1"/>
    <s v="Wigan Athletic"/>
    <m/>
    <m/>
    <m/>
    <m/>
    <m/>
    <m/>
    <n v="1"/>
    <s v="Away"/>
    <m/>
    <m/>
    <m/>
    <m/>
    <s v=""/>
  </r>
  <r>
    <s v="L1_0432"/>
    <d v="2027-03-20T00:00:00"/>
    <x v="9"/>
    <s v="Wycombe Wanderers"/>
    <m/>
    <m/>
    <m/>
    <m/>
    <m/>
    <m/>
    <n v="1"/>
    <s v="Away"/>
    <m/>
    <m/>
    <m/>
    <m/>
    <s v=""/>
  </r>
  <r>
    <s v="L1_0433"/>
    <d v="2027-03-26T00:00:00"/>
    <x v="22"/>
    <s v="Bradford City"/>
    <m/>
    <m/>
    <m/>
    <m/>
    <m/>
    <m/>
    <n v="1"/>
    <s v="Away"/>
    <m/>
    <m/>
    <m/>
    <m/>
    <s v=""/>
  </r>
  <r>
    <s v="L1_0434"/>
    <d v="2027-03-26T00:00:00"/>
    <x v="21"/>
    <s v="Burton Albion"/>
    <m/>
    <m/>
    <m/>
    <m/>
    <m/>
    <m/>
    <n v="1"/>
    <s v="Away"/>
    <m/>
    <m/>
    <m/>
    <m/>
    <s v=""/>
  </r>
  <r>
    <s v="L1_0435"/>
    <d v="2027-03-26T00:00:00"/>
    <x v="1"/>
    <s v="Doncaster Rovers"/>
    <m/>
    <m/>
    <m/>
    <m/>
    <m/>
    <m/>
    <n v="1"/>
    <s v="Away"/>
    <m/>
    <m/>
    <m/>
    <m/>
    <s v=""/>
  </r>
  <r>
    <s v="L1_0436"/>
    <d v="2027-03-26T00:00:00"/>
    <x v="11"/>
    <s v="Huddersfield Town"/>
    <m/>
    <m/>
    <m/>
    <m/>
    <m/>
    <m/>
    <n v="1"/>
    <s v="Away"/>
    <m/>
    <m/>
    <m/>
    <m/>
    <s v=""/>
  </r>
  <r>
    <s v="L1_0437"/>
    <d v="2027-03-26T00:00:00"/>
    <x v="23"/>
    <s v="Leicester City"/>
    <m/>
    <m/>
    <m/>
    <m/>
    <m/>
    <m/>
    <n v="1"/>
    <s v="Away"/>
    <m/>
    <m/>
    <m/>
    <m/>
    <s v=""/>
  </r>
  <r>
    <s v="L1_0438"/>
    <d v="2027-03-26T00:00:00"/>
    <x v="10"/>
    <s v="Luton Town"/>
    <m/>
    <m/>
    <m/>
    <m/>
    <m/>
    <m/>
    <n v="1"/>
    <s v="Away"/>
    <m/>
    <m/>
    <m/>
    <m/>
    <s v=""/>
  </r>
  <r>
    <s v="L1_0439"/>
    <d v="2027-03-26T00:00:00"/>
    <x v="4"/>
    <s v="Mansfield Town"/>
    <m/>
    <m/>
    <m/>
    <m/>
    <m/>
    <m/>
    <n v="1"/>
    <s v="Away"/>
    <m/>
    <m/>
    <m/>
    <m/>
    <s v=""/>
  </r>
  <r>
    <s v="L1_0440"/>
    <d v="2027-03-26T00:00:00"/>
    <x v="12"/>
    <s v="Milton Keynes Dons"/>
    <m/>
    <m/>
    <m/>
    <m/>
    <m/>
    <m/>
    <n v="1"/>
    <s v="Away"/>
    <m/>
    <m/>
    <m/>
    <m/>
    <s v=""/>
  </r>
  <r>
    <s v="L1_0441"/>
    <d v="2027-03-26T00:00:00"/>
    <x v="0"/>
    <s v="Notts County"/>
    <m/>
    <m/>
    <m/>
    <m/>
    <m/>
    <m/>
    <n v="1"/>
    <s v="Away"/>
    <m/>
    <m/>
    <m/>
    <m/>
    <s v=""/>
  </r>
  <r>
    <s v="L1_0442"/>
    <d v="2027-03-26T00:00:00"/>
    <x v="6"/>
    <s v="Oxford United"/>
    <m/>
    <m/>
    <m/>
    <m/>
    <m/>
    <m/>
    <n v="1"/>
    <s v="Away"/>
    <m/>
    <m/>
    <m/>
    <m/>
    <s v=""/>
  </r>
  <r>
    <s v="L1_0443"/>
    <d v="2027-03-26T00:00:00"/>
    <x v="13"/>
    <s v="Peterborough United"/>
    <m/>
    <m/>
    <m/>
    <m/>
    <m/>
    <m/>
    <n v="1"/>
    <s v="Away"/>
    <m/>
    <m/>
    <m/>
    <m/>
    <s v=""/>
  </r>
  <r>
    <s v="L1_0444"/>
    <d v="2027-03-26T00:00:00"/>
    <x v="14"/>
    <s v="Stevenage"/>
    <m/>
    <m/>
    <m/>
    <m/>
    <m/>
    <m/>
    <n v="1"/>
    <s v="Away"/>
    <m/>
    <m/>
    <m/>
    <m/>
    <s v=""/>
  </r>
  <r>
    <s v="L1_0445"/>
    <d v="2027-03-29T00:00:00"/>
    <x v="16"/>
    <s v="AFC Wimbledon"/>
    <m/>
    <m/>
    <m/>
    <m/>
    <m/>
    <m/>
    <n v="1"/>
    <s v="Away"/>
    <m/>
    <m/>
    <m/>
    <m/>
    <s v=""/>
  </r>
  <r>
    <s v="L1_0446"/>
    <d v="2027-03-29T00:00:00"/>
    <x v="7"/>
    <s v="Barnsley"/>
    <m/>
    <m/>
    <m/>
    <m/>
    <m/>
    <m/>
    <n v="1"/>
    <s v="Away"/>
    <m/>
    <m/>
    <m/>
    <m/>
    <s v=""/>
  </r>
  <r>
    <s v="L1_0447"/>
    <d v="2027-03-29T00:00:00"/>
    <x v="9"/>
    <s v="Blackpool"/>
    <m/>
    <m/>
    <m/>
    <m/>
    <m/>
    <m/>
    <n v="1"/>
    <s v="Away"/>
    <m/>
    <m/>
    <m/>
    <m/>
    <s v=""/>
  </r>
  <r>
    <s v="L1_0448"/>
    <d v="2027-03-29T00:00:00"/>
    <x v="15"/>
    <s v="Bromley"/>
    <m/>
    <m/>
    <m/>
    <m/>
    <m/>
    <m/>
    <n v="1"/>
    <s v="Away"/>
    <m/>
    <m/>
    <m/>
    <m/>
    <s v=""/>
  </r>
  <r>
    <s v="L1_0449"/>
    <d v="2027-03-29T00:00:00"/>
    <x v="18"/>
    <s v="Cambridge United"/>
    <m/>
    <m/>
    <m/>
    <m/>
    <m/>
    <m/>
    <n v="1"/>
    <s v="Away"/>
    <m/>
    <m/>
    <m/>
    <m/>
    <s v=""/>
  </r>
  <r>
    <s v="L1_0450"/>
    <d v="2027-03-29T00:00:00"/>
    <x v="5"/>
    <s v="Leyton Orient"/>
    <m/>
    <m/>
    <m/>
    <m/>
    <m/>
    <m/>
    <n v="1"/>
    <s v="Away"/>
    <m/>
    <m/>
    <m/>
    <m/>
    <s v=""/>
  </r>
  <r>
    <s v="L1_0451"/>
    <d v="2027-03-29T00:00:00"/>
    <x v="8"/>
    <s v="Plymouth Argyle"/>
    <m/>
    <m/>
    <m/>
    <m/>
    <m/>
    <m/>
    <n v="1"/>
    <s v="Away"/>
    <m/>
    <m/>
    <m/>
    <m/>
    <s v=""/>
  </r>
  <r>
    <s v="L1_0452"/>
    <d v="2027-03-29T00:00:00"/>
    <x v="20"/>
    <s v="Reading"/>
    <m/>
    <m/>
    <m/>
    <m/>
    <m/>
    <m/>
    <n v="1"/>
    <s v="Away"/>
    <m/>
    <m/>
    <m/>
    <m/>
    <s v=""/>
  </r>
  <r>
    <s v="L1_0453"/>
    <d v="2027-03-29T00:00:00"/>
    <x v="3"/>
    <s v="Sheffield Wednesday"/>
    <m/>
    <m/>
    <m/>
    <m/>
    <m/>
    <m/>
    <n v="1"/>
    <s v="Away"/>
    <m/>
    <m/>
    <m/>
    <m/>
    <s v=""/>
  </r>
  <r>
    <s v="L1_0454"/>
    <d v="2027-03-29T00:00:00"/>
    <x v="2"/>
    <s v="Stockport County"/>
    <m/>
    <m/>
    <m/>
    <m/>
    <m/>
    <m/>
    <n v="1"/>
    <s v="Away"/>
    <m/>
    <m/>
    <m/>
    <m/>
    <s v=""/>
  </r>
  <r>
    <s v="L1_0455"/>
    <d v="2027-03-29T00:00:00"/>
    <x v="17"/>
    <s v="Wigan Athletic"/>
    <m/>
    <m/>
    <m/>
    <m/>
    <m/>
    <m/>
    <n v="1"/>
    <s v="Away"/>
    <m/>
    <m/>
    <m/>
    <m/>
    <s v=""/>
  </r>
  <r>
    <s v="L1_0456"/>
    <d v="2027-03-29T00:00:00"/>
    <x v="19"/>
    <s v="Wycombe Wanderers"/>
    <m/>
    <m/>
    <m/>
    <m/>
    <m/>
    <m/>
    <n v="1"/>
    <s v="Away"/>
    <m/>
    <m/>
    <m/>
    <m/>
    <s v=""/>
  </r>
  <r>
    <s v="L1_0457"/>
    <d v="2027-04-03T00:00:00"/>
    <x v="1"/>
    <s v="Bradford City"/>
    <m/>
    <m/>
    <m/>
    <m/>
    <m/>
    <m/>
    <n v="1"/>
    <s v="Away"/>
    <m/>
    <m/>
    <m/>
    <m/>
    <s v=""/>
  </r>
  <r>
    <s v="L1_0458"/>
    <d v="2027-04-03T00:00:00"/>
    <x v="0"/>
    <s v="Burton Albion"/>
    <m/>
    <m/>
    <m/>
    <m/>
    <m/>
    <m/>
    <n v="1"/>
    <s v="Away"/>
    <m/>
    <m/>
    <m/>
    <m/>
    <s v=""/>
  </r>
  <r>
    <s v="L1_0459"/>
    <d v="2027-04-03T00:00:00"/>
    <x v="4"/>
    <s v="Doncaster Rovers"/>
    <m/>
    <m/>
    <m/>
    <m/>
    <m/>
    <m/>
    <n v="1"/>
    <s v="Away"/>
    <m/>
    <m/>
    <m/>
    <m/>
    <s v=""/>
  </r>
  <r>
    <s v="L1_0460"/>
    <d v="2027-04-03T00:00:00"/>
    <x v="21"/>
    <s v="Huddersfield Town"/>
    <m/>
    <m/>
    <m/>
    <m/>
    <m/>
    <m/>
    <n v="1"/>
    <s v="Away"/>
    <m/>
    <m/>
    <m/>
    <m/>
    <s v=""/>
  </r>
  <r>
    <s v="L1_0461"/>
    <d v="2027-04-03T00:00:00"/>
    <x v="6"/>
    <s v="Leicester City"/>
    <m/>
    <m/>
    <m/>
    <m/>
    <m/>
    <m/>
    <n v="1"/>
    <s v="Away"/>
    <m/>
    <m/>
    <m/>
    <m/>
    <s v=""/>
  </r>
  <r>
    <s v="L1_0462"/>
    <d v="2027-04-03T00:00:00"/>
    <x v="13"/>
    <s v="Luton Town"/>
    <m/>
    <m/>
    <m/>
    <m/>
    <m/>
    <m/>
    <n v="1"/>
    <s v="Away"/>
    <m/>
    <m/>
    <m/>
    <m/>
    <s v=""/>
  </r>
  <r>
    <s v="L1_0463"/>
    <d v="2027-04-03T00:00:00"/>
    <x v="12"/>
    <s v="Mansfield Town"/>
    <m/>
    <m/>
    <m/>
    <m/>
    <m/>
    <m/>
    <n v="1"/>
    <s v="Away"/>
    <m/>
    <m/>
    <m/>
    <m/>
    <s v=""/>
  </r>
  <r>
    <s v="L1_0464"/>
    <d v="2027-04-03T00:00:00"/>
    <x v="10"/>
    <s v="Milton Keynes Dons"/>
    <m/>
    <m/>
    <m/>
    <m/>
    <m/>
    <m/>
    <n v="1"/>
    <s v="Away"/>
    <m/>
    <m/>
    <m/>
    <m/>
    <s v=""/>
  </r>
  <r>
    <s v="L1_0465"/>
    <d v="2027-04-03T00:00:00"/>
    <x v="22"/>
    <s v="Notts County"/>
    <m/>
    <m/>
    <m/>
    <m/>
    <m/>
    <m/>
    <n v="1"/>
    <s v="Away"/>
    <m/>
    <m/>
    <m/>
    <m/>
    <s v=""/>
  </r>
  <r>
    <s v="L1_0466"/>
    <d v="2027-04-03T00:00:00"/>
    <x v="14"/>
    <s v="Oxford United"/>
    <m/>
    <m/>
    <m/>
    <m/>
    <m/>
    <m/>
    <n v="1"/>
    <s v="Away"/>
    <m/>
    <m/>
    <m/>
    <m/>
    <s v=""/>
  </r>
  <r>
    <s v="L1_0467"/>
    <d v="2027-04-03T00:00:00"/>
    <x v="11"/>
    <s v="Peterborough United"/>
    <m/>
    <m/>
    <m/>
    <m/>
    <m/>
    <m/>
    <n v="1"/>
    <s v="Away"/>
    <m/>
    <m/>
    <m/>
    <m/>
    <s v=""/>
  </r>
  <r>
    <s v="L1_0468"/>
    <d v="2027-04-03T00:00:00"/>
    <x v="23"/>
    <s v="Stevenage"/>
    <m/>
    <m/>
    <m/>
    <m/>
    <m/>
    <m/>
    <n v="1"/>
    <s v="Away"/>
    <m/>
    <m/>
    <m/>
    <m/>
    <s v=""/>
  </r>
  <r>
    <s v="L1_0469"/>
    <d v="2027-04-10T00:00:00"/>
    <x v="2"/>
    <s v="AFC Wimbledon"/>
    <m/>
    <m/>
    <m/>
    <m/>
    <m/>
    <m/>
    <n v="1"/>
    <s v="Away"/>
    <m/>
    <m/>
    <m/>
    <m/>
    <s v=""/>
  </r>
  <r>
    <s v="L1_0470"/>
    <d v="2027-04-10T00:00:00"/>
    <x v="19"/>
    <s v="Barnsley"/>
    <m/>
    <m/>
    <m/>
    <m/>
    <m/>
    <m/>
    <n v="1"/>
    <s v="Away"/>
    <m/>
    <m/>
    <m/>
    <m/>
    <s v=""/>
  </r>
  <r>
    <s v="L1_0471"/>
    <d v="2027-04-10T00:00:00"/>
    <x v="5"/>
    <s v="Blackpool"/>
    <m/>
    <m/>
    <m/>
    <m/>
    <m/>
    <m/>
    <n v="1"/>
    <s v="Away"/>
    <m/>
    <m/>
    <m/>
    <m/>
    <s v=""/>
  </r>
  <r>
    <s v="L1_0472"/>
    <d v="2027-04-10T00:00:00"/>
    <x v="17"/>
    <s v="Bromley"/>
    <m/>
    <m/>
    <m/>
    <m/>
    <m/>
    <m/>
    <n v="1"/>
    <s v="Away"/>
    <m/>
    <m/>
    <m/>
    <m/>
    <s v=""/>
  </r>
  <r>
    <s v="L1_0473"/>
    <d v="2027-04-10T00:00:00"/>
    <x v="8"/>
    <s v="Cambridge United"/>
    <m/>
    <m/>
    <m/>
    <m/>
    <m/>
    <m/>
    <n v="1"/>
    <s v="Away"/>
    <m/>
    <m/>
    <m/>
    <m/>
    <s v=""/>
  </r>
  <r>
    <s v="L1_0474"/>
    <d v="2027-04-10T00:00:00"/>
    <x v="18"/>
    <s v="Leyton Orient"/>
    <m/>
    <m/>
    <m/>
    <m/>
    <m/>
    <m/>
    <n v="1"/>
    <s v="Away"/>
    <m/>
    <m/>
    <m/>
    <m/>
    <s v=""/>
  </r>
  <r>
    <s v="L1_0475"/>
    <d v="2027-04-10T00:00:00"/>
    <x v="9"/>
    <s v="Plymouth Argyle"/>
    <m/>
    <m/>
    <m/>
    <m/>
    <m/>
    <m/>
    <n v="1"/>
    <s v="Away"/>
    <m/>
    <m/>
    <m/>
    <m/>
    <s v=""/>
  </r>
  <r>
    <s v="L1_0476"/>
    <d v="2027-04-10T00:00:00"/>
    <x v="3"/>
    <s v="Reading"/>
    <m/>
    <m/>
    <m/>
    <m/>
    <m/>
    <m/>
    <n v="1"/>
    <s v="Away"/>
    <m/>
    <m/>
    <m/>
    <m/>
    <s v=""/>
  </r>
  <r>
    <s v="L1_0477"/>
    <d v="2027-04-10T00:00:00"/>
    <x v="16"/>
    <s v="Sheffield Wednesday"/>
    <m/>
    <m/>
    <m/>
    <m/>
    <m/>
    <m/>
    <n v="1"/>
    <s v="Away"/>
    <m/>
    <m/>
    <m/>
    <m/>
    <s v=""/>
  </r>
  <r>
    <s v="L1_0478"/>
    <d v="2027-04-10T00:00:00"/>
    <x v="20"/>
    <s v="Stockport County"/>
    <m/>
    <m/>
    <m/>
    <m/>
    <m/>
    <m/>
    <n v="1"/>
    <s v="Away"/>
    <m/>
    <m/>
    <m/>
    <m/>
    <s v=""/>
  </r>
  <r>
    <s v="L1_0479"/>
    <d v="2027-04-10T00:00:00"/>
    <x v="15"/>
    <s v="Wigan Athletic"/>
    <m/>
    <m/>
    <m/>
    <m/>
    <m/>
    <m/>
    <n v="1"/>
    <s v="Away"/>
    <m/>
    <m/>
    <m/>
    <m/>
    <s v=""/>
  </r>
  <r>
    <s v="L1_0480"/>
    <d v="2027-04-10T00:00:00"/>
    <x v="7"/>
    <s v="Wycombe Wanderers"/>
    <m/>
    <m/>
    <m/>
    <m/>
    <m/>
    <m/>
    <n v="1"/>
    <s v="Away"/>
    <m/>
    <m/>
    <m/>
    <m/>
    <s v=""/>
  </r>
  <r>
    <s v="L1_0481"/>
    <d v="2027-04-13T00:00:00"/>
    <x v="4"/>
    <s v="AFC Wimbledon"/>
    <m/>
    <m/>
    <m/>
    <m/>
    <m/>
    <m/>
    <n v="1"/>
    <s v="Away"/>
    <m/>
    <m/>
    <m/>
    <m/>
    <s v=""/>
  </r>
  <r>
    <s v="L1_0482"/>
    <d v="2027-04-13T00:00:00"/>
    <x v="2"/>
    <s v="Barnsley"/>
    <m/>
    <m/>
    <m/>
    <m/>
    <m/>
    <m/>
    <n v="1"/>
    <s v="Away"/>
    <m/>
    <m/>
    <m/>
    <m/>
    <s v=""/>
  </r>
  <r>
    <s v="L1_0483"/>
    <d v="2027-04-13T00:00:00"/>
    <x v="8"/>
    <s v="Blackpool"/>
    <m/>
    <m/>
    <m/>
    <m/>
    <m/>
    <m/>
    <n v="1"/>
    <s v="Away"/>
    <m/>
    <m/>
    <m/>
    <m/>
    <s v=""/>
  </r>
  <r>
    <s v="L1_0484"/>
    <d v="2027-04-13T00:00:00"/>
    <x v="18"/>
    <s v="Bromley"/>
    <m/>
    <m/>
    <m/>
    <m/>
    <m/>
    <m/>
    <n v="1"/>
    <s v="Away"/>
    <m/>
    <m/>
    <m/>
    <m/>
    <s v=""/>
  </r>
  <r>
    <s v="L1_0485"/>
    <d v="2027-04-13T00:00:00"/>
    <x v="10"/>
    <s v="Burton Albion"/>
    <m/>
    <m/>
    <m/>
    <m/>
    <m/>
    <m/>
    <n v="1"/>
    <s v="Away"/>
    <m/>
    <m/>
    <m/>
    <m/>
    <s v=""/>
  </r>
  <r>
    <s v="L1_0486"/>
    <d v="2027-04-13T00:00:00"/>
    <x v="7"/>
    <s v="Leyton Orient"/>
    <m/>
    <m/>
    <m/>
    <m/>
    <m/>
    <m/>
    <n v="1"/>
    <s v="Away"/>
    <m/>
    <m/>
    <m/>
    <m/>
    <s v=""/>
  </r>
  <r>
    <s v="L1_0487"/>
    <d v="2027-04-13T00:00:00"/>
    <x v="5"/>
    <s v="Luton Town"/>
    <m/>
    <m/>
    <m/>
    <m/>
    <m/>
    <m/>
    <n v="1"/>
    <s v="Away"/>
    <m/>
    <m/>
    <m/>
    <m/>
    <s v=""/>
  </r>
  <r>
    <s v="L1_0488"/>
    <d v="2027-04-13T00:00:00"/>
    <x v="15"/>
    <s v="Oxford United"/>
    <m/>
    <m/>
    <m/>
    <m/>
    <m/>
    <m/>
    <n v="1"/>
    <s v="Away"/>
    <m/>
    <m/>
    <m/>
    <m/>
    <s v=""/>
  </r>
  <r>
    <s v="L1_0489"/>
    <d v="2027-04-13T00:00:00"/>
    <x v="21"/>
    <s v="Peterborough United"/>
    <m/>
    <m/>
    <m/>
    <m/>
    <m/>
    <m/>
    <n v="1"/>
    <s v="Away"/>
    <m/>
    <m/>
    <m/>
    <m/>
    <s v=""/>
  </r>
  <r>
    <s v="L1_0490"/>
    <d v="2027-04-13T00:00:00"/>
    <x v="23"/>
    <s v="Reading"/>
    <m/>
    <m/>
    <m/>
    <m/>
    <m/>
    <m/>
    <n v="1"/>
    <s v="Away"/>
    <m/>
    <m/>
    <m/>
    <m/>
    <s v=""/>
  </r>
  <r>
    <s v="L1_0491"/>
    <d v="2027-04-13T00:00:00"/>
    <x v="20"/>
    <s v="Sheffield Wednesday"/>
    <m/>
    <m/>
    <m/>
    <m/>
    <m/>
    <m/>
    <n v="1"/>
    <s v="Away"/>
    <m/>
    <m/>
    <m/>
    <m/>
    <s v=""/>
  </r>
  <r>
    <s v="L1_0492"/>
    <d v="2027-04-13T00:00:00"/>
    <x v="16"/>
    <s v="Wigan Athletic"/>
    <m/>
    <m/>
    <m/>
    <m/>
    <m/>
    <m/>
    <n v="1"/>
    <s v="Away"/>
    <m/>
    <m/>
    <m/>
    <m/>
    <s v=""/>
  </r>
  <r>
    <s v="L1_0493"/>
    <d v="2027-04-17T00:00:00"/>
    <x v="17"/>
    <s v="Bradford City"/>
    <m/>
    <m/>
    <m/>
    <m/>
    <m/>
    <m/>
    <n v="1"/>
    <s v="Away"/>
    <m/>
    <m/>
    <m/>
    <m/>
    <s v=""/>
  </r>
  <r>
    <s v="L1_0494"/>
    <d v="2027-04-17T00:00:00"/>
    <x v="9"/>
    <s v="Cambridge United"/>
    <m/>
    <m/>
    <m/>
    <m/>
    <m/>
    <m/>
    <n v="1"/>
    <s v="Away"/>
    <m/>
    <m/>
    <m/>
    <m/>
    <s v=""/>
  </r>
  <r>
    <s v="L1_0495"/>
    <d v="2027-04-17T00:00:00"/>
    <x v="19"/>
    <s v="Doncaster Rovers"/>
    <m/>
    <m/>
    <m/>
    <m/>
    <m/>
    <m/>
    <n v="1"/>
    <s v="Away"/>
    <m/>
    <m/>
    <m/>
    <m/>
    <s v=""/>
  </r>
  <r>
    <s v="L1_0496"/>
    <d v="2027-04-17T00:00:00"/>
    <x v="14"/>
    <s v="Huddersfield Town"/>
    <m/>
    <m/>
    <m/>
    <m/>
    <m/>
    <m/>
    <n v="1"/>
    <s v="Away"/>
    <m/>
    <m/>
    <m/>
    <m/>
    <s v=""/>
  </r>
  <r>
    <s v="L1_0497"/>
    <d v="2027-04-17T00:00:00"/>
    <x v="0"/>
    <s v="Leicester City"/>
    <m/>
    <m/>
    <m/>
    <m/>
    <m/>
    <m/>
    <n v="1"/>
    <s v="Away"/>
    <m/>
    <m/>
    <m/>
    <m/>
    <s v=""/>
  </r>
  <r>
    <s v="L1_0498"/>
    <d v="2027-04-17T00:00:00"/>
    <x v="3"/>
    <s v="Mansfield Town"/>
    <m/>
    <m/>
    <m/>
    <m/>
    <m/>
    <m/>
    <n v="1"/>
    <s v="Away"/>
    <m/>
    <m/>
    <m/>
    <m/>
    <s v=""/>
  </r>
  <r>
    <s v="L1_0499"/>
    <d v="2027-04-17T00:00:00"/>
    <x v="13"/>
    <s v="Milton Keynes Dons"/>
    <m/>
    <m/>
    <m/>
    <m/>
    <m/>
    <m/>
    <n v="1"/>
    <s v="Away"/>
    <m/>
    <m/>
    <m/>
    <m/>
    <s v=""/>
  </r>
  <r>
    <s v="L1_0500"/>
    <d v="2027-04-17T00:00:00"/>
    <x v="11"/>
    <s v="Notts County"/>
    <m/>
    <m/>
    <m/>
    <m/>
    <m/>
    <m/>
    <n v="1"/>
    <s v="Away"/>
    <m/>
    <m/>
    <m/>
    <m/>
    <s v=""/>
  </r>
  <r>
    <s v="L1_0501"/>
    <d v="2027-04-17T00:00:00"/>
    <x v="1"/>
    <s v="Plymouth Argyle"/>
    <m/>
    <m/>
    <m/>
    <m/>
    <m/>
    <m/>
    <n v="1"/>
    <s v="Away"/>
    <m/>
    <m/>
    <m/>
    <m/>
    <s v=""/>
  </r>
  <r>
    <s v="L1_0502"/>
    <d v="2027-04-17T00:00:00"/>
    <x v="6"/>
    <s v="Stevenage"/>
    <m/>
    <m/>
    <m/>
    <m/>
    <m/>
    <m/>
    <n v="1"/>
    <s v="Away"/>
    <m/>
    <m/>
    <m/>
    <m/>
    <s v=""/>
  </r>
  <r>
    <s v="L1_0503"/>
    <d v="2027-04-17T00:00:00"/>
    <x v="12"/>
    <s v="Stockport County"/>
    <m/>
    <m/>
    <m/>
    <m/>
    <m/>
    <m/>
    <n v="1"/>
    <s v="Away"/>
    <m/>
    <m/>
    <m/>
    <m/>
    <s v=""/>
  </r>
  <r>
    <s v="L1_0504"/>
    <d v="2027-04-17T00:00:00"/>
    <x v="22"/>
    <s v="Wycombe Wanderers"/>
    <m/>
    <m/>
    <m/>
    <m/>
    <m/>
    <m/>
    <n v="1"/>
    <s v="Away"/>
    <m/>
    <m/>
    <m/>
    <m/>
    <s v=""/>
  </r>
  <r>
    <s v="L1_0505"/>
    <d v="2027-04-24T00:00:00"/>
    <x v="10"/>
    <s v="AFC Wimbledon"/>
    <m/>
    <m/>
    <m/>
    <m/>
    <m/>
    <m/>
    <n v="1"/>
    <s v="Away"/>
    <m/>
    <m/>
    <m/>
    <m/>
    <s v=""/>
  </r>
  <r>
    <s v="L1_0506"/>
    <d v="2027-04-24T00:00:00"/>
    <x v="21"/>
    <s v="Barnsley"/>
    <m/>
    <m/>
    <m/>
    <m/>
    <m/>
    <m/>
    <n v="1"/>
    <s v="Away"/>
    <m/>
    <m/>
    <m/>
    <m/>
    <s v=""/>
  </r>
  <r>
    <s v="L1_0507"/>
    <d v="2027-04-24T00:00:00"/>
    <x v="4"/>
    <s v="Blackpool"/>
    <m/>
    <m/>
    <m/>
    <m/>
    <m/>
    <m/>
    <n v="1"/>
    <s v="Away"/>
    <m/>
    <m/>
    <m/>
    <m/>
    <s v=""/>
  </r>
  <r>
    <s v="L1_0508"/>
    <d v="2027-04-24T00:00:00"/>
    <x v="7"/>
    <s v="Bromley"/>
    <m/>
    <m/>
    <m/>
    <m/>
    <m/>
    <m/>
    <n v="1"/>
    <s v="Away"/>
    <m/>
    <m/>
    <m/>
    <m/>
    <s v=""/>
  </r>
  <r>
    <s v="L1_0509"/>
    <d v="2027-04-24T00:00:00"/>
    <x v="15"/>
    <s v="Burton Albion"/>
    <m/>
    <m/>
    <m/>
    <m/>
    <m/>
    <m/>
    <n v="1"/>
    <s v="Away"/>
    <m/>
    <m/>
    <m/>
    <m/>
    <s v=""/>
  </r>
  <r>
    <s v="L1_0510"/>
    <d v="2027-04-24T00:00:00"/>
    <x v="2"/>
    <s v="Leyton Orient"/>
    <m/>
    <m/>
    <m/>
    <m/>
    <m/>
    <m/>
    <n v="1"/>
    <s v="Away"/>
    <m/>
    <m/>
    <m/>
    <m/>
    <s v=""/>
  </r>
  <r>
    <s v="L1_0511"/>
    <d v="2027-04-24T00:00:00"/>
    <x v="23"/>
    <s v="Luton Town"/>
    <m/>
    <m/>
    <m/>
    <m/>
    <m/>
    <m/>
    <n v="1"/>
    <s v="Away"/>
    <m/>
    <m/>
    <m/>
    <m/>
    <s v=""/>
  </r>
  <r>
    <s v="L1_0512"/>
    <d v="2027-04-24T00:00:00"/>
    <x v="8"/>
    <s v="Oxford United"/>
    <m/>
    <m/>
    <m/>
    <m/>
    <m/>
    <m/>
    <n v="1"/>
    <s v="Away"/>
    <m/>
    <m/>
    <m/>
    <m/>
    <s v=""/>
  </r>
  <r>
    <s v="L1_0513"/>
    <d v="2027-04-24T00:00:00"/>
    <x v="16"/>
    <s v="Peterborough United"/>
    <m/>
    <m/>
    <m/>
    <m/>
    <m/>
    <m/>
    <n v="1"/>
    <s v="Away"/>
    <m/>
    <m/>
    <m/>
    <m/>
    <s v=""/>
  </r>
  <r>
    <s v="L1_0514"/>
    <d v="2027-04-24T00:00:00"/>
    <x v="5"/>
    <s v="Reading"/>
    <m/>
    <m/>
    <m/>
    <m/>
    <m/>
    <m/>
    <n v="1"/>
    <s v="Away"/>
    <m/>
    <m/>
    <m/>
    <m/>
    <s v=""/>
  </r>
  <r>
    <s v="L1_0515"/>
    <d v="2027-04-24T00:00:00"/>
    <x v="18"/>
    <s v="Sheffield Wednesday"/>
    <m/>
    <m/>
    <m/>
    <m/>
    <m/>
    <m/>
    <n v="1"/>
    <s v="Away"/>
    <m/>
    <m/>
    <m/>
    <m/>
    <s v=""/>
  </r>
  <r>
    <s v="L1_0516"/>
    <d v="2027-04-24T00:00:00"/>
    <x v="20"/>
    <s v="Wigan Athletic"/>
    <m/>
    <m/>
    <m/>
    <m/>
    <m/>
    <m/>
    <n v="1"/>
    <s v="Away"/>
    <m/>
    <m/>
    <m/>
    <m/>
    <s v=""/>
  </r>
  <r>
    <s v="L1_0517"/>
    <d v="2027-04-27T00:00:00"/>
    <x v="11"/>
    <s v="Bradford City"/>
    <m/>
    <m/>
    <m/>
    <m/>
    <m/>
    <m/>
    <n v="1"/>
    <s v="Away"/>
    <m/>
    <m/>
    <m/>
    <m/>
    <s v=""/>
  </r>
  <r>
    <s v="L1_0518"/>
    <d v="2027-04-27T00:00:00"/>
    <x v="12"/>
    <s v="Cambridge United"/>
    <m/>
    <m/>
    <m/>
    <m/>
    <m/>
    <m/>
    <n v="1"/>
    <s v="Away"/>
    <m/>
    <m/>
    <m/>
    <m/>
    <s v=""/>
  </r>
  <r>
    <s v="L1_0519"/>
    <d v="2027-04-27T00:00:00"/>
    <x v="17"/>
    <s v="Doncaster Rovers"/>
    <m/>
    <m/>
    <m/>
    <m/>
    <m/>
    <m/>
    <n v="1"/>
    <s v="Away"/>
    <m/>
    <m/>
    <m/>
    <m/>
    <s v=""/>
  </r>
  <r>
    <s v="L1_0520"/>
    <d v="2027-04-27T00:00:00"/>
    <x v="3"/>
    <s v="Huddersfield Town"/>
    <m/>
    <m/>
    <m/>
    <m/>
    <m/>
    <m/>
    <n v="1"/>
    <s v="Away"/>
    <m/>
    <m/>
    <m/>
    <m/>
    <s v=""/>
  </r>
  <r>
    <s v="L1_0521"/>
    <d v="2027-04-27T00:00:00"/>
    <x v="1"/>
    <s v="Leicester City"/>
    <m/>
    <m/>
    <m/>
    <m/>
    <m/>
    <m/>
    <n v="1"/>
    <s v="Away"/>
    <m/>
    <m/>
    <m/>
    <m/>
    <s v=""/>
  </r>
  <r>
    <s v="L1_0522"/>
    <d v="2027-04-27T00:00:00"/>
    <x v="22"/>
    <s v="Mansfield Town"/>
    <m/>
    <m/>
    <m/>
    <m/>
    <m/>
    <m/>
    <n v="1"/>
    <s v="Away"/>
    <m/>
    <m/>
    <m/>
    <m/>
    <s v=""/>
  </r>
  <r>
    <s v="L1_0523"/>
    <d v="2027-04-27T00:00:00"/>
    <x v="0"/>
    <s v="Milton Keynes Dons"/>
    <m/>
    <m/>
    <m/>
    <m/>
    <m/>
    <m/>
    <n v="1"/>
    <s v="Away"/>
    <m/>
    <m/>
    <m/>
    <m/>
    <s v=""/>
  </r>
  <r>
    <s v="L1_0524"/>
    <d v="2027-04-27T00:00:00"/>
    <x v="19"/>
    <s v="Notts County"/>
    <m/>
    <m/>
    <m/>
    <m/>
    <m/>
    <m/>
    <n v="1"/>
    <s v="Away"/>
    <m/>
    <m/>
    <m/>
    <m/>
    <s v=""/>
  </r>
  <r>
    <s v="L1_0525"/>
    <d v="2027-04-27T00:00:00"/>
    <x v="6"/>
    <s v="Plymouth Argyle"/>
    <m/>
    <m/>
    <m/>
    <m/>
    <m/>
    <m/>
    <n v="1"/>
    <s v="Away"/>
    <m/>
    <m/>
    <m/>
    <m/>
    <s v=""/>
  </r>
  <r>
    <s v="L1_0526"/>
    <d v="2027-04-27T00:00:00"/>
    <x v="13"/>
    <s v="Stevenage"/>
    <m/>
    <m/>
    <m/>
    <m/>
    <m/>
    <m/>
    <n v="1"/>
    <s v="Away"/>
    <m/>
    <m/>
    <m/>
    <m/>
    <s v=""/>
  </r>
  <r>
    <s v="L1_0527"/>
    <d v="2027-04-27T00:00:00"/>
    <x v="9"/>
    <s v="Stockport County"/>
    <m/>
    <m/>
    <m/>
    <m/>
    <m/>
    <m/>
    <n v="1"/>
    <s v="Away"/>
    <m/>
    <m/>
    <m/>
    <m/>
    <s v=""/>
  </r>
  <r>
    <s v="L1_0528"/>
    <d v="2027-04-27T00:00:00"/>
    <x v="14"/>
    <s v="Wycombe Wanderers"/>
    <m/>
    <m/>
    <m/>
    <m/>
    <m/>
    <m/>
    <n v="1"/>
    <s v="Away"/>
    <m/>
    <m/>
    <m/>
    <m/>
    <s v=""/>
  </r>
  <r>
    <s v="L1_0529"/>
    <d v="2027-05-01T00:00:00"/>
    <x v="13"/>
    <s v="Barnsley"/>
    <m/>
    <m/>
    <m/>
    <m/>
    <m/>
    <m/>
    <n v="1"/>
    <s v="Away"/>
    <m/>
    <m/>
    <m/>
    <m/>
    <s v=""/>
  </r>
  <r>
    <s v="L1_0530"/>
    <d v="2027-05-01T00:00:00"/>
    <x v="20"/>
    <s v="Blackpool"/>
    <m/>
    <m/>
    <m/>
    <m/>
    <m/>
    <m/>
    <n v="1"/>
    <s v="Away"/>
    <m/>
    <m/>
    <m/>
    <m/>
    <s v=""/>
  </r>
  <r>
    <s v="L1_0531"/>
    <d v="2027-05-01T00:00:00"/>
    <x v="23"/>
    <s v="Bradford City"/>
    <m/>
    <m/>
    <m/>
    <m/>
    <m/>
    <m/>
    <n v="1"/>
    <s v="Away"/>
    <m/>
    <m/>
    <m/>
    <m/>
    <s v=""/>
  </r>
  <r>
    <s v="L1_0532"/>
    <d v="2027-05-01T00:00:00"/>
    <x v="14"/>
    <s v="Burton Albion"/>
    <m/>
    <m/>
    <m/>
    <m/>
    <m/>
    <m/>
    <n v="1"/>
    <s v="Away"/>
    <m/>
    <m/>
    <m/>
    <m/>
    <s v=""/>
  </r>
  <r>
    <s v="L1_0533"/>
    <d v="2027-05-01T00:00:00"/>
    <x v="17"/>
    <s v="Cambridge United"/>
    <m/>
    <m/>
    <m/>
    <m/>
    <m/>
    <m/>
    <n v="1"/>
    <s v="Away"/>
    <m/>
    <m/>
    <m/>
    <m/>
    <s v=""/>
  </r>
  <r>
    <s v="L1_0534"/>
    <d v="2027-05-01T00:00:00"/>
    <x v="15"/>
    <s v="Huddersfield Town"/>
    <m/>
    <m/>
    <m/>
    <m/>
    <m/>
    <m/>
    <n v="1"/>
    <s v="Away"/>
    <m/>
    <m/>
    <m/>
    <m/>
    <s v=""/>
  </r>
  <r>
    <s v="L1_0535"/>
    <d v="2027-05-01T00:00:00"/>
    <x v="21"/>
    <s v="Leyton Orient"/>
    <m/>
    <m/>
    <m/>
    <m/>
    <m/>
    <m/>
    <n v="1"/>
    <s v="Away"/>
    <m/>
    <m/>
    <m/>
    <m/>
    <s v=""/>
  </r>
  <r>
    <s v="L1_0536"/>
    <d v="2027-05-01T00:00:00"/>
    <x v="16"/>
    <s v="Mansfield Town"/>
    <m/>
    <m/>
    <m/>
    <m/>
    <m/>
    <m/>
    <n v="1"/>
    <s v="Away"/>
    <m/>
    <m/>
    <m/>
    <m/>
    <s v=""/>
  </r>
  <r>
    <s v="L1_0537"/>
    <d v="2027-05-01T00:00:00"/>
    <x v="18"/>
    <s v="Notts County"/>
    <m/>
    <m/>
    <m/>
    <m/>
    <m/>
    <m/>
    <n v="1"/>
    <s v="Away"/>
    <m/>
    <m/>
    <m/>
    <m/>
    <s v=""/>
  </r>
  <r>
    <s v="L1_0538"/>
    <d v="2027-05-01T00:00:00"/>
    <x v="19"/>
    <s v="Oxford United"/>
    <m/>
    <m/>
    <m/>
    <m/>
    <m/>
    <m/>
    <n v="1"/>
    <s v="Away"/>
    <m/>
    <m/>
    <m/>
    <m/>
    <s v=""/>
  </r>
  <r>
    <s v="L1_0539"/>
    <d v="2027-05-01T00:00:00"/>
    <x v="22"/>
    <s v="Plymouth Argyle"/>
    <m/>
    <m/>
    <m/>
    <m/>
    <m/>
    <m/>
    <n v="1"/>
    <s v="Away"/>
    <m/>
    <m/>
    <m/>
    <m/>
    <s v=""/>
  </r>
  <r>
    <s v="L1_0540"/>
    <d v="2027-05-01T00:00:00"/>
    <x v="12"/>
    <s v="Reading"/>
    <m/>
    <m/>
    <m/>
    <m/>
    <m/>
    <m/>
    <n v="1"/>
    <s v="Away"/>
    <m/>
    <m/>
    <m/>
    <m/>
    <s v=""/>
  </r>
  <r>
    <s v="L1_0541"/>
    <d v="2027-05-08T00:00:00"/>
    <x v="8"/>
    <s v="AFC Wimbledon"/>
    <m/>
    <m/>
    <m/>
    <m/>
    <m/>
    <m/>
    <n v="1"/>
    <s v="Away"/>
    <m/>
    <m/>
    <m/>
    <m/>
    <s v=""/>
  </r>
  <r>
    <s v="L1_0542"/>
    <d v="2027-05-08T00:00:00"/>
    <x v="10"/>
    <s v="Bromley"/>
    <m/>
    <m/>
    <m/>
    <m/>
    <m/>
    <m/>
    <n v="1"/>
    <s v="Away"/>
    <m/>
    <m/>
    <m/>
    <m/>
    <s v=""/>
  </r>
  <r>
    <s v="L1_0543"/>
    <d v="2027-05-08T00:00:00"/>
    <x v="11"/>
    <s v="Doncaster Rovers"/>
    <m/>
    <m/>
    <m/>
    <m/>
    <m/>
    <m/>
    <n v="1"/>
    <s v="Away"/>
    <m/>
    <m/>
    <m/>
    <m/>
    <s v=""/>
  </r>
  <r>
    <s v="L1_0544"/>
    <d v="2027-05-08T00:00:00"/>
    <x v="4"/>
    <s v="Leicester City"/>
    <m/>
    <m/>
    <m/>
    <m/>
    <m/>
    <m/>
    <n v="1"/>
    <s v="Away"/>
    <m/>
    <m/>
    <m/>
    <m/>
    <s v=""/>
  </r>
  <r>
    <s v="L1_0545"/>
    <d v="2027-05-08T00:00:00"/>
    <x v="1"/>
    <s v="Luton Town"/>
    <m/>
    <m/>
    <m/>
    <m/>
    <m/>
    <m/>
    <n v="1"/>
    <s v="Away"/>
    <m/>
    <m/>
    <m/>
    <m/>
    <s v=""/>
  </r>
  <r>
    <s v="L1_0546"/>
    <d v="2027-05-08T00:00:00"/>
    <x v="2"/>
    <s v="Milton Keynes Dons"/>
    <m/>
    <m/>
    <m/>
    <m/>
    <m/>
    <m/>
    <n v="1"/>
    <s v="Away"/>
    <m/>
    <m/>
    <m/>
    <m/>
    <s v=""/>
  </r>
  <r>
    <s v="L1_0547"/>
    <d v="2027-05-08T00:00:00"/>
    <x v="6"/>
    <s v="Peterborough United"/>
    <m/>
    <m/>
    <m/>
    <m/>
    <m/>
    <m/>
    <n v="1"/>
    <s v="Away"/>
    <m/>
    <m/>
    <m/>
    <m/>
    <s v=""/>
  </r>
  <r>
    <s v="L1_0548"/>
    <d v="2027-05-08T00:00:00"/>
    <x v="9"/>
    <s v="Sheffield Wednesday"/>
    <m/>
    <m/>
    <m/>
    <m/>
    <m/>
    <m/>
    <n v="1"/>
    <s v="Away"/>
    <m/>
    <m/>
    <m/>
    <m/>
    <s v=""/>
  </r>
  <r>
    <s v="L1_0549"/>
    <d v="2027-05-08T00:00:00"/>
    <x v="5"/>
    <s v="Stevenage"/>
    <m/>
    <m/>
    <m/>
    <m/>
    <m/>
    <m/>
    <n v="1"/>
    <s v="Away"/>
    <m/>
    <m/>
    <m/>
    <m/>
    <s v=""/>
  </r>
  <r>
    <s v="L1_0550"/>
    <d v="2027-05-08T00:00:00"/>
    <x v="7"/>
    <s v="Stockport County"/>
    <m/>
    <m/>
    <m/>
    <m/>
    <m/>
    <m/>
    <n v="1"/>
    <s v="Away"/>
    <m/>
    <m/>
    <m/>
    <m/>
    <s v=""/>
  </r>
  <r>
    <s v="L1_0551"/>
    <d v="2027-05-08T00:00:00"/>
    <x v="3"/>
    <s v="Wigan Athletic"/>
    <m/>
    <m/>
    <m/>
    <m/>
    <m/>
    <m/>
    <n v="1"/>
    <s v="Away"/>
    <m/>
    <m/>
    <m/>
    <m/>
    <s v=""/>
  </r>
  <r>
    <s v="L1_0552"/>
    <d v="2027-05-08T00:00:00"/>
    <x v="0"/>
    <s v="Wycombe Wanderers"/>
    <m/>
    <m/>
    <m/>
    <m/>
    <m/>
    <m/>
    <n v="1"/>
    <s v="Away"/>
    <m/>
    <m/>
    <m/>
    <m/>
    <s v=""/>
  </r>
  <r>
    <m/>
    <m/>
    <x v="24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A207A-8BC4-43CE-A06F-DA1E7BE712FF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P26" firstHeaderRow="0" firstDataRow="1" firstDataCol="1"/>
  <pivotFields count="23">
    <pivotField showAll="0"/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5">
        <item x="13"/>
        <item x="0"/>
        <item x="1"/>
        <item x="2"/>
        <item x="14"/>
        <item x="3"/>
        <item x="4"/>
        <item x="15"/>
        <item x="5"/>
        <item x="16"/>
        <item x="6"/>
        <item x="17"/>
        <item x="7"/>
        <item x="18"/>
        <item x="8"/>
        <item x="9"/>
        <item x="19"/>
        <item x="10"/>
        <item x="11"/>
        <item x="12"/>
        <item x="20"/>
        <item x="21"/>
        <item x="22"/>
        <item x="2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xG For" fld="4" baseField="2" baseItem="0"/>
    <dataField name="xG Against" fld="5" baseField="2" baseItem="0"/>
    <dataField name="Total xG Diff" fld="12" baseField="2" baseItem="0"/>
  </dataFields>
  <formats count="1">
    <format dxfId="43">
      <pivotArea dataOnly="0" labelOnly="1" fieldPosition="0">
        <references count="1">
          <reference field="2" count="0"/>
        </references>
      </pivotArea>
    </format>
  </formats>
  <conditionalFormats count="3">
    <conditionalFormat priority="1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6B17C-B7A6-45FE-8650-0BA4F9A4A4E5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I27" firstHeaderRow="0" firstDataRow="1" firstDataCol="1"/>
  <pivotFields count="17">
    <pivotField showAll="0"/>
    <pivotField showAll="0"/>
    <pivotField axis="axisRow" showAll="0">
      <items count="42">
        <item x="13"/>
        <item m="1" x="40"/>
        <item x="0"/>
        <item x="1"/>
        <item x="2"/>
        <item m="1" x="38"/>
        <item x="14"/>
        <item x="3"/>
        <item m="1" x="27"/>
        <item x="4"/>
        <item m="1" x="28"/>
        <item x="15"/>
        <item x="5"/>
        <item m="1" x="29"/>
        <item x="16"/>
        <item m="1" x="35"/>
        <item x="6"/>
        <item x="17"/>
        <item m="1" x="25"/>
        <item x="7"/>
        <item m="1" x="30"/>
        <item x="18"/>
        <item m="1" x="36"/>
        <item x="8"/>
        <item m="1" x="31"/>
        <item x="9"/>
        <item m="1" x="32"/>
        <item x="19"/>
        <item m="1" x="39"/>
        <item x="10"/>
        <item x="11"/>
        <item m="1" x="33"/>
        <item x="12"/>
        <item m="1" x="26"/>
        <item x="20"/>
        <item m="1" x="34"/>
        <item x="21"/>
        <item m="1" x="37"/>
        <item x="22"/>
        <item x="23"/>
        <item x="2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2"/>
  </rowFields>
  <rowItems count="26">
    <i>
      <x/>
    </i>
    <i>
      <x v="2"/>
    </i>
    <i>
      <x v="3"/>
    </i>
    <i>
      <x v="4"/>
    </i>
    <i>
      <x v="6"/>
    </i>
    <i>
      <x v="7"/>
    </i>
    <i>
      <x v="9"/>
    </i>
    <i>
      <x v="11"/>
    </i>
    <i>
      <x v="12"/>
    </i>
    <i>
      <x v="14"/>
    </i>
    <i>
      <x v="16"/>
    </i>
    <i>
      <x v="17"/>
    </i>
    <i>
      <x v="19"/>
    </i>
    <i>
      <x v="21"/>
    </i>
    <i>
      <x v="23"/>
    </i>
    <i>
      <x v="25"/>
    </i>
    <i>
      <x v="27"/>
    </i>
    <i>
      <x v="29"/>
    </i>
    <i>
      <x v="30"/>
    </i>
    <i>
      <x v="32"/>
    </i>
    <i>
      <x v="34"/>
    </i>
    <i>
      <x v="36"/>
    </i>
    <i>
      <x v="38"/>
    </i>
    <i>
      <x v="39"/>
    </i>
    <i>
      <x v="4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Goals For" fld="6" baseField="2" baseItem="0"/>
    <dataField name="xG For" fld="4" baseField="2" baseItem="0"/>
    <dataField name="Goals Against" fld="7" baseField="2" baseItem="0"/>
    <dataField name="xG Against" fld="5" baseField="2" baseItem="0"/>
    <dataField name="Total xG Diff" fld="12" baseField="2" baseItem="0"/>
    <dataField name="Total Goal Diff" fld="13" baseField="2" baseItem="0"/>
    <dataField name="Total xG performance" fld="14" baseField="2" baseItem="0"/>
    <dataField name="Games Played " fld="6" subtotal="countNums" baseField="2" baseItem="0"/>
  </dataFields>
  <formats count="1">
    <format dxfId="44">
      <pivotArea dataOnly="0" labelOnly="1" fieldPosition="0">
        <references count="1">
          <reference field="2" count="24">
            <x v="0"/>
            <x v="2"/>
            <x v="3"/>
            <x v="4"/>
            <x v="6"/>
            <x v="7"/>
            <x v="9"/>
            <x v="11"/>
            <x v="12"/>
            <x v="14"/>
            <x v="16"/>
            <x v="17"/>
            <x v="19"/>
            <x v="21"/>
            <x v="23"/>
            <x v="25"/>
            <x v="27"/>
            <x v="29"/>
            <x v="30"/>
            <x v="32"/>
            <x v="34"/>
            <x v="36"/>
            <x v="38"/>
            <x v="39"/>
          </reference>
        </references>
      </pivotArea>
    </format>
  </formats>
  <conditionalFormats count="7">
    <conditionalFormat priority="7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2" count="24">
              <x v="0"/>
              <x v="2"/>
              <x v="3"/>
              <x v="4"/>
              <x v="6"/>
              <x v="7"/>
              <x v="9"/>
              <x v="11"/>
              <x v="12"/>
              <x v="14"/>
              <x v="16"/>
              <x v="17"/>
              <x v="19"/>
              <x v="21"/>
              <x v="23"/>
              <x v="25"/>
              <x v="27"/>
              <x v="29"/>
              <x v="30"/>
              <x v="32"/>
              <x v="34"/>
              <x v="36"/>
              <x v="38"/>
              <x v="39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2" count="24">
              <x v="0"/>
              <x v="2"/>
              <x v="3"/>
              <x v="4"/>
              <x v="6"/>
              <x v="7"/>
              <x v="9"/>
              <x v="11"/>
              <x v="12"/>
              <x v="14"/>
              <x v="16"/>
              <x v="17"/>
              <x v="19"/>
              <x v="21"/>
              <x v="23"/>
              <x v="25"/>
              <x v="27"/>
              <x v="29"/>
              <x v="30"/>
              <x v="32"/>
              <x v="34"/>
              <x v="36"/>
              <x v="38"/>
              <x v="39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2" count="24">
              <x v="0"/>
              <x v="2"/>
              <x v="3"/>
              <x v="4"/>
              <x v="6"/>
              <x v="7"/>
              <x v="9"/>
              <x v="11"/>
              <x v="12"/>
              <x v="14"/>
              <x v="16"/>
              <x v="17"/>
              <x v="19"/>
              <x v="21"/>
              <x v="23"/>
              <x v="25"/>
              <x v="27"/>
              <x v="29"/>
              <x v="30"/>
              <x v="32"/>
              <x v="34"/>
              <x v="36"/>
              <x v="38"/>
              <x v="39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24">
              <x v="0"/>
              <x v="2"/>
              <x v="3"/>
              <x v="4"/>
              <x v="6"/>
              <x v="7"/>
              <x v="9"/>
              <x v="11"/>
              <x v="12"/>
              <x v="14"/>
              <x v="16"/>
              <x v="17"/>
              <x v="19"/>
              <x v="21"/>
              <x v="23"/>
              <x v="25"/>
              <x v="27"/>
              <x v="29"/>
              <x v="30"/>
              <x v="32"/>
              <x v="34"/>
              <x v="36"/>
              <x v="38"/>
              <x v="39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4">
              <x v="0"/>
              <x v="2"/>
              <x v="3"/>
              <x v="4"/>
              <x v="6"/>
              <x v="7"/>
              <x v="9"/>
              <x v="11"/>
              <x v="12"/>
              <x v="14"/>
              <x v="16"/>
              <x v="17"/>
              <x v="19"/>
              <x v="21"/>
              <x v="23"/>
              <x v="25"/>
              <x v="27"/>
              <x v="29"/>
              <x v="30"/>
              <x v="32"/>
              <x v="34"/>
              <x v="36"/>
              <x v="38"/>
              <x v="39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2" count="24">
              <x v="0"/>
              <x v="2"/>
              <x v="3"/>
              <x v="4"/>
              <x v="6"/>
              <x v="7"/>
              <x v="9"/>
              <x v="11"/>
              <x v="12"/>
              <x v="14"/>
              <x v="16"/>
              <x v="17"/>
              <x v="19"/>
              <x v="21"/>
              <x v="23"/>
              <x v="25"/>
              <x v="27"/>
              <x v="29"/>
              <x v="30"/>
              <x v="32"/>
              <x v="34"/>
              <x v="36"/>
              <x v="38"/>
              <x v="39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24">
              <x v="0"/>
              <x v="2"/>
              <x v="3"/>
              <x v="4"/>
              <x v="6"/>
              <x v="7"/>
              <x v="9"/>
              <x v="11"/>
              <x v="12"/>
              <x v="14"/>
              <x v="16"/>
              <x v="17"/>
              <x v="19"/>
              <x v="21"/>
              <x v="23"/>
              <x v="25"/>
              <x v="27"/>
              <x v="29"/>
              <x v="30"/>
              <x v="32"/>
              <x v="34"/>
              <x v="36"/>
              <x v="38"/>
              <x v="3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DA4FD-54B4-4936-99D3-79BBA5FAB076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1:H56" firstHeaderRow="0" firstDataRow="1" firstDataCol="1"/>
  <pivotFields count="23">
    <pivotField showAll="0"/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5">
        <item x="13"/>
        <item x="0"/>
        <item x="1"/>
        <item x="2"/>
        <item x="14"/>
        <item x="3"/>
        <item x="4"/>
        <item x="15"/>
        <item x="5"/>
        <item x="16"/>
        <item x="6"/>
        <item x="17"/>
        <item x="7"/>
        <item x="18"/>
        <item x="8"/>
        <item x="9"/>
        <item x="19"/>
        <item x="10"/>
        <item x="11"/>
        <item x="12"/>
        <item x="20"/>
        <item x="21"/>
        <item x="22"/>
        <item x="2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xG Against" fld="5" baseField="2" baseItem="0"/>
    <dataField name="Goals Against" fld="7" baseField="2" baseItem="0"/>
  </dataFields>
  <formats count="1">
    <format dxfId="45">
      <pivotArea dataOnly="0" labelOnly="1" fieldPosition="0">
        <references count="1">
          <reference field="2" count="0"/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E99E8-3920-4850-A6A5-0A6485001654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C56" firstHeaderRow="0" firstDataRow="1" firstDataCol="1"/>
  <pivotFields count="23">
    <pivotField showAll="0"/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5">
        <item x="13"/>
        <item x="0"/>
        <item x="1"/>
        <item x="2"/>
        <item x="14"/>
        <item x="3"/>
        <item x="4"/>
        <item x="15"/>
        <item x="5"/>
        <item x="16"/>
        <item x="6"/>
        <item x="17"/>
        <item x="7"/>
        <item x="18"/>
        <item x="8"/>
        <item x="9"/>
        <item x="19"/>
        <item x="10"/>
        <item x="11"/>
        <item x="12"/>
        <item x="20"/>
        <item x="21"/>
        <item x="22"/>
        <item x="23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xG For" fld="4" baseField="2" baseItem="0"/>
    <dataField name="Goals For" fld="6" baseField="2" baseItem="0"/>
  </dataFields>
  <formats count="1">
    <format dxfId="46">
      <pivotArea dataOnly="0" labelOnly="1" fieldPosition="0">
        <references count="1">
          <reference field="2" count="0"/>
        </references>
      </pivotArea>
    </format>
  </formats>
  <conditionalFormats count="2"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B593F35-0BDF-4C1D-8C73-249C08EFA156}" autoFormatId="16" applyNumberFormats="0" applyBorderFormats="0" applyFontFormats="0" applyPatternFormats="0" applyAlignmentFormats="0" applyWidthHeightFormats="0">
  <queryTableRefresh nextId="14">
    <queryTableFields count="12">
      <queryTableField id="1" name="Match ID" tableColumnId="12"/>
      <queryTableField id="2" name="Date" tableColumnId="2"/>
      <queryTableField id="3" name="Team" tableColumnId="3"/>
      <queryTableField id="4" name="Opponent" tableColumnId="4"/>
      <queryTableField id="5" name="Team xG" tableColumnId="5"/>
      <queryTableField id="6" name="Opponent xG" tableColumnId="6"/>
      <queryTableField id="7" name="Team Goals" tableColumnId="7"/>
      <queryTableField id="8" name="Opponent Goals" tableColumnId="8"/>
      <queryTableField id="9" name="Total xG" tableColumnId="9"/>
      <queryTableField id="10" name="Total Goals" tableColumnId="10"/>
      <queryTableField id="12" name="Match ID count" tableColumnId="1"/>
      <queryTableField id="11" name="Venu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66D464-1749-4F8B-82CE-812AEBB5839F}" autoFormatId="16" applyNumberFormats="0" applyBorderFormats="0" applyFontFormats="0" applyPatternFormats="0" applyAlignmentFormats="0" applyWidthHeightFormats="0">
  <queryTableRefresh nextId="14">
    <queryTableFields count="12">
      <queryTableField id="1" name="Match ID" tableColumnId="12"/>
      <queryTableField id="2" name="Date" tableColumnId="2"/>
      <queryTableField id="3" name="Opponent" tableColumnId="3"/>
      <queryTableField id="4" name="Team" tableColumnId="4"/>
      <queryTableField id="5" name="Opponent xG" tableColumnId="5"/>
      <queryTableField id="6" name="Team xG" tableColumnId="6"/>
      <queryTableField id="7" name="Opponent Goals" tableColumnId="7"/>
      <queryTableField id="8" name="Team Goals" tableColumnId="8"/>
      <queryTableField id="9" name="Total xG" tableColumnId="9"/>
      <queryTableField id="10" name="Total Goals" tableColumnId="10"/>
      <queryTableField id="12" name="Match ID count" tableColumnId="1"/>
      <queryTableField id="11" name="Venu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6EFD547-EC45-498E-9119-0C4701B089EA}" autoFormatId="16" applyNumberFormats="0" applyBorderFormats="0" applyFontFormats="0" applyPatternFormats="0" applyAlignmentFormats="0" applyWidthHeightFormats="0">
  <queryTableRefresh nextId="23" unboundColumnsRight="4">
    <queryTableFields count="20">
      <queryTableField id="1" name="Match ID" tableColumnId="14"/>
      <queryTableField id="2" name="Date" tableColumnId="2"/>
      <queryTableField id="3" name="Team" tableColumnId="3"/>
      <queryTableField id="4" name="Opponent" tableColumnId="4"/>
      <queryTableField id="5" name="Team xG" tableColumnId="5"/>
      <queryTableField id="6" name="Opponent xG" tableColumnId="6"/>
      <queryTableField id="7" name="Team Goals" tableColumnId="7"/>
      <queryTableField id="8" name="Opponent Goals" tableColumnId="8"/>
      <queryTableField id="9" name="Total xG" tableColumnId="9"/>
      <queryTableField id="10" name="Total Goals" tableColumnId="10"/>
      <queryTableField id="21" name="Match ID count" tableColumnId="20"/>
      <queryTableField id="11" name="Venue" tableColumnId="11"/>
      <queryTableField id="12" name="xG Diff" tableColumnId="12"/>
      <queryTableField id="13" name="Goal Diff" tableColumnId="13"/>
      <queryTableField id="14" name="xG Overperformance " tableColumnId="15"/>
      <queryTableField id="16" name="Result" tableColumnId="1"/>
      <queryTableField id="17" dataBound="0" tableColumnId="16"/>
      <queryTableField id="18" dataBound="0" tableColumnId="17"/>
      <queryTableField id="19" dataBound="0" tableColumnId="18"/>
      <queryTableField id="20" dataBound="0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2C06DB2-6403-4035-8609-637398185F4E}" autoFormatId="16" applyNumberFormats="0" applyBorderFormats="0" applyFontFormats="0" applyPatternFormats="0" applyAlignmentFormats="0" applyWidthHeightFormats="0">
  <queryTableRefresh nextId="18">
    <queryTableFields count="16">
      <queryTableField id="1" name="Match ID" tableColumnId="16"/>
      <queryTableField id="2" name="Date" tableColumnId="2"/>
      <queryTableField id="3" name="Team" tableColumnId="3"/>
      <queryTableField id="4" name="Opponent" tableColumnId="4"/>
      <queryTableField id="5" name="Team xG" tableColumnId="5"/>
      <queryTableField id="6" name="Opponent xG" tableColumnId="6"/>
      <queryTableField id="7" name="Team Goals" tableColumnId="7"/>
      <queryTableField id="8" name="Opponent Goals" tableColumnId="8"/>
      <queryTableField id="9" name="Total xG" tableColumnId="9"/>
      <queryTableField id="10" name="Total Goals" tableColumnId="10"/>
      <queryTableField id="16" name="Match ID count" tableColumnId="1"/>
      <queryTableField id="11" name="Venue" tableColumnId="11"/>
      <queryTableField id="12" name="xG Diff" tableColumnId="12"/>
      <queryTableField id="13" name="Goal Diff" tableColumnId="13"/>
      <queryTableField id="14" name="xG Overperformance " tableColumnId="14"/>
      <queryTableField id="15" name="Result 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8EDD0-67E1-4ABF-AA07-37032CD3CE3B}" name="Homematches" displayName="Homematches" ref="A1:P553" totalsRowShown="0" headerRowDxfId="73">
  <autoFilter ref="A1:P553" xr:uid="{5FE8EDD0-67E1-4ABF-AA07-37032CD3CE3B}"/>
  <tableColumns count="16">
    <tableColumn id="1" xr3:uid="{32922CD2-A7AF-4B83-962C-1735FFE1D64F}" name="Match ID" dataDxfId="72"/>
    <tableColumn id="2" xr3:uid="{B049037E-BF13-4B56-A66F-9E2AB12C7BF8}" name="Date" dataDxfId="71"/>
    <tableColumn id="3" xr3:uid="{9C0FB97E-CFE1-4920-ADA4-09F20B18B015}" name="Home Team"/>
    <tableColumn id="4" xr3:uid="{6A16EC07-4BCC-47AC-8632-7147139B8B72}" name="Away Team"/>
    <tableColumn id="5" xr3:uid="{51CE59E3-E549-46B4-B60B-2C33117D1D0F}" name="Home xG"/>
    <tableColumn id="6" xr3:uid="{0048711F-4128-4679-A34B-66C70A1E0E72}" name="Away xG"/>
    <tableColumn id="7" xr3:uid="{039981B0-198F-4E10-90BD-569550AD4265}" name="Home Goals"/>
    <tableColumn id="8" xr3:uid="{C9404F0E-9538-43BA-813C-A39801E0CB93}" name="Away Goals"/>
    <tableColumn id="9" xr3:uid="{FA717A3F-A0E4-420B-8AC2-DC5CBDB0F329}" name="xG Difference (Home - Away " dataDxfId="70">
      <calculatedColumnFormula>IF(E2="","",E2-F2)</calculatedColumnFormula>
    </tableColumn>
    <tableColumn id="10" xr3:uid="{89A84A87-98AE-4076-9AAC-538C8028EB6D}" name="Goal difference " dataDxfId="69">
      <calculatedColumnFormula>IF(G2="","",G2-H2)</calculatedColumnFormula>
    </tableColumn>
    <tableColumn id="11" xr3:uid="{155D06BC-4E19-47AB-A567-D1D1287DEAA9}" name="Total xG" dataDxfId="68">
      <calculatedColumnFormula>IF(E2="","",E2+F2)</calculatedColumnFormula>
    </tableColumn>
    <tableColumn id="12" xr3:uid="{7BFAA55E-79A9-4B7E-8878-C2ABE3ADFBF8}" name="Total Goals" dataDxfId="67">
      <calculatedColumnFormula>IF(G2="","",G2+H2)</calculatedColumnFormula>
    </tableColumn>
    <tableColumn id="13" xr3:uid="{479C8AF5-8F6C-4F7B-8D26-E7D3D169A215}" name="xG Overperformance (Home) " dataDxfId="66">
      <calculatedColumnFormula>IF(G2="","",G2-E2)</calculatedColumnFormula>
    </tableColumn>
    <tableColumn id="14" xr3:uid="{5CBF110F-EA9B-441C-9479-851400C16B18}" name="xG Overperformance (Away)" dataDxfId="65">
      <calculatedColumnFormula>IF(H2="","",H2-F2)</calculatedColumnFormula>
    </tableColumn>
    <tableColumn id="15" xr3:uid="{27677BD3-E248-498B-9EE5-C0CA0141D7AF}" name="Result" dataDxfId="64">
      <calculatedColumnFormula>IF(G2="","",IF(G2&gt;H2,"Home Win",IF(G2&lt;H2,"Away Win","Draw")))</calculatedColumnFormula>
    </tableColumn>
    <tableColumn id="16" xr3:uid="{ED2AD4D4-457B-4413-A91A-D6EFFD0EA671}" name="Match ID count" dataDxfId="63">
      <calculatedColumnFormula>COUNTIF(Homematches[Match ID],Homematches[[#This Row],[Match ID]])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2CA25-52D2-45F9-8ED1-116FABE06AA4}" name="Home_rows" displayName="Home_rows" ref="A1:L553" tableType="queryTable" totalsRowShown="0">
  <tableColumns count="12">
    <tableColumn id="12" xr3:uid="{E350431F-51E7-40E4-B5B0-4008DA5AB706}" uniqueName="12" name="Match ID" queryTableFieldId="1" dataDxfId="62"/>
    <tableColumn id="2" xr3:uid="{A2F4CA81-C3F5-4583-AABC-0B7AC698B52E}" uniqueName="2" name="Date" queryTableFieldId="2" dataDxfId="61"/>
    <tableColumn id="3" xr3:uid="{DE03BC62-10B8-40E0-AA73-5EFE7E1AE1BE}" uniqueName="3" name="Team" queryTableFieldId="3" dataDxfId="60"/>
    <tableColumn id="4" xr3:uid="{744C296A-0CBD-4D8D-9F58-525B1387F75B}" uniqueName="4" name="Opponent" queryTableFieldId="4" dataDxfId="59"/>
    <tableColumn id="5" xr3:uid="{8CD2021A-7373-446E-B31D-CD7188DF241B}" uniqueName="5" name="Team xG" queryTableFieldId="5"/>
    <tableColumn id="6" xr3:uid="{47360F9F-61D1-4BF8-A50B-ADEEC7B691F4}" uniqueName="6" name="Opponent xG" queryTableFieldId="6"/>
    <tableColumn id="7" xr3:uid="{2E6ED98F-B816-4404-A8B1-F4EFFC2D4D34}" uniqueName="7" name="Team Goals" queryTableFieldId="7"/>
    <tableColumn id="8" xr3:uid="{76311D88-4F45-4FEB-AE55-8C0A78152B5C}" uniqueName="8" name="Opponent Goals" queryTableFieldId="8"/>
    <tableColumn id="9" xr3:uid="{36AA2D04-8DA6-4388-B052-3C405DA78B9A}" uniqueName="9" name="Total xG" queryTableFieldId="9"/>
    <tableColumn id="10" xr3:uid="{9F417B42-CD69-4FC2-9D4E-535B5F9C6959}" uniqueName="10" name="Total Goals" queryTableFieldId="10"/>
    <tableColumn id="1" xr3:uid="{A5C209CC-FF96-4913-8B99-035A8A768551}" uniqueName="1" name="Match ID count" queryTableFieldId="12"/>
    <tableColumn id="11" xr3:uid="{78E06EF4-CBDC-4FDA-9086-69903BE9E3E8}" uniqueName="11" name="Venue" queryTableField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4F7773-576E-4A5E-987F-B48E110B9E4E}" name="Away_rows" displayName="Away_rows" ref="A1:L553" tableType="queryTable" totalsRowShown="0">
  <autoFilter ref="A1:L553" xr:uid="{0F4F7773-576E-4A5E-987F-B48E110B9E4E}"/>
  <tableColumns count="12">
    <tableColumn id="12" xr3:uid="{84FA83ED-AD76-44E8-83DB-40599E7EC61E}" uniqueName="12" name="Match ID" queryTableFieldId="1" dataDxfId="58"/>
    <tableColumn id="2" xr3:uid="{C8466C3C-AA24-4B90-8C11-2469A8BA1880}" uniqueName="2" name="Date" queryTableFieldId="2" dataDxfId="57"/>
    <tableColumn id="3" xr3:uid="{8B4E84F8-1BD1-4595-9621-1D593F9B6D61}" uniqueName="3" name="Opponent" queryTableFieldId="3" dataDxfId="56"/>
    <tableColumn id="4" xr3:uid="{739F1D75-FCB2-44ED-82C5-8DF910799D19}" uniqueName="4" name="Team" queryTableFieldId="4" dataDxfId="55"/>
    <tableColumn id="5" xr3:uid="{F2D7CCF3-B84A-459F-A8FA-027EB1E7DE35}" uniqueName="5" name="Opponent xG" queryTableFieldId="5"/>
    <tableColumn id="6" xr3:uid="{A778C724-0126-488D-8178-46A5B29120BE}" uniqueName="6" name="Team xG" queryTableFieldId="6"/>
    <tableColumn id="7" xr3:uid="{ED81DC7A-33AF-4F48-8647-1C9200E484A0}" uniqueName="7" name="Opponent Goals" queryTableFieldId="7"/>
    <tableColumn id="8" xr3:uid="{0C3933DF-1E45-42C0-B4DC-C4A2B7DBD1F8}" uniqueName="8" name="Team Goals" queryTableFieldId="8"/>
    <tableColumn id="9" xr3:uid="{9B60ECD6-3A45-4450-BBE0-0C571F04C07A}" uniqueName="9" name="Total xG" queryTableFieldId="9"/>
    <tableColumn id="10" xr3:uid="{CDF5A7C8-3545-4AA4-804D-9A62DCB7C906}" uniqueName="10" name="Total Goals" queryTableFieldId="10"/>
    <tableColumn id="1" xr3:uid="{BFF5FFBD-DCA7-4DAD-B292-1932149B9C43}" uniqueName="1" name="Match ID count" queryTableFieldId="12"/>
    <tableColumn id="11" xr3:uid="{1BF1316E-C214-4A78-9FE6-0F19E9D22EE6}" uniqueName="11" name="Venue" queryTableFieldId="11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26DF61-B008-40AC-92F5-7B6FE3F9B972}" name="Team_Level" displayName="Team_Level" ref="A1:T1105" tableType="queryTable" totalsRowShown="0">
  <autoFilter ref="A1:T1105" xr:uid="{6C26DF61-B008-40AC-92F5-7B6FE3F9B972}"/>
  <tableColumns count="20">
    <tableColumn id="14" xr3:uid="{0F82E8DB-5F79-49FE-8D10-DA56F36D93B2}" uniqueName="14" name="Match ID" queryTableFieldId="1" dataDxfId="54"/>
    <tableColumn id="2" xr3:uid="{7D77B86E-D8DB-40CC-91ED-F4870CE3F5AF}" uniqueName="2" name="Date" queryTableFieldId="2" dataDxfId="53"/>
    <tableColumn id="3" xr3:uid="{58A27AC3-A533-4C41-BC54-DE22BC0F5396}" uniqueName="3" name="Team" queryTableFieldId="3" dataDxfId="52"/>
    <tableColumn id="4" xr3:uid="{A99D7812-B9E2-4D4C-B139-02B8762176BF}" uniqueName="4" name="Opponent" queryTableFieldId="4" dataDxfId="51"/>
    <tableColumn id="5" xr3:uid="{B57B834E-041C-4B28-8179-8E5A0769AAE9}" uniqueName="5" name="Team xG" queryTableFieldId="5"/>
    <tableColumn id="6" xr3:uid="{D1B93849-DBC8-4E1A-BCD4-8D12A4DAF993}" uniqueName="6" name="Opponent xG" queryTableFieldId="6"/>
    <tableColumn id="7" xr3:uid="{FD25A870-BC15-4C19-8B7F-7299CEE99BCC}" uniqueName="7" name="Team Goals" queryTableFieldId="7"/>
    <tableColumn id="8" xr3:uid="{98005EE4-260A-43DC-B90F-9E894EE9CD5E}" uniqueName="8" name="Opponent Goals" queryTableFieldId="8"/>
    <tableColumn id="9" xr3:uid="{F5CF1CAF-AA42-4600-8507-3787139C8982}" uniqueName="9" name="Total xG" queryTableFieldId="9"/>
    <tableColumn id="10" xr3:uid="{F8FB8E8C-5A77-4031-B2C2-56E691E57E86}" uniqueName="10" name="Total Goals" queryTableFieldId="10"/>
    <tableColumn id="20" xr3:uid="{71EA0381-8347-4C36-B1DB-CB5508E8EE41}" uniqueName="20" name="Match ID count" queryTableFieldId="21"/>
    <tableColumn id="11" xr3:uid="{15617D77-EBEA-42D0-808E-98E69F1DCEAC}" uniqueName="11" name="Venue" queryTableFieldId="11"/>
    <tableColumn id="12" xr3:uid="{898A0C45-CFF4-436D-B450-AD9EFDCFEF7E}" uniqueName="12" name="xG Diff" queryTableFieldId="12"/>
    <tableColumn id="13" xr3:uid="{7C6A992D-40ED-4372-BE56-B2FF8EADE29B}" uniqueName="13" name="Goal Diff" queryTableFieldId="13"/>
    <tableColumn id="15" xr3:uid="{AAE537D9-972C-4E4B-B387-03A4AA73A7C7}" uniqueName="15" name="xG Overperformance " queryTableFieldId="14"/>
    <tableColumn id="1" xr3:uid="{09D6F0B9-3CF2-4429-8460-1190EE7286B8}" uniqueName="1" name="Result" queryTableFieldId="16"/>
    <tableColumn id="16" xr3:uid="{80E38BB0-7E0C-4728-9293-439E99DE4B13}" uniqueName="16" name="Recency Rank" queryTableFieldId="17" dataDxfId="50">
      <calculatedColumnFormula>IF(Team_Level[[#This Row],[Result]]="","",COUNTIFS(Team_Level[Team],Team_Level[[#This Row],[Team]],Team_Level[Date],"&gt;="&amp;Team_Level[[#This Row],[Date]],Team_Level[Result],"&lt;&gt;"))</calculatedColumnFormula>
    </tableColumn>
    <tableColumn id="17" xr3:uid="{1A81EB83-F676-4BC6-A898-FB136AEA0E85}" uniqueName="17" name="Match Key" queryTableFieldId="18" dataDxfId="49">
      <calculatedColumnFormula>Team_Level[[#This Row],[Team]]&amp;"-"&amp;Team_Level[[#This Row],[Recency Rank]]</calculatedColumnFormula>
    </tableColumn>
    <tableColumn id="18" xr3:uid="{C848D12A-87C2-4122-B3D4-7C4C431DB18E}" uniqueName="18" name="Chrono Rank" queryTableFieldId="19" dataDxfId="48">
      <calculatedColumnFormula>IF(Team_Level[[#This Row],[Result]]="","",COUNTIFS(Team_Level[Team],Team_Level[[#This Row],[Team]],Team_Level[Date],"&lt;="&amp;Team_Level[[#This Row],[Date]],Team_Level[Result],"&lt;&gt;"))</calculatedColumnFormula>
    </tableColumn>
    <tableColumn id="19" xr3:uid="{42EE2506-65E6-49C1-89E5-C7B64FC1157B}" uniqueName="19" name="Chrono Key" queryTableFieldId="20" dataDxfId="47">
      <calculatedColumnFormula>Team_Level[[#This Row],[Team]]&amp;"-"&amp;Team_Level[[#This Row],[Chrono Rank]]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1359D5B-1CF6-4B1F-B3F8-FAE83642BFFB}" name="SelectedTeamTable" displayName="SelectedTeamTable" ref="M2:M3" totalsRowShown="0" headerRowDxfId="42" dataDxfId="41">
  <autoFilter ref="M2:M3" xr:uid="{81359D5B-1CF6-4B1F-B3F8-FAE83642BFFB}"/>
  <tableColumns count="1">
    <tableColumn id="1" xr3:uid="{EE54E1D7-3074-48A6-AD5A-5E60A91AEB70}" name="Team" dataDxfId="40">
      <calculatedColumnFormula>C2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52AA55-BBA4-4970-9D4B-5D02D970DB8D}" name="Table16" displayName="Table16" ref="B2:C11" headerRowCount="0" totalsRowShown="0" headerRowDxfId="39" dataDxfId="38" tableBorderDxfId="37" totalsRowBorderDxfId="36" headerRowCellStyle="20% - Accent1" dataCellStyle="20% - Accent1">
  <tableColumns count="2">
    <tableColumn id="1" xr3:uid="{4A964619-34D3-4E89-BEEB-9B0560EE25D0}" name="Column1" dataDxfId="35" dataCellStyle="20% - Accent1"/>
    <tableColumn id="2" xr3:uid="{F93C09F5-07E7-4B88-B602-E1DEB4C61639}" name="Column2" dataDxfId="34" dataCellStyle="20% - Accent1"/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0F2C6D2-1863-4126-8AFE-039C7398266B}" name="Team_Level_Filtered_2" displayName="Team_Level_Filtered_2" ref="N2:AC48" tableType="queryTable" totalsRowShown="0" headerRowDxfId="33" dataDxfId="31" headerRowBorderDxfId="32" tableBorderDxfId="30" totalsRowBorderDxfId="29" headerRowCellStyle="20% - Accent1" dataCellStyle="20% - Accent1">
  <autoFilter ref="N2:AC48" xr:uid="{60F2C6D2-1863-4126-8AFE-039C7398266B}"/>
  <tableColumns count="16">
    <tableColumn id="16" xr3:uid="{C4C40B70-E0DE-4D0E-9F25-35C6931A154D}" uniqueName="16" name="Match ID" queryTableFieldId="1" dataDxfId="28" dataCellStyle="20% - Accent1"/>
    <tableColumn id="2" xr3:uid="{332554D1-DF34-414A-B39A-4EB6D78997C6}" uniqueName="2" name="Date" queryTableFieldId="2" dataDxfId="27" dataCellStyle="20% - Accent1"/>
    <tableColumn id="3" xr3:uid="{D75B0332-72E9-4B16-9D87-17B3140F2D63}" uniqueName="3" name="Team" queryTableFieldId="3" dataDxfId="26" dataCellStyle="20% - Accent1"/>
    <tableColumn id="4" xr3:uid="{0B4A5F20-4C63-4C9A-8BC5-0D0DFE2C7BB0}" uniqueName="4" name="Opponent" queryTableFieldId="4" dataDxfId="25" dataCellStyle="20% - Accent1"/>
    <tableColumn id="5" xr3:uid="{5CE8102B-D255-4269-B50B-CFE7A8F19EF2}" uniqueName="5" name="Team xG" queryTableFieldId="5" dataDxfId="24" dataCellStyle="20% - Accent1"/>
    <tableColumn id="6" xr3:uid="{20B52040-312C-4CE3-8C1D-A758E50C16AD}" uniqueName="6" name="Opponent xG" queryTableFieldId="6" dataDxfId="23" dataCellStyle="20% - Accent1"/>
    <tableColumn id="7" xr3:uid="{8E93AA33-218B-4EEE-BA9D-161BCCA87CC6}" uniqueName="7" name="Team Goals" queryTableFieldId="7" dataDxfId="22" dataCellStyle="20% - Accent1"/>
    <tableColumn id="8" xr3:uid="{DCB0A128-E8EC-4D11-B57A-D06899FE4DCB}" uniqueName="8" name="Opponent Goals" queryTableFieldId="8" dataDxfId="21" dataCellStyle="20% - Accent1"/>
    <tableColumn id="9" xr3:uid="{5162A32F-D2D5-4545-815E-B17E9403735C}" uniqueName="9" name="Total xG" queryTableFieldId="9" dataDxfId="20" dataCellStyle="20% - Accent1"/>
    <tableColumn id="10" xr3:uid="{F3F54DD7-8A1A-49D1-A8E8-2AE1F3F2DB4E}" uniqueName="10" name="Total Goals" queryTableFieldId="10" dataDxfId="19" dataCellStyle="20% - Accent1"/>
    <tableColumn id="1" xr3:uid="{2D4AED67-98BB-4F6D-9C82-CDD4D4134D79}" uniqueName="1" name="Match ID count" queryTableFieldId="16" dataCellStyle="20% - Accent1"/>
    <tableColumn id="11" xr3:uid="{657EA5D6-F91E-4721-9BFF-64B37DFF357A}" uniqueName="11" name="Venue" queryTableFieldId="11" dataDxfId="18" dataCellStyle="20% - Accent1"/>
    <tableColumn id="12" xr3:uid="{52264338-EA06-458F-BAF1-19737DF72AC5}" uniqueName="12" name="xG Diff" queryTableFieldId="12" dataDxfId="17" dataCellStyle="20% - Accent1"/>
    <tableColumn id="13" xr3:uid="{C3D5FD00-5BE4-4AF7-8A21-A7847B4C893C}" uniqueName="13" name="Goal Diff" queryTableFieldId="13" dataDxfId="16" dataCellStyle="20% - Accent1"/>
    <tableColumn id="14" xr3:uid="{1D3ABBAD-7367-466A-A73C-C84CB40EF2C9}" uniqueName="14" name="xG Overperformance " queryTableFieldId="14" dataDxfId="15" dataCellStyle="20% - Accent1"/>
    <tableColumn id="15" xr3:uid="{2639A10E-8E6C-442F-874A-34914E1A2D26}" uniqueName="15" name="Result " queryTableFieldId="15" dataDxfId="14" dataCellStyle="20% - Accent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627D2F-E159-4FAA-9D9E-6A4C0C5BFE11}" name="Data_Quality" displayName="Data_Quality" ref="A1:D11" totalsRowShown="0" headerRowDxfId="13" dataDxfId="11" headerRowBorderDxfId="12" tableBorderDxfId="10">
  <autoFilter ref="A1:D11" xr:uid="{3C627D2F-E159-4FAA-9D9E-6A4C0C5BFE11}"/>
  <tableColumns count="4">
    <tableColumn id="1" xr3:uid="{0CBAA7F4-A3C9-461E-8025-0E777571DFE3}" name="Data Quality Check " dataDxfId="9"/>
    <tableColumn id="2" xr3:uid="{E750A414-4215-4694-B612-A9DCFCF8DE7A}" name="Result " dataDxfId="8">
      <calculatedColumnFormula>ROWS(Homematches[Match ID])</calculatedColumnFormula>
    </tableColumn>
    <tableColumn id="3" xr3:uid="{51E6DBBC-C9CD-4AF1-8370-6035549389AE}" name="Expected Result " dataDxfId="7"/>
    <tableColumn id="4" xr3:uid="{B1149C0A-332F-4A9A-8D83-C0F735064F0D}" name="Status" dataDxfId="6">
      <calculatedColumnFormula>IF(B2&gt;0,"PASS","FAIL")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DFB8-0EBE-4FB1-A528-964001B1FBA3}">
  <dimension ref="A1:P553"/>
  <sheetViews>
    <sheetView tabSelected="1" workbookViewId="0">
      <pane ySplit="1" topLeftCell="A50" activePane="bottomLeft" state="frozen"/>
      <selection pane="bottomLeft" activeCell="E74" sqref="E74"/>
    </sheetView>
  </sheetViews>
  <sheetFormatPr defaultRowHeight="15" x14ac:dyDescent="0.25"/>
  <cols>
    <col min="1" max="1" width="11" customWidth="1"/>
    <col min="2" max="2" width="10.7109375" bestFit="1" customWidth="1"/>
    <col min="3" max="4" width="20.28515625" bestFit="1" customWidth="1"/>
    <col min="5" max="5" width="11.28515625" customWidth="1"/>
    <col min="6" max="6" width="10.85546875" customWidth="1"/>
    <col min="7" max="7" width="13.85546875" customWidth="1"/>
    <col min="8" max="8" width="13.42578125" customWidth="1"/>
    <col min="9" max="9" width="28.7109375" customWidth="1"/>
    <col min="10" max="10" width="17.42578125" customWidth="1"/>
    <col min="11" max="11" width="10.42578125" customWidth="1"/>
    <col min="12" max="12" width="13" customWidth="1"/>
    <col min="13" max="13" width="29.28515625" customWidth="1"/>
    <col min="14" max="14" width="28.42578125" customWidth="1"/>
    <col min="15" max="15" width="10.28515625" bestFit="1" customWidth="1"/>
    <col min="16" max="16" width="8.85546875" bestFit="1" customWidth="1"/>
    <col min="17" max="17" width="22.85546875" bestFit="1" customWidth="1"/>
    <col min="18" max="19" width="20.28515625" bestFit="1" customWidth="1"/>
    <col min="21" max="21" width="20.28515625" bestFit="1" customWidth="1"/>
  </cols>
  <sheetData>
    <row r="1" spans="1:16" ht="30" x14ac:dyDescent="0.25">
      <c r="A1" s="4" t="s">
        <v>23</v>
      </c>
      <c r="B1" s="4" t="s">
        <v>24</v>
      </c>
      <c r="C1" s="4" t="s">
        <v>25</v>
      </c>
      <c r="D1" s="4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36</v>
      </c>
      <c r="J1" s="5" t="s">
        <v>31</v>
      </c>
      <c r="K1" s="5" t="s">
        <v>32</v>
      </c>
      <c r="L1" s="5" t="s">
        <v>37</v>
      </c>
      <c r="M1" s="5" t="s">
        <v>39</v>
      </c>
      <c r="N1" s="5" t="s">
        <v>40</v>
      </c>
      <c r="O1" s="5" t="s">
        <v>41</v>
      </c>
      <c r="P1" s="5" t="s">
        <v>644</v>
      </c>
    </row>
    <row r="2" spans="1:16" x14ac:dyDescent="0.25">
      <c r="A2" s="2" t="s">
        <v>79</v>
      </c>
      <c r="B2" s="3">
        <v>46249</v>
      </c>
      <c r="C2" s="2" t="s">
        <v>1</v>
      </c>
      <c r="D2" s="2" t="s">
        <v>4</v>
      </c>
      <c r="E2" s="1">
        <v>1.32</v>
      </c>
      <c r="F2" s="1">
        <v>1.42</v>
      </c>
      <c r="G2" s="1">
        <v>0</v>
      </c>
      <c r="H2" s="1">
        <v>1</v>
      </c>
      <c r="I2">
        <f t="shared" ref="I2:I65" si="0">IF(E2="","",E2-F2)</f>
        <v>-9.9999999999999867E-2</v>
      </c>
      <c r="J2">
        <f t="shared" ref="J2:J65" si="1">IF(G2="","",G2-H2)</f>
        <v>-1</v>
      </c>
      <c r="K2">
        <f t="shared" ref="K2:K65" si="2">IF(E2="","",E2+F2)</f>
        <v>2.74</v>
      </c>
      <c r="L2">
        <f t="shared" ref="L2:L65" si="3">IF(G2="","",G2+H2)</f>
        <v>1</v>
      </c>
      <c r="M2">
        <f t="shared" ref="M2:M65" si="4">IF(G2="","",G2-E2)</f>
        <v>-1.32</v>
      </c>
      <c r="N2">
        <f t="shared" ref="N2:N65" si="5">IF(H2="","",H2-F2)</f>
        <v>-0.41999999999999993</v>
      </c>
      <c r="O2" t="str">
        <f t="shared" ref="O2:O65" si="6">IF(G2="","",IF(G2&gt;H2,"Home Win",IF(G2&lt;H2,"Away Win","Draw")))</f>
        <v>Away Win</v>
      </c>
      <c r="P2">
        <f>COUNTIF(Homematches[Match ID],Homematches[[#This Row],[Match ID]])</f>
        <v>1</v>
      </c>
    </row>
    <row r="3" spans="1:16" x14ac:dyDescent="0.25">
      <c r="A3" s="2" t="s">
        <v>80</v>
      </c>
      <c r="B3" s="3">
        <v>46249</v>
      </c>
      <c r="C3" s="2" t="s">
        <v>2</v>
      </c>
      <c r="D3" s="2" t="s">
        <v>22</v>
      </c>
      <c r="E3" s="1">
        <v>2.37</v>
      </c>
      <c r="F3" s="1">
        <v>1.29</v>
      </c>
      <c r="G3" s="1">
        <v>1</v>
      </c>
      <c r="H3" s="1">
        <v>1</v>
      </c>
      <c r="I3">
        <f t="shared" si="0"/>
        <v>1.08</v>
      </c>
      <c r="J3">
        <f t="shared" si="1"/>
        <v>0</v>
      </c>
      <c r="K3">
        <f t="shared" si="2"/>
        <v>3.66</v>
      </c>
      <c r="L3">
        <f t="shared" si="3"/>
        <v>2</v>
      </c>
      <c r="M3">
        <f t="shared" si="4"/>
        <v>-1.37</v>
      </c>
      <c r="N3">
        <f t="shared" si="5"/>
        <v>-0.29000000000000004</v>
      </c>
      <c r="O3" t="str">
        <f t="shared" si="6"/>
        <v>Draw</v>
      </c>
      <c r="P3">
        <f>COUNTIF(Homematches[Match ID],Homematches[[#This Row],[Match ID]])</f>
        <v>1</v>
      </c>
    </row>
    <row r="4" spans="1:16" x14ac:dyDescent="0.25">
      <c r="A4" s="2" t="s">
        <v>81</v>
      </c>
      <c r="B4" s="3">
        <v>46249</v>
      </c>
      <c r="C4" s="2" t="s">
        <v>3</v>
      </c>
      <c r="D4" s="2" t="s">
        <v>15</v>
      </c>
      <c r="E4" s="1">
        <v>1.97</v>
      </c>
      <c r="F4" s="1">
        <v>1.1100000000000001</v>
      </c>
      <c r="G4" s="1">
        <v>2</v>
      </c>
      <c r="H4" s="1">
        <v>0</v>
      </c>
      <c r="I4">
        <f t="shared" si="0"/>
        <v>0.85999999999999988</v>
      </c>
      <c r="J4">
        <f t="shared" si="1"/>
        <v>2</v>
      </c>
      <c r="K4">
        <f t="shared" si="2"/>
        <v>3.08</v>
      </c>
      <c r="L4">
        <f t="shared" si="3"/>
        <v>2</v>
      </c>
      <c r="M4">
        <f t="shared" si="4"/>
        <v>3.0000000000000027E-2</v>
      </c>
      <c r="N4">
        <f t="shared" si="5"/>
        <v>-1.1100000000000001</v>
      </c>
      <c r="O4" t="str">
        <f t="shared" si="6"/>
        <v>Home Win</v>
      </c>
      <c r="P4">
        <f>COUNTIF(Homematches[Match ID],Homematches[[#This Row],[Match ID]])</f>
        <v>1</v>
      </c>
    </row>
    <row r="5" spans="1:16" x14ac:dyDescent="0.25">
      <c r="A5" s="2" t="s">
        <v>82</v>
      </c>
      <c r="B5" s="3">
        <v>46249</v>
      </c>
      <c r="C5" s="2" t="s">
        <v>5</v>
      </c>
      <c r="D5" s="2" t="s">
        <v>19</v>
      </c>
      <c r="E5" s="1">
        <v>0.94</v>
      </c>
      <c r="F5" s="1">
        <v>0.53</v>
      </c>
      <c r="G5" s="1">
        <v>1</v>
      </c>
      <c r="H5" s="1">
        <v>1</v>
      </c>
      <c r="I5">
        <f t="shared" si="0"/>
        <v>0.40999999999999992</v>
      </c>
      <c r="J5">
        <f t="shared" si="1"/>
        <v>0</v>
      </c>
      <c r="K5">
        <f t="shared" si="2"/>
        <v>1.47</v>
      </c>
      <c r="L5">
        <f t="shared" si="3"/>
        <v>2</v>
      </c>
      <c r="M5">
        <f t="shared" si="4"/>
        <v>6.0000000000000053E-2</v>
      </c>
      <c r="N5">
        <f t="shared" si="5"/>
        <v>0.47</v>
      </c>
      <c r="O5" t="str">
        <f t="shared" si="6"/>
        <v>Draw</v>
      </c>
      <c r="P5">
        <f>COUNTIF(Homematches[Match ID],Homematches[[#This Row],[Match ID]])</f>
        <v>1</v>
      </c>
    </row>
    <row r="6" spans="1:16" x14ac:dyDescent="0.25">
      <c r="A6" s="2" t="s">
        <v>83</v>
      </c>
      <c r="B6" s="3">
        <v>46249</v>
      </c>
      <c r="C6" s="2" t="s">
        <v>6</v>
      </c>
      <c r="D6" s="2" t="s">
        <v>21</v>
      </c>
      <c r="E6" s="1">
        <v>1.74</v>
      </c>
      <c r="F6" s="1">
        <v>2.2000000000000002</v>
      </c>
      <c r="G6" s="1">
        <v>3</v>
      </c>
      <c r="H6" s="1">
        <v>2</v>
      </c>
      <c r="I6">
        <f t="shared" si="0"/>
        <v>-0.46000000000000019</v>
      </c>
      <c r="J6">
        <f t="shared" si="1"/>
        <v>1</v>
      </c>
      <c r="K6">
        <f t="shared" si="2"/>
        <v>3.9400000000000004</v>
      </c>
      <c r="L6">
        <f t="shared" si="3"/>
        <v>5</v>
      </c>
      <c r="M6">
        <f t="shared" si="4"/>
        <v>1.26</v>
      </c>
      <c r="N6">
        <f t="shared" si="5"/>
        <v>-0.20000000000000018</v>
      </c>
      <c r="O6" t="str">
        <f t="shared" si="6"/>
        <v>Home Win</v>
      </c>
      <c r="P6">
        <f>COUNTIF(Homematches[Match ID],Homematches[[#This Row],[Match ID]])</f>
        <v>1</v>
      </c>
    </row>
    <row r="7" spans="1:16" x14ac:dyDescent="0.25">
      <c r="A7" s="2" t="s">
        <v>84</v>
      </c>
      <c r="B7" s="3">
        <v>46249</v>
      </c>
      <c r="C7" s="2" t="s">
        <v>8</v>
      </c>
      <c r="D7" s="2" t="s">
        <v>0</v>
      </c>
      <c r="E7" s="1">
        <v>1.24</v>
      </c>
      <c r="F7" s="1">
        <v>0.38</v>
      </c>
      <c r="G7" s="1">
        <v>3</v>
      </c>
      <c r="H7" s="1">
        <v>0</v>
      </c>
      <c r="I7">
        <f t="shared" si="0"/>
        <v>0.86</v>
      </c>
      <c r="J7">
        <f t="shared" si="1"/>
        <v>3</v>
      </c>
      <c r="K7">
        <f t="shared" si="2"/>
        <v>1.62</v>
      </c>
      <c r="L7">
        <f t="shared" si="3"/>
        <v>3</v>
      </c>
      <c r="M7">
        <f t="shared" si="4"/>
        <v>1.76</v>
      </c>
      <c r="N7">
        <f t="shared" si="5"/>
        <v>-0.38</v>
      </c>
      <c r="O7" t="str">
        <f t="shared" si="6"/>
        <v>Home Win</v>
      </c>
      <c r="P7">
        <f>COUNTIF(Homematches[Match ID],Homematches[[#This Row],[Match ID]])</f>
        <v>1</v>
      </c>
    </row>
    <row r="8" spans="1:16" x14ac:dyDescent="0.25">
      <c r="A8" s="2" t="s">
        <v>85</v>
      </c>
      <c r="B8" s="3">
        <v>46249</v>
      </c>
      <c r="C8" s="2" t="s">
        <v>10</v>
      </c>
      <c r="D8" s="2" t="s">
        <v>18</v>
      </c>
      <c r="E8" s="1">
        <v>1.38</v>
      </c>
      <c r="F8" s="1">
        <v>2.84</v>
      </c>
      <c r="G8" s="1">
        <v>1</v>
      </c>
      <c r="H8" s="1">
        <v>2</v>
      </c>
      <c r="I8">
        <f t="shared" si="0"/>
        <v>-1.46</v>
      </c>
      <c r="J8">
        <f t="shared" si="1"/>
        <v>-1</v>
      </c>
      <c r="K8">
        <f t="shared" si="2"/>
        <v>4.22</v>
      </c>
      <c r="L8">
        <f t="shared" si="3"/>
        <v>3</v>
      </c>
      <c r="M8">
        <f t="shared" si="4"/>
        <v>-0.37999999999999989</v>
      </c>
      <c r="N8">
        <f t="shared" si="5"/>
        <v>-0.83999999999999986</v>
      </c>
      <c r="O8" t="str">
        <f t="shared" si="6"/>
        <v>Away Win</v>
      </c>
      <c r="P8">
        <f>COUNTIF(Homematches[Match ID],Homematches[[#This Row],[Match ID]])</f>
        <v>1</v>
      </c>
    </row>
    <row r="9" spans="1:16" x14ac:dyDescent="0.25">
      <c r="A9" s="2" t="s">
        <v>86</v>
      </c>
      <c r="B9" s="3">
        <v>46249</v>
      </c>
      <c r="C9" s="2" t="s">
        <v>12</v>
      </c>
      <c r="D9" s="2" t="s">
        <v>7</v>
      </c>
      <c r="E9" s="1">
        <v>1.44</v>
      </c>
      <c r="F9" s="1">
        <v>1.06</v>
      </c>
      <c r="G9" s="1">
        <v>2</v>
      </c>
      <c r="H9" s="1">
        <v>1</v>
      </c>
      <c r="I9">
        <f t="shared" si="0"/>
        <v>0.37999999999999989</v>
      </c>
      <c r="J9">
        <f t="shared" si="1"/>
        <v>1</v>
      </c>
      <c r="K9">
        <f t="shared" si="2"/>
        <v>2.5</v>
      </c>
      <c r="L9">
        <f t="shared" si="3"/>
        <v>3</v>
      </c>
      <c r="M9">
        <f t="shared" si="4"/>
        <v>0.56000000000000005</v>
      </c>
      <c r="N9">
        <f t="shared" si="5"/>
        <v>-6.0000000000000053E-2</v>
      </c>
      <c r="O9" t="str">
        <f t="shared" si="6"/>
        <v>Home Win</v>
      </c>
      <c r="P9">
        <f>COUNTIF(Homematches[Match ID],Homematches[[#This Row],[Match ID]])</f>
        <v>1</v>
      </c>
    </row>
    <row r="10" spans="1:16" x14ac:dyDescent="0.25">
      <c r="A10" s="2" t="s">
        <v>87</v>
      </c>
      <c r="B10" s="3">
        <v>46249</v>
      </c>
      <c r="C10" s="2" t="s">
        <v>13</v>
      </c>
      <c r="D10" s="2" t="s">
        <v>9</v>
      </c>
      <c r="E10" s="1">
        <v>2.1800000000000002</v>
      </c>
      <c r="F10" s="1">
        <v>0.74</v>
      </c>
      <c r="G10" s="1">
        <v>1</v>
      </c>
      <c r="H10" s="1">
        <v>1</v>
      </c>
      <c r="I10">
        <f t="shared" si="0"/>
        <v>1.4400000000000002</v>
      </c>
      <c r="J10">
        <f t="shared" si="1"/>
        <v>0</v>
      </c>
      <c r="K10">
        <f t="shared" si="2"/>
        <v>2.92</v>
      </c>
      <c r="L10">
        <f t="shared" si="3"/>
        <v>2</v>
      </c>
      <c r="M10">
        <f t="shared" si="4"/>
        <v>-1.1800000000000002</v>
      </c>
      <c r="N10">
        <f t="shared" si="5"/>
        <v>0.26</v>
      </c>
      <c r="O10" t="str">
        <f t="shared" si="6"/>
        <v>Draw</v>
      </c>
      <c r="P10">
        <f>COUNTIF(Homematches[Match ID],Homematches[[#This Row],[Match ID]])</f>
        <v>1</v>
      </c>
    </row>
    <row r="11" spans="1:16" x14ac:dyDescent="0.25">
      <c r="A11" s="2" t="s">
        <v>88</v>
      </c>
      <c r="B11" s="3">
        <v>46249</v>
      </c>
      <c r="C11" s="2" t="s">
        <v>14</v>
      </c>
      <c r="D11" s="2" t="s">
        <v>33</v>
      </c>
      <c r="E11" s="1">
        <v>1.83</v>
      </c>
      <c r="F11" s="1">
        <v>2.2000000000000002</v>
      </c>
      <c r="G11" s="1">
        <v>2</v>
      </c>
      <c r="H11" s="1">
        <v>2</v>
      </c>
      <c r="I11">
        <f t="shared" si="0"/>
        <v>-0.37000000000000011</v>
      </c>
      <c r="J11">
        <f t="shared" si="1"/>
        <v>0</v>
      </c>
      <c r="K11">
        <f t="shared" si="2"/>
        <v>4.03</v>
      </c>
      <c r="L11">
        <f t="shared" si="3"/>
        <v>4</v>
      </c>
      <c r="M11">
        <f t="shared" si="4"/>
        <v>0.16999999999999993</v>
      </c>
      <c r="N11">
        <f t="shared" si="5"/>
        <v>-0.20000000000000018</v>
      </c>
      <c r="O11" t="str">
        <f t="shared" si="6"/>
        <v>Draw</v>
      </c>
      <c r="P11">
        <f>COUNTIF(Homematches[Match ID],Homematches[[#This Row],[Match ID]])</f>
        <v>1</v>
      </c>
    </row>
    <row r="12" spans="1:16" x14ac:dyDescent="0.25">
      <c r="A12" s="2" t="s">
        <v>89</v>
      </c>
      <c r="B12" s="3">
        <v>46249</v>
      </c>
      <c r="C12" s="2" t="s">
        <v>16</v>
      </c>
      <c r="D12" s="2" t="s">
        <v>20</v>
      </c>
      <c r="E12" s="1">
        <v>0.92</v>
      </c>
      <c r="F12" s="1">
        <v>1.81</v>
      </c>
      <c r="G12" s="1">
        <v>1</v>
      </c>
      <c r="H12" s="1">
        <v>3</v>
      </c>
      <c r="I12">
        <f t="shared" si="0"/>
        <v>-0.89</v>
      </c>
      <c r="J12">
        <f t="shared" si="1"/>
        <v>-2</v>
      </c>
      <c r="K12">
        <f t="shared" si="2"/>
        <v>2.73</v>
      </c>
      <c r="L12">
        <f t="shared" si="3"/>
        <v>4</v>
      </c>
      <c r="M12">
        <f t="shared" si="4"/>
        <v>7.999999999999996E-2</v>
      </c>
      <c r="N12">
        <f t="shared" si="5"/>
        <v>1.19</v>
      </c>
      <c r="O12" t="str">
        <f t="shared" si="6"/>
        <v>Away Win</v>
      </c>
      <c r="P12">
        <f>COUNTIF(Homematches[Match ID],Homematches[[#This Row],[Match ID]])</f>
        <v>1</v>
      </c>
    </row>
    <row r="13" spans="1:16" x14ac:dyDescent="0.25">
      <c r="A13" s="2" t="s">
        <v>90</v>
      </c>
      <c r="B13" s="3">
        <v>46249</v>
      </c>
      <c r="C13" s="2" t="s">
        <v>17</v>
      </c>
      <c r="D13" s="2" t="s">
        <v>11</v>
      </c>
      <c r="E13">
        <v>1.61</v>
      </c>
      <c r="F13" s="2">
        <v>1.65</v>
      </c>
      <c r="G13" s="1">
        <v>3</v>
      </c>
      <c r="H13" s="1">
        <v>4</v>
      </c>
      <c r="I13">
        <f t="shared" si="0"/>
        <v>-3.9999999999999813E-2</v>
      </c>
      <c r="J13">
        <f t="shared" si="1"/>
        <v>-1</v>
      </c>
      <c r="K13">
        <f t="shared" si="2"/>
        <v>3.26</v>
      </c>
      <c r="L13">
        <f t="shared" si="3"/>
        <v>7</v>
      </c>
      <c r="M13">
        <f t="shared" si="4"/>
        <v>1.39</v>
      </c>
      <c r="N13">
        <f t="shared" si="5"/>
        <v>2.35</v>
      </c>
      <c r="O13" t="str">
        <f t="shared" si="6"/>
        <v>Away Win</v>
      </c>
      <c r="P13">
        <f>COUNTIF(Homematches[Match ID],Homematches[[#This Row],[Match ID]])</f>
        <v>1</v>
      </c>
    </row>
    <row r="14" spans="1:16" x14ac:dyDescent="0.25">
      <c r="A14" s="2" t="s">
        <v>91</v>
      </c>
      <c r="B14" s="3">
        <v>46254</v>
      </c>
      <c r="C14" s="2" t="s">
        <v>18</v>
      </c>
      <c r="D14" s="2" t="s">
        <v>3</v>
      </c>
      <c r="E14" s="1">
        <v>1.49</v>
      </c>
      <c r="F14" s="1">
        <v>0.59</v>
      </c>
      <c r="G14" s="1">
        <v>0</v>
      </c>
      <c r="H14" s="1">
        <v>1</v>
      </c>
      <c r="I14">
        <f t="shared" si="0"/>
        <v>0.9</v>
      </c>
      <c r="J14">
        <f t="shared" si="1"/>
        <v>-1</v>
      </c>
      <c r="K14">
        <f t="shared" si="2"/>
        <v>2.08</v>
      </c>
      <c r="L14">
        <f t="shared" si="3"/>
        <v>1</v>
      </c>
      <c r="M14">
        <f t="shared" si="4"/>
        <v>-1.49</v>
      </c>
      <c r="N14">
        <f t="shared" si="5"/>
        <v>0.41000000000000003</v>
      </c>
      <c r="O14" t="str">
        <f t="shared" si="6"/>
        <v>Away Win</v>
      </c>
      <c r="P14">
        <f>COUNTIF(Homematches[Match ID],Homematches[[#This Row],[Match ID]])</f>
        <v>1</v>
      </c>
    </row>
    <row r="15" spans="1:16" x14ac:dyDescent="0.25">
      <c r="A15" s="2" t="s">
        <v>92</v>
      </c>
      <c r="B15" s="3">
        <v>46256</v>
      </c>
      <c r="C15" t="s">
        <v>0</v>
      </c>
      <c r="D15" t="s">
        <v>17</v>
      </c>
      <c r="E15">
        <v>0.37</v>
      </c>
      <c r="F15">
        <v>1.28</v>
      </c>
      <c r="G15" s="1">
        <v>0</v>
      </c>
      <c r="H15" s="1">
        <v>0</v>
      </c>
      <c r="I15">
        <f t="shared" si="0"/>
        <v>-0.91</v>
      </c>
      <c r="J15">
        <f t="shared" si="1"/>
        <v>0</v>
      </c>
      <c r="K15">
        <f t="shared" si="2"/>
        <v>1.65</v>
      </c>
      <c r="L15">
        <f t="shared" si="3"/>
        <v>0</v>
      </c>
      <c r="M15">
        <f t="shared" si="4"/>
        <v>-0.37</v>
      </c>
      <c r="N15">
        <f t="shared" si="5"/>
        <v>-1.28</v>
      </c>
      <c r="O15" t="str">
        <f t="shared" si="6"/>
        <v>Draw</v>
      </c>
      <c r="P15">
        <f>COUNTIF(Homematches[Match ID],Homematches[[#This Row],[Match ID]])</f>
        <v>1</v>
      </c>
    </row>
    <row r="16" spans="1:16" x14ac:dyDescent="0.25">
      <c r="A16" s="2" t="s">
        <v>93</v>
      </c>
      <c r="B16" s="3">
        <v>46256</v>
      </c>
      <c r="C16" t="s">
        <v>4</v>
      </c>
      <c r="D16" t="s">
        <v>6</v>
      </c>
      <c r="E16">
        <v>0.57999999999999996</v>
      </c>
      <c r="F16">
        <v>0.59</v>
      </c>
      <c r="G16" s="1">
        <v>1</v>
      </c>
      <c r="H16" s="1">
        <v>1</v>
      </c>
      <c r="I16">
        <f t="shared" si="0"/>
        <v>-1.0000000000000009E-2</v>
      </c>
      <c r="J16">
        <f t="shared" si="1"/>
        <v>0</v>
      </c>
      <c r="K16">
        <f t="shared" si="2"/>
        <v>1.17</v>
      </c>
      <c r="L16">
        <f t="shared" si="3"/>
        <v>2</v>
      </c>
      <c r="M16">
        <f t="shared" si="4"/>
        <v>0.42000000000000004</v>
      </c>
      <c r="N16">
        <f t="shared" si="5"/>
        <v>0.41000000000000003</v>
      </c>
      <c r="O16" t="str">
        <f t="shared" si="6"/>
        <v>Draw</v>
      </c>
      <c r="P16">
        <f>COUNTIF(Homematches[Match ID],Homematches[[#This Row],[Match ID]])</f>
        <v>1</v>
      </c>
    </row>
    <row r="17" spans="1:16" x14ac:dyDescent="0.25">
      <c r="A17" s="2" t="s">
        <v>94</v>
      </c>
      <c r="B17" s="3">
        <v>46256</v>
      </c>
      <c r="C17" t="s">
        <v>7</v>
      </c>
      <c r="D17" t="s">
        <v>1</v>
      </c>
      <c r="E17">
        <v>1.82</v>
      </c>
      <c r="F17">
        <v>0.45</v>
      </c>
      <c r="G17">
        <v>0</v>
      </c>
      <c r="H17">
        <v>0</v>
      </c>
      <c r="I17">
        <f t="shared" si="0"/>
        <v>1.37</v>
      </c>
      <c r="J17">
        <f t="shared" si="1"/>
        <v>0</v>
      </c>
      <c r="K17">
        <f t="shared" si="2"/>
        <v>2.27</v>
      </c>
      <c r="L17">
        <f t="shared" si="3"/>
        <v>0</v>
      </c>
      <c r="M17">
        <f t="shared" si="4"/>
        <v>-1.82</v>
      </c>
      <c r="N17">
        <f t="shared" si="5"/>
        <v>-0.45</v>
      </c>
      <c r="O17" t="str">
        <f t="shared" si="6"/>
        <v>Draw</v>
      </c>
      <c r="P17">
        <f>COUNTIF(Homematches[Match ID],Homematches[[#This Row],[Match ID]])</f>
        <v>1</v>
      </c>
    </row>
    <row r="18" spans="1:16" x14ac:dyDescent="0.25">
      <c r="A18" s="2" t="s">
        <v>95</v>
      </c>
      <c r="B18" s="3">
        <v>46256</v>
      </c>
      <c r="C18" t="s">
        <v>9</v>
      </c>
      <c r="D18" t="s">
        <v>5</v>
      </c>
      <c r="E18">
        <v>1.31</v>
      </c>
      <c r="F18">
        <v>0.81</v>
      </c>
      <c r="G18">
        <v>1</v>
      </c>
      <c r="H18">
        <v>2</v>
      </c>
      <c r="I18">
        <f t="shared" si="0"/>
        <v>0.5</v>
      </c>
      <c r="J18">
        <f t="shared" si="1"/>
        <v>-1</v>
      </c>
      <c r="K18">
        <f t="shared" si="2"/>
        <v>2.12</v>
      </c>
      <c r="L18">
        <f t="shared" si="3"/>
        <v>3</v>
      </c>
      <c r="M18">
        <f t="shared" si="4"/>
        <v>-0.31000000000000005</v>
      </c>
      <c r="N18">
        <f t="shared" si="5"/>
        <v>1.19</v>
      </c>
      <c r="O18" t="str">
        <f t="shared" si="6"/>
        <v>Away Win</v>
      </c>
      <c r="P18">
        <f>COUNTIF(Homematches[Match ID],Homematches[[#This Row],[Match ID]])</f>
        <v>1</v>
      </c>
    </row>
    <row r="19" spans="1:16" x14ac:dyDescent="0.25">
      <c r="A19" s="2" t="s">
        <v>96</v>
      </c>
      <c r="B19" s="3">
        <v>46256</v>
      </c>
      <c r="C19" t="s">
        <v>11</v>
      </c>
      <c r="D19" t="s">
        <v>13</v>
      </c>
      <c r="E19">
        <v>1.85</v>
      </c>
      <c r="F19">
        <v>0.76</v>
      </c>
      <c r="G19">
        <v>2</v>
      </c>
      <c r="H19">
        <v>2</v>
      </c>
      <c r="I19">
        <f t="shared" si="0"/>
        <v>1.0900000000000001</v>
      </c>
      <c r="J19">
        <f t="shared" si="1"/>
        <v>0</v>
      </c>
      <c r="K19">
        <f t="shared" si="2"/>
        <v>2.6100000000000003</v>
      </c>
      <c r="L19">
        <f t="shared" si="3"/>
        <v>4</v>
      </c>
      <c r="M19">
        <f t="shared" si="4"/>
        <v>0.14999999999999991</v>
      </c>
      <c r="N19">
        <f t="shared" si="5"/>
        <v>1.24</v>
      </c>
      <c r="O19" t="str">
        <f t="shared" si="6"/>
        <v>Draw</v>
      </c>
      <c r="P19">
        <f>COUNTIF(Homematches[Match ID],Homematches[[#This Row],[Match ID]])</f>
        <v>1</v>
      </c>
    </row>
    <row r="20" spans="1:16" x14ac:dyDescent="0.25">
      <c r="A20" s="2" t="s">
        <v>97</v>
      </c>
      <c r="B20" s="3">
        <v>46256</v>
      </c>
      <c r="C20" t="s">
        <v>33</v>
      </c>
      <c r="D20" t="s">
        <v>8</v>
      </c>
      <c r="E20">
        <v>1.54</v>
      </c>
      <c r="F20">
        <v>2.2799999999999998</v>
      </c>
      <c r="G20">
        <v>1</v>
      </c>
      <c r="H20">
        <v>1</v>
      </c>
      <c r="I20">
        <f t="shared" si="0"/>
        <v>-0.73999999999999977</v>
      </c>
      <c r="J20">
        <f t="shared" si="1"/>
        <v>0</v>
      </c>
      <c r="K20">
        <f t="shared" si="2"/>
        <v>3.82</v>
      </c>
      <c r="L20">
        <f t="shared" si="3"/>
        <v>2</v>
      </c>
      <c r="M20">
        <f t="shared" si="4"/>
        <v>-0.54</v>
      </c>
      <c r="N20">
        <f t="shared" si="5"/>
        <v>-1.2799999999999998</v>
      </c>
      <c r="O20" t="str">
        <f t="shared" si="6"/>
        <v>Draw</v>
      </c>
      <c r="P20">
        <f>COUNTIF(Homematches[Match ID],Homematches[[#This Row],[Match ID]])</f>
        <v>1</v>
      </c>
    </row>
    <row r="21" spans="1:16" x14ac:dyDescent="0.25">
      <c r="A21" s="2" t="s">
        <v>98</v>
      </c>
      <c r="B21" s="3">
        <v>46256</v>
      </c>
      <c r="C21" t="s">
        <v>15</v>
      </c>
      <c r="D21" t="s">
        <v>12</v>
      </c>
      <c r="E21">
        <v>1.39</v>
      </c>
      <c r="F21">
        <v>1.25</v>
      </c>
      <c r="G21">
        <v>2</v>
      </c>
      <c r="H21">
        <v>1</v>
      </c>
      <c r="I21">
        <f t="shared" si="0"/>
        <v>0.1399999999999999</v>
      </c>
      <c r="J21">
        <f t="shared" si="1"/>
        <v>1</v>
      </c>
      <c r="K21">
        <f t="shared" si="2"/>
        <v>2.6399999999999997</v>
      </c>
      <c r="L21">
        <f t="shared" si="3"/>
        <v>3</v>
      </c>
      <c r="M21">
        <f t="shared" si="4"/>
        <v>0.6100000000000001</v>
      </c>
      <c r="N21">
        <f t="shared" si="5"/>
        <v>-0.25</v>
      </c>
      <c r="O21" t="str">
        <f t="shared" si="6"/>
        <v>Home Win</v>
      </c>
      <c r="P21">
        <f>COUNTIF(Homematches[Match ID],Homematches[[#This Row],[Match ID]])</f>
        <v>1</v>
      </c>
    </row>
    <row r="22" spans="1:16" x14ac:dyDescent="0.25">
      <c r="A22" s="2" t="s">
        <v>99</v>
      </c>
      <c r="B22" s="3">
        <v>46256</v>
      </c>
      <c r="C22" t="s">
        <v>19</v>
      </c>
      <c r="D22" t="s">
        <v>14</v>
      </c>
      <c r="E22">
        <v>1.17</v>
      </c>
      <c r="F22">
        <v>1.36</v>
      </c>
      <c r="G22">
        <v>1</v>
      </c>
      <c r="H22">
        <v>2</v>
      </c>
      <c r="I22">
        <f t="shared" si="0"/>
        <v>-0.19000000000000017</v>
      </c>
      <c r="J22">
        <f t="shared" si="1"/>
        <v>-1</v>
      </c>
      <c r="K22">
        <f t="shared" si="2"/>
        <v>2.5300000000000002</v>
      </c>
      <c r="L22">
        <f t="shared" si="3"/>
        <v>3</v>
      </c>
      <c r="M22">
        <f t="shared" si="4"/>
        <v>-0.16999999999999993</v>
      </c>
      <c r="N22">
        <f t="shared" si="5"/>
        <v>0.6399999999999999</v>
      </c>
      <c r="O22" t="str">
        <f t="shared" si="6"/>
        <v>Away Win</v>
      </c>
      <c r="P22">
        <f>COUNTIF(Homematches[Match ID],Homematches[[#This Row],[Match ID]])</f>
        <v>1</v>
      </c>
    </row>
    <row r="23" spans="1:16" x14ac:dyDescent="0.25">
      <c r="A23" s="2" t="s">
        <v>100</v>
      </c>
      <c r="B23" s="3">
        <v>46256</v>
      </c>
      <c r="C23" t="s">
        <v>20</v>
      </c>
      <c r="D23" t="s">
        <v>2</v>
      </c>
      <c r="E23">
        <v>3.54</v>
      </c>
      <c r="F23">
        <v>1.79</v>
      </c>
      <c r="G23">
        <v>1</v>
      </c>
      <c r="H23">
        <v>2</v>
      </c>
      <c r="I23">
        <f t="shared" si="0"/>
        <v>1.75</v>
      </c>
      <c r="J23">
        <f t="shared" si="1"/>
        <v>-1</v>
      </c>
      <c r="K23">
        <f t="shared" si="2"/>
        <v>5.33</v>
      </c>
      <c r="L23">
        <f t="shared" si="3"/>
        <v>3</v>
      </c>
      <c r="M23">
        <f t="shared" si="4"/>
        <v>-2.54</v>
      </c>
      <c r="N23">
        <f t="shared" si="5"/>
        <v>0.20999999999999996</v>
      </c>
      <c r="O23" t="str">
        <f t="shared" si="6"/>
        <v>Away Win</v>
      </c>
      <c r="P23">
        <f>COUNTIF(Homematches[Match ID],Homematches[[#This Row],[Match ID]])</f>
        <v>1</v>
      </c>
    </row>
    <row r="24" spans="1:16" x14ac:dyDescent="0.25">
      <c r="A24" s="2" t="s">
        <v>101</v>
      </c>
      <c r="B24" s="3">
        <v>46256</v>
      </c>
      <c r="C24" t="s">
        <v>21</v>
      </c>
      <c r="D24" t="s">
        <v>10</v>
      </c>
      <c r="E24">
        <v>1.6</v>
      </c>
      <c r="F24">
        <v>1.25</v>
      </c>
      <c r="G24">
        <v>0</v>
      </c>
      <c r="H24">
        <v>2</v>
      </c>
      <c r="I24">
        <f t="shared" si="0"/>
        <v>0.35000000000000009</v>
      </c>
      <c r="J24">
        <f t="shared" si="1"/>
        <v>-2</v>
      </c>
      <c r="K24">
        <f t="shared" si="2"/>
        <v>2.85</v>
      </c>
      <c r="L24">
        <f t="shared" si="3"/>
        <v>2</v>
      </c>
      <c r="M24">
        <f t="shared" si="4"/>
        <v>-1.6</v>
      </c>
      <c r="N24">
        <f t="shared" si="5"/>
        <v>0.75</v>
      </c>
      <c r="O24" t="str">
        <f t="shared" si="6"/>
        <v>Away Win</v>
      </c>
      <c r="P24">
        <f>COUNTIF(Homematches[Match ID],Homematches[[#This Row],[Match ID]])</f>
        <v>1</v>
      </c>
    </row>
    <row r="25" spans="1:16" x14ac:dyDescent="0.25">
      <c r="A25" s="2" t="s">
        <v>102</v>
      </c>
      <c r="B25" s="3">
        <v>46256</v>
      </c>
      <c r="C25" t="s">
        <v>22</v>
      </c>
      <c r="D25" t="s">
        <v>16</v>
      </c>
      <c r="E25">
        <v>1.89</v>
      </c>
      <c r="F25">
        <v>0.76</v>
      </c>
      <c r="G25">
        <v>1</v>
      </c>
      <c r="H25">
        <v>1</v>
      </c>
      <c r="I25">
        <f t="shared" si="0"/>
        <v>1.1299999999999999</v>
      </c>
      <c r="J25">
        <f t="shared" si="1"/>
        <v>0</v>
      </c>
      <c r="K25">
        <f t="shared" si="2"/>
        <v>2.65</v>
      </c>
      <c r="L25">
        <f t="shared" si="3"/>
        <v>2</v>
      </c>
      <c r="M25">
        <f t="shared" si="4"/>
        <v>-0.8899999999999999</v>
      </c>
      <c r="N25">
        <f t="shared" si="5"/>
        <v>0.24</v>
      </c>
      <c r="O25" t="str">
        <f t="shared" si="6"/>
        <v>Draw</v>
      </c>
      <c r="P25">
        <f>COUNTIF(Homematches[Match ID],Homematches[[#This Row],[Match ID]])</f>
        <v>1</v>
      </c>
    </row>
    <row r="26" spans="1:16" x14ac:dyDescent="0.25">
      <c r="A26" s="2" t="s">
        <v>103</v>
      </c>
      <c r="B26" s="3">
        <v>46263</v>
      </c>
      <c r="C26" t="s">
        <v>2</v>
      </c>
      <c r="D26" t="s">
        <v>15</v>
      </c>
      <c r="E26">
        <v>2.73</v>
      </c>
      <c r="F26">
        <v>1.72</v>
      </c>
      <c r="G26">
        <v>4</v>
      </c>
      <c r="H26">
        <v>0</v>
      </c>
      <c r="I26">
        <f t="shared" si="0"/>
        <v>1.01</v>
      </c>
      <c r="J26">
        <f t="shared" si="1"/>
        <v>4</v>
      </c>
      <c r="K26">
        <f t="shared" si="2"/>
        <v>4.45</v>
      </c>
      <c r="L26">
        <f t="shared" si="3"/>
        <v>4</v>
      </c>
      <c r="M26">
        <f t="shared" si="4"/>
        <v>1.27</v>
      </c>
      <c r="N26">
        <f t="shared" si="5"/>
        <v>-1.72</v>
      </c>
      <c r="O26" t="str">
        <f t="shared" si="6"/>
        <v>Home Win</v>
      </c>
      <c r="P26">
        <f>COUNTIF(Homematches[Match ID],Homematches[[#This Row],[Match ID]])</f>
        <v>1</v>
      </c>
    </row>
    <row r="27" spans="1:16" x14ac:dyDescent="0.25">
      <c r="A27" s="2" t="s">
        <v>104</v>
      </c>
      <c r="B27" s="3">
        <v>46263</v>
      </c>
      <c r="C27" t="s">
        <v>6</v>
      </c>
      <c r="D27" t="s">
        <v>8</v>
      </c>
      <c r="E27">
        <v>1.22</v>
      </c>
      <c r="F27">
        <v>1.1299999999999999</v>
      </c>
      <c r="G27">
        <v>1</v>
      </c>
      <c r="H27">
        <v>2</v>
      </c>
      <c r="I27">
        <f t="shared" si="0"/>
        <v>9.000000000000008E-2</v>
      </c>
      <c r="J27">
        <f t="shared" si="1"/>
        <v>-1</v>
      </c>
      <c r="K27">
        <f t="shared" si="2"/>
        <v>2.3499999999999996</v>
      </c>
      <c r="L27">
        <f t="shared" si="3"/>
        <v>3</v>
      </c>
      <c r="M27">
        <f t="shared" si="4"/>
        <v>-0.21999999999999997</v>
      </c>
      <c r="N27">
        <f t="shared" si="5"/>
        <v>0.87000000000000011</v>
      </c>
      <c r="O27" t="str">
        <f t="shared" si="6"/>
        <v>Away Win</v>
      </c>
      <c r="P27">
        <f>COUNTIF(Homematches[Match ID],Homematches[[#This Row],[Match ID]])</f>
        <v>1</v>
      </c>
    </row>
    <row r="28" spans="1:16" x14ac:dyDescent="0.25">
      <c r="A28" s="2" t="s">
        <v>105</v>
      </c>
      <c r="B28" s="3">
        <v>46263</v>
      </c>
      <c r="C28" t="s">
        <v>10</v>
      </c>
      <c r="D28" t="s">
        <v>1</v>
      </c>
      <c r="E28">
        <v>0.73</v>
      </c>
      <c r="F28">
        <v>1.99</v>
      </c>
      <c r="G28">
        <v>1</v>
      </c>
      <c r="H28">
        <v>3</v>
      </c>
      <c r="I28">
        <f t="shared" si="0"/>
        <v>-1.26</v>
      </c>
      <c r="J28">
        <f t="shared" si="1"/>
        <v>-2</v>
      </c>
      <c r="K28">
        <f t="shared" si="2"/>
        <v>2.7199999999999998</v>
      </c>
      <c r="L28">
        <f t="shared" si="3"/>
        <v>4</v>
      </c>
      <c r="M28">
        <f t="shared" si="4"/>
        <v>0.27</v>
      </c>
      <c r="N28">
        <f t="shared" si="5"/>
        <v>1.01</v>
      </c>
      <c r="O28" t="str">
        <f t="shared" si="6"/>
        <v>Away Win</v>
      </c>
      <c r="P28">
        <f>COUNTIF(Homematches[Match ID],Homematches[[#This Row],[Match ID]])</f>
        <v>1</v>
      </c>
    </row>
    <row r="29" spans="1:16" x14ac:dyDescent="0.25">
      <c r="A29" s="2" t="s">
        <v>106</v>
      </c>
      <c r="B29" s="3">
        <v>46263</v>
      </c>
      <c r="C29" t="s">
        <v>33</v>
      </c>
      <c r="D29" t="s">
        <v>9</v>
      </c>
      <c r="E29">
        <v>0.56999999999999995</v>
      </c>
      <c r="F29">
        <v>1.53</v>
      </c>
      <c r="G29">
        <v>0</v>
      </c>
      <c r="H29">
        <v>0</v>
      </c>
      <c r="I29">
        <f t="shared" si="0"/>
        <v>-0.96000000000000008</v>
      </c>
      <c r="J29">
        <f t="shared" si="1"/>
        <v>0</v>
      </c>
      <c r="K29">
        <f t="shared" si="2"/>
        <v>2.1</v>
      </c>
      <c r="L29">
        <f t="shared" si="3"/>
        <v>0</v>
      </c>
      <c r="M29">
        <f t="shared" si="4"/>
        <v>-0.56999999999999995</v>
      </c>
      <c r="N29">
        <f t="shared" si="5"/>
        <v>-1.53</v>
      </c>
      <c r="O29" t="str">
        <f t="shared" si="6"/>
        <v>Draw</v>
      </c>
      <c r="P29">
        <f>COUNTIF(Homematches[Match ID],Homematches[[#This Row],[Match ID]])</f>
        <v>1</v>
      </c>
    </row>
    <row r="30" spans="1:16" x14ac:dyDescent="0.25">
      <c r="A30" s="2" t="s">
        <v>107</v>
      </c>
      <c r="B30" s="3">
        <v>46263</v>
      </c>
      <c r="C30" t="s">
        <v>13</v>
      </c>
      <c r="D30" t="s">
        <v>5</v>
      </c>
      <c r="E30">
        <v>2.29</v>
      </c>
      <c r="F30">
        <v>0.11</v>
      </c>
      <c r="G30">
        <v>2</v>
      </c>
      <c r="H30">
        <v>1</v>
      </c>
      <c r="I30">
        <f t="shared" si="0"/>
        <v>2.1800000000000002</v>
      </c>
      <c r="J30">
        <f t="shared" si="1"/>
        <v>1</v>
      </c>
      <c r="K30">
        <f t="shared" si="2"/>
        <v>2.4</v>
      </c>
      <c r="L30">
        <f t="shared" si="3"/>
        <v>3</v>
      </c>
      <c r="M30">
        <f t="shared" si="4"/>
        <v>-0.29000000000000004</v>
      </c>
      <c r="N30">
        <f t="shared" si="5"/>
        <v>0.89</v>
      </c>
      <c r="O30" t="str">
        <f t="shared" si="6"/>
        <v>Home Win</v>
      </c>
      <c r="P30">
        <f>COUNTIF(Homematches[Match ID],Homematches[[#This Row],[Match ID]])</f>
        <v>1</v>
      </c>
    </row>
    <row r="31" spans="1:16" x14ac:dyDescent="0.25">
      <c r="A31" s="2" t="s">
        <v>108</v>
      </c>
      <c r="B31" s="3">
        <v>46263</v>
      </c>
      <c r="C31" t="s">
        <v>16</v>
      </c>
      <c r="D31" t="s">
        <v>3</v>
      </c>
      <c r="E31">
        <v>1.1599999999999999</v>
      </c>
      <c r="F31">
        <v>0.9</v>
      </c>
      <c r="G31">
        <v>2</v>
      </c>
      <c r="H31">
        <v>0</v>
      </c>
      <c r="I31">
        <f t="shared" si="0"/>
        <v>0.2599999999999999</v>
      </c>
      <c r="J31">
        <f t="shared" si="1"/>
        <v>2</v>
      </c>
      <c r="K31">
        <f t="shared" si="2"/>
        <v>2.06</v>
      </c>
      <c r="L31">
        <f t="shared" si="3"/>
        <v>2</v>
      </c>
      <c r="M31">
        <f t="shared" si="4"/>
        <v>0.84000000000000008</v>
      </c>
      <c r="N31">
        <f t="shared" si="5"/>
        <v>-0.9</v>
      </c>
      <c r="O31" t="str">
        <f t="shared" si="6"/>
        <v>Home Win</v>
      </c>
      <c r="P31">
        <f>COUNTIF(Homematches[Match ID],Homematches[[#This Row],[Match ID]])</f>
        <v>1</v>
      </c>
    </row>
    <row r="32" spans="1:16" x14ac:dyDescent="0.25">
      <c r="A32" s="2" t="s">
        <v>109</v>
      </c>
      <c r="B32" s="3">
        <v>46263</v>
      </c>
      <c r="C32" t="s">
        <v>18</v>
      </c>
      <c r="D32" t="s">
        <v>4</v>
      </c>
      <c r="E32">
        <v>4.5199999999999996</v>
      </c>
      <c r="F32">
        <v>1.5</v>
      </c>
      <c r="G32">
        <v>7</v>
      </c>
      <c r="H32">
        <v>2</v>
      </c>
      <c r="I32">
        <f t="shared" si="0"/>
        <v>3.0199999999999996</v>
      </c>
      <c r="J32">
        <f t="shared" si="1"/>
        <v>5</v>
      </c>
      <c r="K32">
        <f t="shared" si="2"/>
        <v>6.02</v>
      </c>
      <c r="L32">
        <f t="shared" si="3"/>
        <v>9</v>
      </c>
      <c r="M32">
        <f t="shared" si="4"/>
        <v>2.4800000000000004</v>
      </c>
      <c r="N32">
        <f t="shared" si="5"/>
        <v>0.5</v>
      </c>
      <c r="O32" t="str">
        <f t="shared" si="6"/>
        <v>Home Win</v>
      </c>
      <c r="P32">
        <f>COUNTIF(Homematches[Match ID],Homematches[[#This Row],[Match ID]])</f>
        <v>1</v>
      </c>
    </row>
    <row r="33" spans="1:16" x14ac:dyDescent="0.25">
      <c r="A33" s="2" t="s">
        <v>110</v>
      </c>
      <c r="B33" s="3">
        <v>46263</v>
      </c>
      <c r="C33" t="s">
        <v>19</v>
      </c>
      <c r="D33" t="s">
        <v>7</v>
      </c>
      <c r="E33">
        <v>0.47</v>
      </c>
      <c r="F33">
        <v>0.65</v>
      </c>
      <c r="G33">
        <v>2</v>
      </c>
      <c r="H33">
        <v>2</v>
      </c>
      <c r="I33">
        <f t="shared" si="0"/>
        <v>-0.18000000000000005</v>
      </c>
      <c r="J33">
        <f t="shared" si="1"/>
        <v>0</v>
      </c>
      <c r="K33">
        <f t="shared" si="2"/>
        <v>1.1200000000000001</v>
      </c>
      <c r="L33">
        <f t="shared" si="3"/>
        <v>4</v>
      </c>
      <c r="M33">
        <f t="shared" si="4"/>
        <v>1.53</v>
      </c>
      <c r="N33">
        <f t="shared" si="5"/>
        <v>1.35</v>
      </c>
      <c r="O33" t="str">
        <f t="shared" si="6"/>
        <v>Draw</v>
      </c>
      <c r="P33">
        <f>COUNTIF(Homematches[Match ID],Homematches[[#This Row],[Match ID]])</f>
        <v>1</v>
      </c>
    </row>
    <row r="34" spans="1:16" x14ac:dyDescent="0.25">
      <c r="A34" s="2" t="s">
        <v>111</v>
      </c>
      <c r="B34" s="3">
        <v>46263</v>
      </c>
      <c r="C34" t="s">
        <v>20</v>
      </c>
      <c r="D34" t="s">
        <v>22</v>
      </c>
      <c r="E34">
        <v>1.34</v>
      </c>
      <c r="F34">
        <v>0.94</v>
      </c>
      <c r="G34">
        <v>5</v>
      </c>
      <c r="H34">
        <v>1</v>
      </c>
      <c r="I34">
        <f t="shared" si="0"/>
        <v>0.40000000000000013</v>
      </c>
      <c r="J34">
        <f t="shared" si="1"/>
        <v>4</v>
      </c>
      <c r="K34">
        <f t="shared" si="2"/>
        <v>2.2800000000000002</v>
      </c>
      <c r="L34">
        <f t="shared" si="3"/>
        <v>6</v>
      </c>
      <c r="M34">
        <f t="shared" si="4"/>
        <v>3.66</v>
      </c>
      <c r="N34">
        <f t="shared" si="5"/>
        <v>6.0000000000000053E-2</v>
      </c>
      <c r="O34" t="str">
        <f t="shared" si="6"/>
        <v>Home Win</v>
      </c>
      <c r="P34">
        <f>COUNTIF(Homematches[Match ID],Homematches[[#This Row],[Match ID]])</f>
        <v>1</v>
      </c>
    </row>
    <row r="35" spans="1:16" x14ac:dyDescent="0.25">
      <c r="A35" s="2" t="s">
        <v>112</v>
      </c>
      <c r="B35" s="3">
        <v>46264</v>
      </c>
      <c r="C35" t="s">
        <v>0</v>
      </c>
      <c r="D35" t="s">
        <v>21</v>
      </c>
      <c r="E35">
        <v>0.72</v>
      </c>
      <c r="F35">
        <v>2.99</v>
      </c>
      <c r="G35">
        <v>1</v>
      </c>
      <c r="H35">
        <v>0</v>
      </c>
      <c r="I35">
        <f t="shared" si="0"/>
        <v>-2.2700000000000005</v>
      </c>
      <c r="J35">
        <f t="shared" si="1"/>
        <v>1</v>
      </c>
      <c r="K35">
        <f t="shared" si="2"/>
        <v>3.71</v>
      </c>
      <c r="L35">
        <f t="shared" si="3"/>
        <v>1</v>
      </c>
      <c r="M35">
        <f t="shared" si="4"/>
        <v>0.28000000000000003</v>
      </c>
      <c r="N35">
        <f t="shared" si="5"/>
        <v>-2.99</v>
      </c>
      <c r="O35" t="str">
        <f t="shared" si="6"/>
        <v>Home Win</v>
      </c>
      <c r="P35">
        <f>COUNTIF(Homematches[Match ID],Homematches[[#This Row],[Match ID]])</f>
        <v>1</v>
      </c>
    </row>
    <row r="36" spans="1:16" x14ac:dyDescent="0.25">
      <c r="A36" s="2" t="s">
        <v>113</v>
      </c>
      <c r="B36" s="3">
        <v>46264</v>
      </c>
      <c r="C36" t="s">
        <v>12</v>
      </c>
      <c r="D36" t="s">
        <v>11</v>
      </c>
      <c r="E36">
        <v>1.37</v>
      </c>
      <c r="F36">
        <v>1.35</v>
      </c>
      <c r="G36">
        <v>5</v>
      </c>
      <c r="H36">
        <v>2</v>
      </c>
      <c r="I36">
        <f t="shared" si="0"/>
        <v>2.0000000000000018E-2</v>
      </c>
      <c r="J36">
        <f t="shared" si="1"/>
        <v>3</v>
      </c>
      <c r="K36">
        <f t="shared" si="2"/>
        <v>2.72</v>
      </c>
      <c r="L36">
        <f t="shared" si="3"/>
        <v>7</v>
      </c>
      <c r="M36">
        <f t="shared" si="4"/>
        <v>3.63</v>
      </c>
      <c r="N36">
        <f t="shared" si="5"/>
        <v>0.64999999999999991</v>
      </c>
      <c r="O36" t="str">
        <f t="shared" si="6"/>
        <v>Home Win</v>
      </c>
      <c r="P36">
        <f>COUNTIF(Homematches[Match ID],Homematches[[#This Row],[Match ID]])</f>
        <v>1</v>
      </c>
    </row>
    <row r="37" spans="1:16" x14ac:dyDescent="0.25">
      <c r="A37" s="2" t="s">
        <v>114</v>
      </c>
      <c r="B37" s="3">
        <v>46266</v>
      </c>
      <c r="C37" t="s">
        <v>3</v>
      </c>
      <c r="D37" t="s">
        <v>6</v>
      </c>
      <c r="E37">
        <v>2.1800000000000002</v>
      </c>
      <c r="F37">
        <v>0.44</v>
      </c>
      <c r="G37">
        <v>1</v>
      </c>
      <c r="H37">
        <v>2</v>
      </c>
      <c r="I37">
        <f t="shared" si="0"/>
        <v>1.7400000000000002</v>
      </c>
      <c r="J37">
        <f t="shared" si="1"/>
        <v>-1</v>
      </c>
      <c r="K37">
        <f t="shared" si="2"/>
        <v>2.62</v>
      </c>
      <c r="L37">
        <f t="shared" si="3"/>
        <v>3</v>
      </c>
      <c r="M37">
        <f t="shared" si="4"/>
        <v>-1.1800000000000002</v>
      </c>
      <c r="N37">
        <f t="shared" si="5"/>
        <v>1.56</v>
      </c>
      <c r="O37" t="str">
        <f t="shared" si="6"/>
        <v>Away Win</v>
      </c>
      <c r="P37">
        <f>COUNTIF(Homematches[Match ID],Homematches[[#This Row],[Match ID]])</f>
        <v>1</v>
      </c>
    </row>
    <row r="38" spans="1:16" x14ac:dyDescent="0.25">
      <c r="A38" s="2" t="s">
        <v>115</v>
      </c>
      <c r="B38" s="3">
        <v>46266</v>
      </c>
      <c r="C38" t="s">
        <v>4</v>
      </c>
      <c r="D38" t="s">
        <v>10</v>
      </c>
      <c r="E38">
        <v>0.63</v>
      </c>
      <c r="F38">
        <v>1.94</v>
      </c>
      <c r="G38">
        <v>0</v>
      </c>
      <c r="H38">
        <v>5</v>
      </c>
      <c r="I38">
        <f t="shared" si="0"/>
        <v>-1.31</v>
      </c>
      <c r="J38">
        <f t="shared" si="1"/>
        <v>-5</v>
      </c>
      <c r="K38">
        <f t="shared" si="2"/>
        <v>2.57</v>
      </c>
      <c r="L38">
        <f t="shared" si="3"/>
        <v>5</v>
      </c>
      <c r="M38">
        <f t="shared" si="4"/>
        <v>-0.63</v>
      </c>
      <c r="N38">
        <f t="shared" si="5"/>
        <v>3.06</v>
      </c>
      <c r="O38" t="str">
        <f t="shared" si="6"/>
        <v>Away Win</v>
      </c>
      <c r="P38">
        <f>COUNTIF(Homematches[Match ID],Homematches[[#This Row],[Match ID]])</f>
        <v>1</v>
      </c>
    </row>
    <row r="39" spans="1:16" x14ac:dyDescent="0.25">
      <c r="A39" s="2" t="s">
        <v>116</v>
      </c>
      <c r="B39" s="3">
        <v>46266</v>
      </c>
      <c r="C39" t="s">
        <v>7</v>
      </c>
      <c r="D39" t="s">
        <v>13</v>
      </c>
      <c r="E39">
        <v>1.1200000000000001</v>
      </c>
      <c r="F39">
        <v>0.87</v>
      </c>
      <c r="G39">
        <v>1</v>
      </c>
      <c r="H39">
        <v>1</v>
      </c>
      <c r="I39">
        <f t="shared" si="0"/>
        <v>0.25000000000000011</v>
      </c>
      <c r="J39">
        <f t="shared" si="1"/>
        <v>0</v>
      </c>
      <c r="K39">
        <f t="shared" si="2"/>
        <v>1.9900000000000002</v>
      </c>
      <c r="L39">
        <f t="shared" si="3"/>
        <v>2</v>
      </c>
      <c r="M39">
        <f t="shared" si="4"/>
        <v>-0.12000000000000011</v>
      </c>
      <c r="N39">
        <f t="shared" si="5"/>
        <v>0.13</v>
      </c>
      <c r="O39" t="str">
        <f t="shared" si="6"/>
        <v>Draw</v>
      </c>
      <c r="P39">
        <f>COUNTIF(Homematches[Match ID],Homematches[[#This Row],[Match ID]])</f>
        <v>1</v>
      </c>
    </row>
    <row r="40" spans="1:16" x14ac:dyDescent="0.25">
      <c r="A40" s="2" t="s">
        <v>117</v>
      </c>
      <c r="B40" s="3">
        <v>46266</v>
      </c>
      <c r="C40" t="s">
        <v>8</v>
      </c>
      <c r="D40" t="s">
        <v>14</v>
      </c>
      <c r="E40">
        <v>3.62</v>
      </c>
      <c r="F40">
        <v>1.01</v>
      </c>
      <c r="G40">
        <v>3</v>
      </c>
      <c r="H40">
        <v>1</v>
      </c>
      <c r="I40">
        <f t="shared" si="0"/>
        <v>2.6100000000000003</v>
      </c>
      <c r="J40">
        <f t="shared" si="1"/>
        <v>2</v>
      </c>
      <c r="K40">
        <f t="shared" si="2"/>
        <v>4.63</v>
      </c>
      <c r="L40">
        <f t="shared" si="3"/>
        <v>4</v>
      </c>
      <c r="M40">
        <f t="shared" si="4"/>
        <v>-0.62000000000000011</v>
      </c>
      <c r="N40">
        <f t="shared" si="5"/>
        <v>-1.0000000000000009E-2</v>
      </c>
      <c r="O40" t="str">
        <f t="shared" si="6"/>
        <v>Home Win</v>
      </c>
      <c r="P40">
        <f>COUNTIF(Homematches[Match ID],Homematches[[#This Row],[Match ID]])</f>
        <v>1</v>
      </c>
    </row>
    <row r="41" spans="1:16" x14ac:dyDescent="0.25">
      <c r="A41" s="2" t="s">
        <v>118</v>
      </c>
      <c r="B41" s="3">
        <v>46266</v>
      </c>
      <c r="C41" t="s">
        <v>9</v>
      </c>
      <c r="D41" t="s">
        <v>16</v>
      </c>
      <c r="E41">
        <v>1.76</v>
      </c>
      <c r="F41">
        <v>1.1299999999999999</v>
      </c>
      <c r="G41">
        <v>2</v>
      </c>
      <c r="H41">
        <v>0</v>
      </c>
      <c r="I41">
        <f t="shared" si="0"/>
        <v>0.63000000000000012</v>
      </c>
      <c r="J41">
        <f t="shared" si="1"/>
        <v>2</v>
      </c>
      <c r="K41">
        <f t="shared" si="2"/>
        <v>2.8899999999999997</v>
      </c>
      <c r="L41">
        <f t="shared" si="3"/>
        <v>2</v>
      </c>
      <c r="M41">
        <f t="shared" si="4"/>
        <v>0.24</v>
      </c>
      <c r="N41">
        <f t="shared" si="5"/>
        <v>-1.1299999999999999</v>
      </c>
      <c r="O41" t="str">
        <f t="shared" si="6"/>
        <v>Home Win</v>
      </c>
      <c r="P41">
        <f>COUNTIF(Homematches[Match ID],Homematches[[#This Row],[Match ID]])</f>
        <v>1</v>
      </c>
    </row>
    <row r="42" spans="1:16" x14ac:dyDescent="0.25">
      <c r="A42" s="2" t="s">
        <v>119</v>
      </c>
      <c r="B42" s="3">
        <v>46266</v>
      </c>
      <c r="C42" t="s">
        <v>15</v>
      </c>
      <c r="D42" t="s">
        <v>19</v>
      </c>
      <c r="E42">
        <v>0.91</v>
      </c>
      <c r="F42">
        <v>0.47</v>
      </c>
      <c r="G42">
        <v>0</v>
      </c>
      <c r="H42">
        <v>0</v>
      </c>
      <c r="I42">
        <f t="shared" si="0"/>
        <v>0.44000000000000006</v>
      </c>
      <c r="J42">
        <f t="shared" si="1"/>
        <v>0</v>
      </c>
      <c r="K42">
        <f t="shared" si="2"/>
        <v>1.38</v>
      </c>
      <c r="L42">
        <f t="shared" si="3"/>
        <v>0</v>
      </c>
      <c r="M42">
        <f t="shared" si="4"/>
        <v>-0.91</v>
      </c>
      <c r="N42">
        <f t="shared" si="5"/>
        <v>-0.47</v>
      </c>
      <c r="O42" t="str">
        <f t="shared" si="6"/>
        <v>Draw</v>
      </c>
      <c r="P42">
        <f>COUNTIF(Homematches[Match ID],Homematches[[#This Row],[Match ID]])</f>
        <v>1</v>
      </c>
    </row>
    <row r="43" spans="1:16" x14ac:dyDescent="0.25">
      <c r="A43" s="2" t="s">
        <v>120</v>
      </c>
      <c r="B43" s="3">
        <v>46266</v>
      </c>
      <c r="C43" t="s">
        <v>22</v>
      </c>
      <c r="D43" t="s">
        <v>18</v>
      </c>
      <c r="E43">
        <v>1.02</v>
      </c>
      <c r="F43">
        <v>2.56</v>
      </c>
      <c r="G43">
        <v>1</v>
      </c>
      <c r="H43">
        <v>2</v>
      </c>
      <c r="I43">
        <f t="shared" si="0"/>
        <v>-1.54</v>
      </c>
      <c r="J43">
        <f t="shared" si="1"/>
        <v>-1</v>
      </c>
      <c r="K43">
        <f t="shared" si="2"/>
        <v>3.58</v>
      </c>
      <c r="L43">
        <f t="shared" si="3"/>
        <v>3</v>
      </c>
      <c r="M43">
        <f t="shared" si="4"/>
        <v>-2.0000000000000018E-2</v>
      </c>
      <c r="N43">
        <f t="shared" si="5"/>
        <v>-0.56000000000000005</v>
      </c>
      <c r="O43" t="str">
        <f t="shared" si="6"/>
        <v>Away Win</v>
      </c>
      <c r="P43">
        <f>COUNTIF(Homematches[Match ID],Homematches[[#This Row],[Match ID]])</f>
        <v>1</v>
      </c>
    </row>
    <row r="44" spans="1:16" x14ac:dyDescent="0.25">
      <c r="A44" s="2" t="s">
        <v>121</v>
      </c>
      <c r="B44" s="3">
        <v>46267</v>
      </c>
      <c r="C44" t="s">
        <v>1</v>
      </c>
      <c r="D44" t="s">
        <v>2</v>
      </c>
      <c r="E44">
        <v>1.97</v>
      </c>
      <c r="F44">
        <v>2.4</v>
      </c>
      <c r="G44">
        <v>2</v>
      </c>
      <c r="H44">
        <v>1</v>
      </c>
      <c r="I44">
        <f t="shared" si="0"/>
        <v>-0.42999999999999994</v>
      </c>
      <c r="J44">
        <f t="shared" si="1"/>
        <v>1</v>
      </c>
      <c r="K44">
        <f t="shared" si="2"/>
        <v>4.37</v>
      </c>
      <c r="L44">
        <f t="shared" si="3"/>
        <v>3</v>
      </c>
      <c r="M44">
        <f t="shared" si="4"/>
        <v>3.0000000000000027E-2</v>
      </c>
      <c r="N44">
        <f t="shared" si="5"/>
        <v>-1.4</v>
      </c>
      <c r="O44" t="str">
        <f t="shared" si="6"/>
        <v>Home Win</v>
      </c>
      <c r="P44">
        <f>COUNTIF(Homematches[Match ID],Homematches[[#This Row],[Match ID]])</f>
        <v>1</v>
      </c>
    </row>
    <row r="45" spans="1:16" x14ac:dyDescent="0.25">
      <c r="A45" s="2" t="s">
        <v>122</v>
      </c>
      <c r="B45" s="3">
        <v>46267</v>
      </c>
      <c r="C45" t="s">
        <v>5</v>
      </c>
      <c r="D45" t="s">
        <v>0</v>
      </c>
      <c r="E45">
        <v>0.93</v>
      </c>
      <c r="F45">
        <v>1.43</v>
      </c>
      <c r="G45">
        <v>4</v>
      </c>
      <c r="H45">
        <v>1</v>
      </c>
      <c r="I45">
        <f t="shared" si="0"/>
        <v>-0.49999999999999989</v>
      </c>
      <c r="J45">
        <f t="shared" si="1"/>
        <v>3</v>
      </c>
      <c r="K45">
        <f t="shared" si="2"/>
        <v>2.36</v>
      </c>
      <c r="L45">
        <f t="shared" si="3"/>
        <v>5</v>
      </c>
      <c r="M45">
        <f t="shared" si="4"/>
        <v>3.07</v>
      </c>
      <c r="N45">
        <f t="shared" si="5"/>
        <v>-0.42999999999999994</v>
      </c>
      <c r="O45" t="str">
        <f t="shared" si="6"/>
        <v>Home Win</v>
      </c>
      <c r="P45">
        <f>COUNTIF(Homematches[Match ID],Homematches[[#This Row],[Match ID]])</f>
        <v>1</v>
      </c>
    </row>
    <row r="46" spans="1:16" x14ac:dyDescent="0.25">
      <c r="A46" s="2" t="s">
        <v>123</v>
      </c>
      <c r="B46" s="3">
        <v>46267</v>
      </c>
      <c r="C46" t="s">
        <v>11</v>
      </c>
      <c r="D46" t="s">
        <v>20</v>
      </c>
      <c r="E46">
        <v>1.4</v>
      </c>
      <c r="F46">
        <v>0.84</v>
      </c>
      <c r="G46">
        <v>2</v>
      </c>
      <c r="H46">
        <v>0</v>
      </c>
      <c r="I46">
        <f t="shared" si="0"/>
        <v>0.55999999999999994</v>
      </c>
      <c r="J46">
        <f t="shared" si="1"/>
        <v>2</v>
      </c>
      <c r="K46">
        <f t="shared" si="2"/>
        <v>2.2399999999999998</v>
      </c>
      <c r="L46">
        <f t="shared" si="3"/>
        <v>2</v>
      </c>
      <c r="M46">
        <f t="shared" si="4"/>
        <v>0.60000000000000009</v>
      </c>
      <c r="N46">
        <f t="shared" si="5"/>
        <v>-0.84</v>
      </c>
      <c r="O46" t="str">
        <f t="shared" si="6"/>
        <v>Home Win</v>
      </c>
      <c r="P46">
        <f>COUNTIF(Homematches[Match ID],Homematches[[#This Row],[Match ID]])</f>
        <v>1</v>
      </c>
    </row>
    <row r="47" spans="1:16" x14ac:dyDescent="0.25">
      <c r="A47" s="2" t="s">
        <v>124</v>
      </c>
      <c r="B47" s="3">
        <v>46267</v>
      </c>
      <c r="C47" t="s">
        <v>17</v>
      </c>
      <c r="D47" t="s">
        <v>12</v>
      </c>
      <c r="E47">
        <v>2.35</v>
      </c>
      <c r="F47">
        <v>2.8</v>
      </c>
      <c r="G47">
        <v>5</v>
      </c>
      <c r="H47">
        <v>0</v>
      </c>
      <c r="I47">
        <f t="shared" si="0"/>
        <v>-0.44999999999999973</v>
      </c>
      <c r="J47">
        <f t="shared" si="1"/>
        <v>5</v>
      </c>
      <c r="K47">
        <f t="shared" si="2"/>
        <v>5.15</v>
      </c>
      <c r="L47">
        <f t="shared" si="3"/>
        <v>5</v>
      </c>
      <c r="M47">
        <f t="shared" si="4"/>
        <v>2.65</v>
      </c>
      <c r="N47">
        <f t="shared" si="5"/>
        <v>-2.8</v>
      </c>
      <c r="O47" t="str">
        <f t="shared" si="6"/>
        <v>Home Win</v>
      </c>
      <c r="P47">
        <f>COUNTIF(Homematches[Match ID],Homematches[[#This Row],[Match ID]])</f>
        <v>1</v>
      </c>
    </row>
    <row r="48" spans="1:16" x14ac:dyDescent="0.25">
      <c r="A48" s="2" t="s">
        <v>125</v>
      </c>
      <c r="B48" s="3">
        <v>46267</v>
      </c>
      <c r="C48" t="s">
        <v>21</v>
      </c>
      <c r="D48" t="s">
        <v>33</v>
      </c>
      <c r="E48">
        <v>2.68</v>
      </c>
      <c r="F48">
        <v>1.37</v>
      </c>
      <c r="G48">
        <v>3</v>
      </c>
      <c r="H48">
        <v>1</v>
      </c>
      <c r="I48">
        <f t="shared" si="0"/>
        <v>1.31</v>
      </c>
      <c r="J48">
        <f t="shared" si="1"/>
        <v>2</v>
      </c>
      <c r="K48">
        <f t="shared" si="2"/>
        <v>4.0500000000000007</v>
      </c>
      <c r="L48">
        <f t="shared" si="3"/>
        <v>4</v>
      </c>
      <c r="M48">
        <f t="shared" si="4"/>
        <v>0.31999999999999984</v>
      </c>
      <c r="N48">
        <f t="shared" si="5"/>
        <v>-0.37000000000000011</v>
      </c>
      <c r="O48" t="str">
        <f t="shared" si="6"/>
        <v>Home Win</v>
      </c>
      <c r="P48">
        <f>COUNTIF(Homematches[Match ID],Homematches[[#This Row],[Match ID]])</f>
        <v>1</v>
      </c>
    </row>
    <row r="49" spans="1:16" x14ac:dyDescent="0.25">
      <c r="A49" s="2" t="s">
        <v>126</v>
      </c>
      <c r="B49" s="3">
        <v>46270</v>
      </c>
      <c r="C49" t="s">
        <v>1</v>
      </c>
      <c r="D49" t="s">
        <v>19</v>
      </c>
      <c r="E49">
        <v>1.83</v>
      </c>
      <c r="F49">
        <v>1.93</v>
      </c>
      <c r="G49">
        <v>1</v>
      </c>
      <c r="H49">
        <v>5</v>
      </c>
      <c r="I49">
        <f t="shared" si="0"/>
        <v>-9.9999999999999867E-2</v>
      </c>
      <c r="J49">
        <f t="shared" si="1"/>
        <v>-4</v>
      </c>
      <c r="K49">
        <f t="shared" si="2"/>
        <v>3.76</v>
      </c>
      <c r="L49">
        <f t="shared" si="3"/>
        <v>6</v>
      </c>
      <c r="M49">
        <f t="shared" si="4"/>
        <v>-0.83000000000000007</v>
      </c>
      <c r="N49">
        <f t="shared" si="5"/>
        <v>3.0700000000000003</v>
      </c>
      <c r="O49" t="str">
        <f t="shared" si="6"/>
        <v>Away Win</v>
      </c>
      <c r="P49">
        <f>COUNTIF(Homematches[Match ID],Homematches[[#This Row],[Match ID]])</f>
        <v>1</v>
      </c>
    </row>
    <row r="50" spans="1:16" x14ac:dyDescent="0.25">
      <c r="A50" s="2" t="s">
        <v>127</v>
      </c>
      <c r="B50" s="3">
        <v>46270</v>
      </c>
      <c r="C50" t="s">
        <v>3</v>
      </c>
      <c r="D50" t="s">
        <v>12</v>
      </c>
      <c r="E50">
        <v>1.03</v>
      </c>
      <c r="F50">
        <v>0.48</v>
      </c>
      <c r="G50">
        <v>1</v>
      </c>
      <c r="H50">
        <v>0</v>
      </c>
      <c r="I50">
        <f t="shared" si="0"/>
        <v>0.55000000000000004</v>
      </c>
      <c r="J50">
        <f t="shared" si="1"/>
        <v>1</v>
      </c>
      <c r="K50">
        <f t="shared" si="2"/>
        <v>1.51</v>
      </c>
      <c r="L50">
        <f t="shared" si="3"/>
        <v>1</v>
      </c>
      <c r="M50">
        <f t="shared" si="4"/>
        <v>-3.0000000000000027E-2</v>
      </c>
      <c r="N50">
        <f t="shared" si="5"/>
        <v>-0.48</v>
      </c>
      <c r="O50" t="str">
        <f t="shared" si="6"/>
        <v>Home Win</v>
      </c>
      <c r="P50">
        <f>COUNTIF(Homematches[Match ID],Homematches[[#This Row],[Match ID]])</f>
        <v>1</v>
      </c>
    </row>
    <row r="51" spans="1:16" x14ac:dyDescent="0.25">
      <c r="A51" s="2" t="s">
        <v>128</v>
      </c>
      <c r="B51" s="3">
        <v>46270</v>
      </c>
      <c r="C51" t="s">
        <v>5</v>
      </c>
      <c r="D51" t="s">
        <v>6</v>
      </c>
      <c r="E51">
        <v>2.31</v>
      </c>
      <c r="F51">
        <v>0.9</v>
      </c>
      <c r="G51">
        <v>2</v>
      </c>
      <c r="H51">
        <v>2</v>
      </c>
      <c r="I51">
        <f t="shared" si="0"/>
        <v>1.4100000000000001</v>
      </c>
      <c r="J51">
        <f t="shared" si="1"/>
        <v>0</v>
      </c>
      <c r="K51">
        <f t="shared" si="2"/>
        <v>3.21</v>
      </c>
      <c r="L51">
        <f t="shared" si="3"/>
        <v>4</v>
      </c>
      <c r="M51">
        <f t="shared" si="4"/>
        <v>-0.31000000000000005</v>
      </c>
      <c r="N51">
        <f t="shared" si="5"/>
        <v>1.1000000000000001</v>
      </c>
      <c r="O51" t="str">
        <f t="shared" si="6"/>
        <v>Draw</v>
      </c>
      <c r="P51">
        <f>COUNTIF(Homematches[Match ID],Homematches[[#This Row],[Match ID]])</f>
        <v>1</v>
      </c>
    </row>
    <row r="52" spans="1:16" x14ac:dyDescent="0.25">
      <c r="A52" s="2" t="s">
        <v>129</v>
      </c>
      <c r="B52" s="3">
        <v>46270</v>
      </c>
      <c r="C52" t="s">
        <v>7</v>
      </c>
      <c r="D52" t="s">
        <v>16</v>
      </c>
      <c r="E52">
        <v>2.33</v>
      </c>
      <c r="F52">
        <v>2.65</v>
      </c>
      <c r="G52">
        <v>2</v>
      </c>
      <c r="H52">
        <v>3</v>
      </c>
      <c r="I52">
        <f t="shared" si="0"/>
        <v>-0.31999999999999984</v>
      </c>
      <c r="J52">
        <f t="shared" si="1"/>
        <v>-1</v>
      </c>
      <c r="K52">
        <f t="shared" si="2"/>
        <v>4.9800000000000004</v>
      </c>
      <c r="L52">
        <f t="shared" si="3"/>
        <v>5</v>
      </c>
      <c r="M52">
        <f t="shared" si="4"/>
        <v>-0.33000000000000007</v>
      </c>
      <c r="N52">
        <f t="shared" si="5"/>
        <v>0.35000000000000009</v>
      </c>
      <c r="O52" t="str">
        <f t="shared" si="6"/>
        <v>Away Win</v>
      </c>
      <c r="P52">
        <f>COUNTIF(Homematches[Match ID],Homematches[[#This Row],[Match ID]])</f>
        <v>1</v>
      </c>
    </row>
    <row r="53" spans="1:16" x14ac:dyDescent="0.25">
      <c r="A53" s="2" t="s">
        <v>130</v>
      </c>
      <c r="B53" s="3">
        <v>46270</v>
      </c>
      <c r="C53" t="s">
        <v>8</v>
      </c>
      <c r="D53" t="s">
        <v>13</v>
      </c>
      <c r="E53">
        <v>1.41</v>
      </c>
      <c r="F53">
        <v>1.24</v>
      </c>
      <c r="G53">
        <v>1</v>
      </c>
      <c r="H53">
        <v>1</v>
      </c>
      <c r="I53">
        <f t="shared" si="0"/>
        <v>0.16999999999999993</v>
      </c>
      <c r="J53">
        <f t="shared" si="1"/>
        <v>0</v>
      </c>
      <c r="K53">
        <f t="shared" si="2"/>
        <v>2.65</v>
      </c>
      <c r="L53">
        <f t="shared" si="3"/>
        <v>2</v>
      </c>
      <c r="M53">
        <f t="shared" si="4"/>
        <v>-0.40999999999999992</v>
      </c>
      <c r="N53">
        <f t="shared" si="5"/>
        <v>-0.24</v>
      </c>
      <c r="O53" t="str">
        <f t="shared" si="6"/>
        <v>Draw</v>
      </c>
      <c r="P53">
        <f>COUNTIF(Homematches[Match ID],Homematches[[#This Row],[Match ID]])</f>
        <v>1</v>
      </c>
    </row>
    <row r="54" spans="1:16" x14ac:dyDescent="0.25">
      <c r="A54" s="2" t="s">
        <v>131</v>
      </c>
      <c r="B54" s="3">
        <v>46270</v>
      </c>
      <c r="C54" t="s">
        <v>9</v>
      </c>
      <c r="D54" t="s">
        <v>14</v>
      </c>
      <c r="E54">
        <v>1.03</v>
      </c>
      <c r="F54">
        <v>2.31</v>
      </c>
      <c r="G54">
        <v>0</v>
      </c>
      <c r="H54">
        <v>4</v>
      </c>
      <c r="I54">
        <f t="shared" si="0"/>
        <v>-1.28</v>
      </c>
      <c r="J54">
        <f t="shared" si="1"/>
        <v>-4</v>
      </c>
      <c r="K54">
        <f t="shared" si="2"/>
        <v>3.34</v>
      </c>
      <c r="L54">
        <f t="shared" si="3"/>
        <v>4</v>
      </c>
      <c r="M54">
        <f t="shared" si="4"/>
        <v>-1.03</v>
      </c>
      <c r="N54">
        <f t="shared" si="5"/>
        <v>1.69</v>
      </c>
      <c r="O54" t="str">
        <f t="shared" si="6"/>
        <v>Away Win</v>
      </c>
      <c r="P54">
        <f>COUNTIF(Homematches[Match ID],Homematches[[#This Row],[Match ID]])</f>
        <v>1</v>
      </c>
    </row>
    <row r="55" spans="1:16" x14ac:dyDescent="0.25">
      <c r="A55" s="2" t="s">
        <v>132</v>
      </c>
      <c r="B55" s="3">
        <v>46270</v>
      </c>
      <c r="C55" t="s">
        <v>11</v>
      </c>
      <c r="D55" t="s">
        <v>10</v>
      </c>
      <c r="E55">
        <v>2.21</v>
      </c>
      <c r="F55">
        <v>0.56000000000000005</v>
      </c>
      <c r="G55">
        <v>1</v>
      </c>
      <c r="H55">
        <v>1</v>
      </c>
      <c r="I55">
        <f t="shared" si="0"/>
        <v>1.65</v>
      </c>
      <c r="J55">
        <f t="shared" si="1"/>
        <v>0</v>
      </c>
      <c r="K55">
        <f t="shared" si="2"/>
        <v>2.77</v>
      </c>
      <c r="L55">
        <f t="shared" si="3"/>
        <v>2</v>
      </c>
      <c r="M55">
        <f t="shared" si="4"/>
        <v>-1.21</v>
      </c>
      <c r="N55">
        <f t="shared" si="5"/>
        <v>0.43999999999999995</v>
      </c>
      <c r="O55" t="str">
        <f t="shared" si="6"/>
        <v>Draw</v>
      </c>
      <c r="P55">
        <f>COUNTIF(Homematches[Match ID],Homematches[[#This Row],[Match ID]])</f>
        <v>1</v>
      </c>
    </row>
    <row r="56" spans="1:16" x14ac:dyDescent="0.25">
      <c r="A56" s="2" t="s">
        <v>133</v>
      </c>
      <c r="B56" s="3">
        <v>46270</v>
      </c>
      <c r="C56" t="s">
        <v>15</v>
      </c>
      <c r="D56" t="s">
        <v>18</v>
      </c>
      <c r="E56">
        <v>1.97</v>
      </c>
      <c r="F56">
        <v>1.36</v>
      </c>
      <c r="G56">
        <v>1</v>
      </c>
      <c r="H56">
        <v>2</v>
      </c>
      <c r="I56">
        <f t="shared" si="0"/>
        <v>0.60999999999999988</v>
      </c>
      <c r="J56">
        <f t="shared" si="1"/>
        <v>-1</v>
      </c>
      <c r="K56">
        <f t="shared" si="2"/>
        <v>3.33</v>
      </c>
      <c r="L56">
        <f t="shared" si="3"/>
        <v>3</v>
      </c>
      <c r="M56">
        <f t="shared" si="4"/>
        <v>-0.97</v>
      </c>
      <c r="N56">
        <f t="shared" si="5"/>
        <v>0.6399999999999999</v>
      </c>
      <c r="O56" t="str">
        <f t="shared" si="6"/>
        <v>Away Win</v>
      </c>
      <c r="P56">
        <f>COUNTIF(Homematches[Match ID],Homematches[[#This Row],[Match ID]])</f>
        <v>1</v>
      </c>
    </row>
    <row r="57" spans="1:16" x14ac:dyDescent="0.25">
      <c r="A57" s="2" t="s">
        <v>134</v>
      </c>
      <c r="B57" s="3">
        <v>46270</v>
      </c>
      <c r="C57" t="s">
        <v>17</v>
      </c>
      <c r="D57" t="s">
        <v>2</v>
      </c>
      <c r="E57">
        <v>3.5</v>
      </c>
      <c r="F57">
        <v>0.51</v>
      </c>
      <c r="G57">
        <v>3</v>
      </c>
      <c r="H57">
        <v>1</v>
      </c>
      <c r="I57">
        <f t="shared" si="0"/>
        <v>2.99</v>
      </c>
      <c r="J57">
        <f t="shared" si="1"/>
        <v>2</v>
      </c>
      <c r="K57">
        <f t="shared" si="2"/>
        <v>4.01</v>
      </c>
      <c r="L57">
        <f t="shared" si="3"/>
        <v>4</v>
      </c>
      <c r="M57">
        <f t="shared" si="4"/>
        <v>-0.5</v>
      </c>
      <c r="N57">
        <f t="shared" si="5"/>
        <v>0.49</v>
      </c>
      <c r="O57" t="str">
        <f t="shared" si="6"/>
        <v>Home Win</v>
      </c>
      <c r="P57">
        <f>COUNTIF(Homematches[Match ID],Homematches[[#This Row],[Match ID]])</f>
        <v>1</v>
      </c>
    </row>
    <row r="58" spans="1:16" x14ac:dyDescent="0.25">
      <c r="A58" s="2" t="s">
        <v>135</v>
      </c>
      <c r="B58" s="3">
        <v>46270</v>
      </c>
      <c r="C58" t="s">
        <v>21</v>
      </c>
      <c r="D58" t="s">
        <v>20</v>
      </c>
      <c r="E58">
        <v>0.73</v>
      </c>
      <c r="F58">
        <v>2.15</v>
      </c>
      <c r="G58">
        <v>0</v>
      </c>
      <c r="H58">
        <v>4</v>
      </c>
      <c r="I58">
        <f t="shared" si="0"/>
        <v>-1.42</v>
      </c>
      <c r="J58">
        <f t="shared" si="1"/>
        <v>-4</v>
      </c>
      <c r="K58">
        <f t="shared" si="2"/>
        <v>2.88</v>
      </c>
      <c r="L58">
        <f t="shared" si="3"/>
        <v>4</v>
      </c>
      <c r="M58">
        <f t="shared" si="4"/>
        <v>-0.73</v>
      </c>
      <c r="N58">
        <f t="shared" si="5"/>
        <v>1.85</v>
      </c>
      <c r="O58" t="str">
        <f t="shared" si="6"/>
        <v>Away Win</v>
      </c>
      <c r="P58">
        <f>COUNTIF(Homematches[Match ID],Homematches[[#This Row],[Match ID]])</f>
        <v>1</v>
      </c>
    </row>
    <row r="59" spans="1:16" x14ac:dyDescent="0.25">
      <c r="A59" s="2" t="s">
        <v>136</v>
      </c>
      <c r="B59" s="3">
        <v>46270</v>
      </c>
      <c r="C59" t="s">
        <v>22</v>
      </c>
      <c r="D59" t="s">
        <v>33</v>
      </c>
      <c r="E59">
        <v>0.89</v>
      </c>
      <c r="F59">
        <v>1.65</v>
      </c>
      <c r="G59">
        <v>3</v>
      </c>
      <c r="H59">
        <v>3</v>
      </c>
      <c r="I59">
        <f t="shared" si="0"/>
        <v>-0.7599999999999999</v>
      </c>
      <c r="J59">
        <f t="shared" si="1"/>
        <v>0</v>
      </c>
      <c r="K59">
        <f t="shared" si="2"/>
        <v>2.54</v>
      </c>
      <c r="L59">
        <f t="shared" si="3"/>
        <v>6</v>
      </c>
      <c r="M59">
        <f t="shared" si="4"/>
        <v>2.11</v>
      </c>
      <c r="N59">
        <f t="shared" si="5"/>
        <v>1.35</v>
      </c>
      <c r="O59" t="str">
        <f t="shared" si="6"/>
        <v>Draw</v>
      </c>
      <c r="P59">
        <f>COUNTIF(Homematches[Match ID],Homematches[[#This Row],[Match ID]])</f>
        <v>1</v>
      </c>
    </row>
    <row r="60" spans="1:16" x14ac:dyDescent="0.25">
      <c r="A60" s="2" t="s">
        <v>137</v>
      </c>
      <c r="B60" s="3">
        <v>46272</v>
      </c>
      <c r="C60" t="s">
        <v>4</v>
      </c>
      <c r="D60" t="s">
        <v>0</v>
      </c>
      <c r="E60">
        <v>0.55000000000000004</v>
      </c>
      <c r="F60">
        <v>1.22</v>
      </c>
      <c r="G60">
        <v>0</v>
      </c>
      <c r="H60">
        <v>2</v>
      </c>
      <c r="I60">
        <f t="shared" si="0"/>
        <v>-0.66999999999999993</v>
      </c>
      <c r="J60">
        <f t="shared" si="1"/>
        <v>-2</v>
      </c>
      <c r="K60">
        <f t="shared" si="2"/>
        <v>1.77</v>
      </c>
      <c r="L60">
        <f t="shared" si="3"/>
        <v>2</v>
      </c>
      <c r="M60">
        <f t="shared" si="4"/>
        <v>-0.55000000000000004</v>
      </c>
      <c r="N60">
        <f t="shared" si="5"/>
        <v>0.78</v>
      </c>
      <c r="O60" t="str">
        <f t="shared" si="6"/>
        <v>Away Win</v>
      </c>
      <c r="P60">
        <f>COUNTIF(Homematches[Match ID],Homematches[[#This Row],[Match ID]])</f>
        <v>1</v>
      </c>
    </row>
    <row r="61" spans="1:16" x14ac:dyDescent="0.25">
      <c r="A61" s="2" t="s">
        <v>138</v>
      </c>
      <c r="B61" s="3">
        <v>46273</v>
      </c>
      <c r="C61" t="s">
        <v>14</v>
      </c>
      <c r="D61" t="s">
        <v>17</v>
      </c>
      <c r="I61" t="str">
        <f t="shared" si="0"/>
        <v/>
      </c>
      <c r="J61" t="str">
        <f t="shared" si="1"/>
        <v/>
      </c>
      <c r="K61" t="str">
        <f t="shared" si="2"/>
        <v/>
      </c>
      <c r="L61" t="str">
        <f t="shared" si="3"/>
        <v/>
      </c>
      <c r="M61" t="str">
        <f t="shared" si="4"/>
        <v/>
      </c>
      <c r="N61" t="str">
        <f t="shared" si="5"/>
        <v/>
      </c>
      <c r="O61" t="str">
        <f t="shared" si="6"/>
        <v/>
      </c>
      <c r="P61">
        <f>COUNTIF(Homematches[Match ID],Homematches[[#This Row],[Match ID]])</f>
        <v>1</v>
      </c>
    </row>
    <row r="62" spans="1:16" x14ac:dyDescent="0.25">
      <c r="A62" s="2" t="s">
        <v>139</v>
      </c>
      <c r="B62" s="3">
        <v>46275</v>
      </c>
      <c r="C62" t="s">
        <v>19</v>
      </c>
      <c r="D62" t="s">
        <v>11</v>
      </c>
      <c r="E62">
        <v>1.31</v>
      </c>
      <c r="F62">
        <v>0.89</v>
      </c>
      <c r="G62">
        <v>2</v>
      </c>
      <c r="H62">
        <v>1</v>
      </c>
      <c r="I62">
        <f t="shared" si="0"/>
        <v>0.42000000000000004</v>
      </c>
      <c r="J62">
        <f t="shared" si="1"/>
        <v>1</v>
      </c>
      <c r="K62">
        <f t="shared" si="2"/>
        <v>2.2000000000000002</v>
      </c>
      <c r="L62">
        <f t="shared" si="3"/>
        <v>3</v>
      </c>
      <c r="M62">
        <f t="shared" si="4"/>
        <v>0.69</v>
      </c>
      <c r="N62">
        <f t="shared" si="5"/>
        <v>0.10999999999999999</v>
      </c>
      <c r="O62" t="str">
        <f t="shared" si="6"/>
        <v>Home Win</v>
      </c>
      <c r="P62">
        <f>COUNTIF(Homematches[Match ID],Homematches[[#This Row],[Match ID]])</f>
        <v>1</v>
      </c>
    </row>
    <row r="63" spans="1:16" x14ac:dyDescent="0.25">
      <c r="A63" s="2" t="s">
        <v>140</v>
      </c>
      <c r="B63" s="3">
        <v>46277</v>
      </c>
      <c r="C63" t="s">
        <v>0</v>
      </c>
      <c r="D63" t="s">
        <v>7</v>
      </c>
      <c r="E63">
        <v>0.81</v>
      </c>
      <c r="F63">
        <v>2.41</v>
      </c>
      <c r="G63">
        <v>1</v>
      </c>
      <c r="H63">
        <v>0</v>
      </c>
      <c r="I63">
        <f t="shared" si="0"/>
        <v>-1.6</v>
      </c>
      <c r="J63">
        <f t="shared" si="1"/>
        <v>1</v>
      </c>
      <c r="K63">
        <f t="shared" si="2"/>
        <v>3.22</v>
      </c>
      <c r="L63">
        <f t="shared" si="3"/>
        <v>1</v>
      </c>
      <c r="M63">
        <f t="shared" si="4"/>
        <v>0.18999999999999995</v>
      </c>
      <c r="N63">
        <f t="shared" si="5"/>
        <v>-2.41</v>
      </c>
      <c r="O63" t="str">
        <f t="shared" si="6"/>
        <v>Home Win</v>
      </c>
      <c r="P63">
        <f>COUNTIF(Homematches[Match ID],Homematches[[#This Row],[Match ID]])</f>
        <v>1</v>
      </c>
    </row>
    <row r="64" spans="1:16" x14ac:dyDescent="0.25">
      <c r="A64" s="2" t="s">
        <v>141</v>
      </c>
      <c r="B64" s="3">
        <v>46277</v>
      </c>
      <c r="C64" t="s">
        <v>2</v>
      </c>
      <c r="D64" t="s">
        <v>4</v>
      </c>
      <c r="E64">
        <v>1.17</v>
      </c>
      <c r="F64">
        <v>1.38</v>
      </c>
      <c r="G64">
        <v>2</v>
      </c>
      <c r="H64">
        <v>2</v>
      </c>
      <c r="I64">
        <f t="shared" si="0"/>
        <v>-0.20999999999999996</v>
      </c>
      <c r="J64">
        <f t="shared" si="1"/>
        <v>0</v>
      </c>
      <c r="K64">
        <f t="shared" si="2"/>
        <v>2.5499999999999998</v>
      </c>
      <c r="L64">
        <f t="shared" si="3"/>
        <v>4</v>
      </c>
      <c r="M64">
        <f t="shared" si="4"/>
        <v>0.83000000000000007</v>
      </c>
      <c r="N64">
        <f t="shared" si="5"/>
        <v>0.62000000000000011</v>
      </c>
      <c r="O64" t="str">
        <f t="shared" si="6"/>
        <v>Draw</v>
      </c>
      <c r="P64">
        <f>COUNTIF(Homematches[Match ID],Homematches[[#This Row],[Match ID]])</f>
        <v>1</v>
      </c>
    </row>
    <row r="65" spans="1:16" x14ac:dyDescent="0.25">
      <c r="A65" s="2" t="s">
        <v>142</v>
      </c>
      <c r="B65" s="3">
        <v>46277</v>
      </c>
      <c r="C65" t="s">
        <v>6</v>
      </c>
      <c r="D65" t="s">
        <v>17</v>
      </c>
      <c r="E65">
        <v>0.94</v>
      </c>
      <c r="F65">
        <v>1.99</v>
      </c>
      <c r="G65">
        <v>2</v>
      </c>
      <c r="H65">
        <v>1</v>
      </c>
      <c r="I65">
        <f t="shared" si="0"/>
        <v>-1.05</v>
      </c>
      <c r="J65">
        <f t="shared" si="1"/>
        <v>1</v>
      </c>
      <c r="K65">
        <f t="shared" si="2"/>
        <v>2.9299999999999997</v>
      </c>
      <c r="L65">
        <f t="shared" si="3"/>
        <v>3</v>
      </c>
      <c r="M65">
        <f t="shared" si="4"/>
        <v>1.06</v>
      </c>
      <c r="N65">
        <f t="shared" si="5"/>
        <v>-0.99</v>
      </c>
      <c r="O65" t="str">
        <f t="shared" si="6"/>
        <v>Home Win</v>
      </c>
      <c r="P65">
        <f>COUNTIF(Homematches[Match ID],Homematches[[#This Row],[Match ID]])</f>
        <v>1</v>
      </c>
    </row>
    <row r="66" spans="1:16" x14ac:dyDescent="0.25">
      <c r="A66" s="2" t="s">
        <v>143</v>
      </c>
      <c r="B66" s="3">
        <v>46277</v>
      </c>
      <c r="C66" t="s">
        <v>10</v>
      </c>
      <c r="D66" t="s">
        <v>22</v>
      </c>
      <c r="E66">
        <v>0.88</v>
      </c>
      <c r="F66">
        <v>1.1599999999999999</v>
      </c>
      <c r="G66">
        <v>2</v>
      </c>
      <c r="H66">
        <v>3</v>
      </c>
      <c r="I66">
        <f t="shared" ref="I66:I129" si="7">IF(E66="","",E66-F66)</f>
        <v>-0.27999999999999992</v>
      </c>
      <c r="J66">
        <f t="shared" ref="J66:J129" si="8">IF(G66="","",G66-H66)</f>
        <v>-1</v>
      </c>
      <c r="K66">
        <f t="shared" ref="K66:K129" si="9">IF(E66="","",E66+F66)</f>
        <v>2.04</v>
      </c>
      <c r="L66">
        <f t="shared" ref="L66:L129" si="10">IF(G66="","",G66+H66)</f>
        <v>5</v>
      </c>
      <c r="M66">
        <f t="shared" ref="M66:M129" si="11">IF(G66="","",G66-E66)</f>
        <v>1.1200000000000001</v>
      </c>
      <c r="N66">
        <f t="shared" ref="N66:N129" si="12">IF(H66="","",H66-F66)</f>
        <v>1.84</v>
      </c>
      <c r="O66" t="str">
        <f t="shared" ref="O66:O129" si="13">IF(G66="","",IF(G66&gt;H66,"Home Win",IF(G66&lt;H66,"Away Win","Draw")))</f>
        <v>Away Win</v>
      </c>
      <c r="P66">
        <f>COUNTIF(Homematches[Match ID],Homematches[[#This Row],[Match ID]])</f>
        <v>1</v>
      </c>
    </row>
    <row r="67" spans="1:16" x14ac:dyDescent="0.25">
      <c r="A67" s="2" t="s">
        <v>144</v>
      </c>
      <c r="B67" s="3">
        <v>46277</v>
      </c>
      <c r="C67" t="s">
        <v>12</v>
      </c>
      <c r="D67" t="s">
        <v>8</v>
      </c>
      <c r="E67">
        <v>0.86</v>
      </c>
      <c r="F67">
        <v>1.36</v>
      </c>
      <c r="G67">
        <v>0</v>
      </c>
      <c r="H67">
        <v>0</v>
      </c>
      <c r="I67">
        <f t="shared" si="7"/>
        <v>-0.50000000000000011</v>
      </c>
      <c r="J67">
        <f t="shared" si="8"/>
        <v>0</v>
      </c>
      <c r="K67">
        <f t="shared" si="9"/>
        <v>2.2200000000000002</v>
      </c>
      <c r="L67">
        <f t="shared" si="10"/>
        <v>0</v>
      </c>
      <c r="M67">
        <f t="shared" si="11"/>
        <v>-0.86</v>
      </c>
      <c r="N67">
        <f t="shared" si="12"/>
        <v>-1.36</v>
      </c>
      <c r="O67" t="str">
        <f t="shared" si="13"/>
        <v>Draw</v>
      </c>
      <c r="P67">
        <f>COUNTIF(Homematches[Match ID],Homematches[[#This Row],[Match ID]])</f>
        <v>1</v>
      </c>
    </row>
    <row r="68" spans="1:16" x14ac:dyDescent="0.25">
      <c r="A68" s="2" t="s">
        <v>145</v>
      </c>
      <c r="B68" s="3">
        <v>46277</v>
      </c>
      <c r="C68" t="s">
        <v>33</v>
      </c>
      <c r="D68" t="s">
        <v>15</v>
      </c>
      <c r="E68">
        <v>1.24</v>
      </c>
      <c r="F68">
        <v>1.21</v>
      </c>
      <c r="G68">
        <v>1</v>
      </c>
      <c r="H68">
        <v>1</v>
      </c>
      <c r="I68">
        <f t="shared" si="7"/>
        <v>3.0000000000000027E-2</v>
      </c>
      <c r="J68">
        <f t="shared" si="8"/>
        <v>0</v>
      </c>
      <c r="K68">
        <f t="shared" si="9"/>
        <v>2.4500000000000002</v>
      </c>
      <c r="L68">
        <f t="shared" si="10"/>
        <v>2</v>
      </c>
      <c r="M68">
        <f t="shared" si="11"/>
        <v>-0.24</v>
      </c>
      <c r="N68">
        <f t="shared" si="12"/>
        <v>-0.20999999999999996</v>
      </c>
      <c r="O68" t="str">
        <f t="shared" si="13"/>
        <v>Draw</v>
      </c>
      <c r="P68">
        <f>COUNTIF(Homematches[Match ID],Homematches[[#This Row],[Match ID]])</f>
        <v>1</v>
      </c>
    </row>
    <row r="69" spans="1:16" x14ac:dyDescent="0.25">
      <c r="A69" s="2" t="s">
        <v>146</v>
      </c>
      <c r="B69" s="3">
        <v>46277</v>
      </c>
      <c r="C69" t="s">
        <v>13</v>
      </c>
      <c r="D69" t="s">
        <v>3</v>
      </c>
      <c r="E69">
        <v>0.49</v>
      </c>
      <c r="F69">
        <v>0.5</v>
      </c>
      <c r="G69">
        <v>0</v>
      </c>
      <c r="H69">
        <v>1</v>
      </c>
      <c r="I69">
        <f t="shared" si="7"/>
        <v>-1.0000000000000009E-2</v>
      </c>
      <c r="J69">
        <f t="shared" si="8"/>
        <v>-1</v>
      </c>
      <c r="K69">
        <f t="shared" si="9"/>
        <v>0.99</v>
      </c>
      <c r="L69">
        <f t="shared" si="10"/>
        <v>1</v>
      </c>
      <c r="M69">
        <f t="shared" si="11"/>
        <v>-0.49</v>
      </c>
      <c r="N69">
        <f t="shared" si="12"/>
        <v>0.5</v>
      </c>
      <c r="O69" t="str">
        <f t="shared" si="13"/>
        <v>Away Win</v>
      </c>
      <c r="P69">
        <f>COUNTIF(Homematches[Match ID],Homematches[[#This Row],[Match ID]])</f>
        <v>1</v>
      </c>
    </row>
    <row r="70" spans="1:16" x14ac:dyDescent="0.25">
      <c r="A70" s="2" t="s">
        <v>147</v>
      </c>
      <c r="B70" s="3">
        <v>46277</v>
      </c>
      <c r="C70" t="s">
        <v>14</v>
      </c>
      <c r="D70" t="s">
        <v>5</v>
      </c>
      <c r="E70">
        <v>1.21</v>
      </c>
      <c r="F70">
        <v>0.47</v>
      </c>
      <c r="G70">
        <v>3</v>
      </c>
      <c r="H70">
        <v>0</v>
      </c>
      <c r="I70">
        <f t="shared" si="7"/>
        <v>0.74</v>
      </c>
      <c r="J70">
        <f t="shared" si="8"/>
        <v>3</v>
      </c>
      <c r="K70">
        <f t="shared" si="9"/>
        <v>1.68</v>
      </c>
      <c r="L70">
        <f t="shared" si="10"/>
        <v>3</v>
      </c>
      <c r="M70">
        <f t="shared" si="11"/>
        <v>1.79</v>
      </c>
      <c r="N70">
        <f t="shared" si="12"/>
        <v>-0.47</v>
      </c>
      <c r="O70" t="str">
        <f t="shared" si="13"/>
        <v>Home Win</v>
      </c>
      <c r="P70">
        <f>COUNTIF(Homematches[Match ID],Homematches[[#This Row],[Match ID]])</f>
        <v>1</v>
      </c>
    </row>
    <row r="71" spans="1:16" x14ac:dyDescent="0.25">
      <c r="A71" s="2" t="s">
        <v>148</v>
      </c>
      <c r="B71" s="3">
        <v>46277</v>
      </c>
      <c r="C71" t="s">
        <v>16</v>
      </c>
      <c r="D71" t="s">
        <v>1</v>
      </c>
      <c r="E71">
        <v>0.99</v>
      </c>
      <c r="F71">
        <v>0.77</v>
      </c>
      <c r="G71">
        <v>3</v>
      </c>
      <c r="H71">
        <v>0</v>
      </c>
      <c r="I71">
        <f t="shared" si="7"/>
        <v>0.21999999999999997</v>
      </c>
      <c r="J71">
        <f t="shared" si="8"/>
        <v>3</v>
      </c>
      <c r="K71">
        <f t="shared" si="9"/>
        <v>1.76</v>
      </c>
      <c r="L71">
        <f t="shared" si="10"/>
        <v>3</v>
      </c>
      <c r="M71">
        <f t="shared" si="11"/>
        <v>2.0099999999999998</v>
      </c>
      <c r="N71">
        <f t="shared" si="12"/>
        <v>-0.77</v>
      </c>
      <c r="O71" t="str">
        <f t="shared" si="13"/>
        <v>Home Win</v>
      </c>
      <c r="P71">
        <f>COUNTIF(Homematches[Match ID],Homematches[[#This Row],[Match ID]])</f>
        <v>1</v>
      </c>
    </row>
    <row r="72" spans="1:16" x14ac:dyDescent="0.25">
      <c r="A72" s="2" t="s">
        <v>149</v>
      </c>
      <c r="B72" s="3">
        <v>46277</v>
      </c>
      <c r="C72" t="s">
        <v>18</v>
      </c>
      <c r="D72" t="s">
        <v>21</v>
      </c>
      <c r="E72">
        <v>0.82</v>
      </c>
      <c r="F72">
        <v>1.59</v>
      </c>
      <c r="G72">
        <v>0</v>
      </c>
      <c r="H72">
        <v>0</v>
      </c>
      <c r="I72">
        <f t="shared" si="7"/>
        <v>-0.77000000000000013</v>
      </c>
      <c r="J72">
        <f t="shared" si="8"/>
        <v>0</v>
      </c>
      <c r="K72">
        <f t="shared" si="9"/>
        <v>2.41</v>
      </c>
      <c r="L72">
        <f t="shared" si="10"/>
        <v>0</v>
      </c>
      <c r="M72">
        <f t="shared" si="11"/>
        <v>-0.82</v>
      </c>
      <c r="N72">
        <f t="shared" si="12"/>
        <v>-1.59</v>
      </c>
      <c r="O72" t="str">
        <f t="shared" si="13"/>
        <v>Draw</v>
      </c>
      <c r="P72">
        <f>COUNTIF(Homematches[Match ID],Homematches[[#This Row],[Match ID]])</f>
        <v>1</v>
      </c>
    </row>
    <row r="73" spans="1:16" x14ac:dyDescent="0.25">
      <c r="A73" s="2" t="s">
        <v>150</v>
      </c>
      <c r="B73" s="3">
        <v>46277</v>
      </c>
      <c r="C73" t="s">
        <v>20</v>
      </c>
      <c r="D73" t="s">
        <v>9</v>
      </c>
      <c r="E73">
        <v>2.29</v>
      </c>
      <c r="F73">
        <v>1.21</v>
      </c>
      <c r="G73">
        <v>3</v>
      </c>
      <c r="H73">
        <v>4</v>
      </c>
      <c r="I73">
        <f t="shared" si="7"/>
        <v>1.08</v>
      </c>
      <c r="J73">
        <f t="shared" si="8"/>
        <v>-1</v>
      </c>
      <c r="K73">
        <f t="shared" si="9"/>
        <v>3.5</v>
      </c>
      <c r="L73">
        <f t="shared" si="10"/>
        <v>7</v>
      </c>
      <c r="M73">
        <f t="shared" si="11"/>
        <v>0.71</v>
      </c>
      <c r="N73">
        <f t="shared" si="12"/>
        <v>2.79</v>
      </c>
      <c r="O73" t="str">
        <f t="shared" si="13"/>
        <v>Away Win</v>
      </c>
      <c r="P73">
        <f>COUNTIF(Homematches[Match ID],Homematches[[#This Row],[Match ID]])</f>
        <v>1</v>
      </c>
    </row>
    <row r="74" spans="1:16" x14ac:dyDescent="0.25">
      <c r="A74" s="2" t="s">
        <v>151</v>
      </c>
      <c r="B74" s="3">
        <v>46282</v>
      </c>
      <c r="C74" t="s">
        <v>0</v>
      </c>
      <c r="D74" t="s">
        <v>33</v>
      </c>
      <c r="I74" t="str">
        <f t="shared" si="7"/>
        <v/>
      </c>
      <c r="J74" t="str">
        <f t="shared" si="8"/>
        <v/>
      </c>
      <c r="K74" t="str">
        <f t="shared" si="9"/>
        <v/>
      </c>
      <c r="L74" t="str">
        <f t="shared" si="10"/>
        <v/>
      </c>
      <c r="M74" t="str">
        <f t="shared" si="11"/>
        <v/>
      </c>
      <c r="N74" t="str">
        <f t="shared" si="12"/>
        <v/>
      </c>
      <c r="O74" t="str">
        <f t="shared" si="13"/>
        <v/>
      </c>
      <c r="P74">
        <f>COUNTIF(Homematches[Match ID],Homematches[[#This Row],[Match ID]])</f>
        <v>1</v>
      </c>
    </row>
    <row r="75" spans="1:16" x14ac:dyDescent="0.25">
      <c r="A75" s="2" t="s">
        <v>152</v>
      </c>
      <c r="B75" s="3">
        <v>46284</v>
      </c>
      <c r="C75" t="s">
        <v>1</v>
      </c>
      <c r="D75" t="s">
        <v>9</v>
      </c>
      <c r="I75" t="str">
        <f t="shared" si="7"/>
        <v/>
      </c>
      <c r="J75" t="str">
        <f t="shared" si="8"/>
        <v/>
      </c>
      <c r="K75" t="str">
        <f t="shared" si="9"/>
        <v/>
      </c>
      <c r="L75" t="str">
        <f t="shared" si="10"/>
        <v/>
      </c>
      <c r="M75" t="str">
        <f t="shared" si="11"/>
        <v/>
      </c>
      <c r="N75" t="str">
        <f t="shared" si="12"/>
        <v/>
      </c>
      <c r="O75" t="str">
        <f t="shared" si="13"/>
        <v/>
      </c>
      <c r="P75">
        <f>COUNTIF(Homematches[Match ID],Homematches[[#This Row],[Match ID]])</f>
        <v>1</v>
      </c>
    </row>
    <row r="76" spans="1:16" x14ac:dyDescent="0.25">
      <c r="A76" s="2" t="s">
        <v>153</v>
      </c>
      <c r="B76" s="3">
        <v>46284</v>
      </c>
      <c r="C76" t="s">
        <v>2</v>
      </c>
      <c r="D76" t="s">
        <v>16</v>
      </c>
      <c r="I76" t="str">
        <f t="shared" si="7"/>
        <v/>
      </c>
      <c r="J76" t="str">
        <f t="shared" si="8"/>
        <v/>
      </c>
      <c r="K76" t="str">
        <f t="shared" si="9"/>
        <v/>
      </c>
      <c r="L76" t="str">
        <f t="shared" si="10"/>
        <v/>
      </c>
      <c r="M76" t="str">
        <f t="shared" si="11"/>
        <v/>
      </c>
      <c r="N76" t="str">
        <f t="shared" si="12"/>
        <v/>
      </c>
      <c r="O76" t="str">
        <f t="shared" si="13"/>
        <v/>
      </c>
      <c r="P76">
        <f>COUNTIF(Homematches[Match ID],Homematches[[#This Row],[Match ID]])</f>
        <v>1</v>
      </c>
    </row>
    <row r="77" spans="1:16" x14ac:dyDescent="0.25">
      <c r="A77" s="2" t="s">
        <v>154</v>
      </c>
      <c r="B77" s="3">
        <v>46284</v>
      </c>
      <c r="C77" t="s">
        <v>4</v>
      </c>
      <c r="D77" t="s">
        <v>8</v>
      </c>
      <c r="I77" t="str">
        <f t="shared" si="7"/>
        <v/>
      </c>
      <c r="J77" t="str">
        <f t="shared" si="8"/>
        <v/>
      </c>
      <c r="K77" t="str">
        <f t="shared" si="9"/>
        <v/>
      </c>
      <c r="L77" t="str">
        <f t="shared" si="10"/>
        <v/>
      </c>
      <c r="M77" t="str">
        <f t="shared" si="11"/>
        <v/>
      </c>
      <c r="N77" t="str">
        <f t="shared" si="12"/>
        <v/>
      </c>
      <c r="O77" t="str">
        <f t="shared" si="13"/>
        <v/>
      </c>
      <c r="P77">
        <f>COUNTIF(Homematches[Match ID],Homematches[[#This Row],[Match ID]])</f>
        <v>1</v>
      </c>
    </row>
    <row r="78" spans="1:16" x14ac:dyDescent="0.25">
      <c r="A78" s="2" t="s">
        <v>155</v>
      </c>
      <c r="B78" s="3">
        <v>46284</v>
      </c>
      <c r="C78" t="s">
        <v>5</v>
      </c>
      <c r="D78" t="s">
        <v>12</v>
      </c>
      <c r="I78" t="str">
        <f t="shared" si="7"/>
        <v/>
      </c>
      <c r="J78" t="str">
        <f t="shared" si="8"/>
        <v/>
      </c>
      <c r="K78" t="str">
        <f t="shared" si="9"/>
        <v/>
      </c>
      <c r="L78" t="str">
        <f t="shared" si="10"/>
        <v/>
      </c>
      <c r="M78" t="str">
        <f t="shared" si="11"/>
        <v/>
      </c>
      <c r="N78" t="str">
        <f t="shared" si="12"/>
        <v/>
      </c>
      <c r="O78" t="str">
        <f t="shared" si="13"/>
        <v/>
      </c>
      <c r="P78">
        <f>COUNTIF(Homematches[Match ID],Homematches[[#This Row],[Match ID]])</f>
        <v>1</v>
      </c>
    </row>
    <row r="79" spans="1:16" x14ac:dyDescent="0.25">
      <c r="A79" s="2" t="s">
        <v>156</v>
      </c>
      <c r="B79" s="3">
        <v>46284</v>
      </c>
      <c r="C79" t="s">
        <v>10</v>
      </c>
      <c r="D79" t="s">
        <v>19</v>
      </c>
      <c r="I79" t="str">
        <f t="shared" si="7"/>
        <v/>
      </c>
      <c r="J79" t="str">
        <f t="shared" si="8"/>
        <v/>
      </c>
      <c r="K79" t="str">
        <f t="shared" si="9"/>
        <v/>
      </c>
      <c r="L79" t="str">
        <f t="shared" si="10"/>
        <v/>
      </c>
      <c r="M79" t="str">
        <f t="shared" si="11"/>
        <v/>
      </c>
      <c r="N79" t="str">
        <f t="shared" si="12"/>
        <v/>
      </c>
      <c r="O79" t="str">
        <f t="shared" si="13"/>
        <v/>
      </c>
      <c r="P79">
        <f>COUNTIF(Homematches[Match ID],Homematches[[#This Row],[Match ID]])</f>
        <v>1</v>
      </c>
    </row>
    <row r="80" spans="1:16" x14ac:dyDescent="0.25">
      <c r="A80" s="2" t="s">
        <v>157</v>
      </c>
      <c r="B80" s="3">
        <v>46284</v>
      </c>
      <c r="C80" t="s">
        <v>11</v>
      </c>
      <c r="D80" t="s">
        <v>3</v>
      </c>
      <c r="I80" t="str">
        <f t="shared" si="7"/>
        <v/>
      </c>
      <c r="J80" t="str">
        <f t="shared" si="8"/>
        <v/>
      </c>
      <c r="K80" t="str">
        <f t="shared" si="9"/>
        <v/>
      </c>
      <c r="L80" t="str">
        <f t="shared" si="10"/>
        <v/>
      </c>
      <c r="M80" t="str">
        <f t="shared" si="11"/>
        <v/>
      </c>
      <c r="N80" t="str">
        <f t="shared" si="12"/>
        <v/>
      </c>
      <c r="O80" t="str">
        <f t="shared" si="13"/>
        <v/>
      </c>
      <c r="P80">
        <f>COUNTIF(Homematches[Match ID],Homematches[[#This Row],[Match ID]])</f>
        <v>1</v>
      </c>
    </row>
    <row r="81" spans="1:16" x14ac:dyDescent="0.25">
      <c r="A81" s="2" t="s">
        <v>158</v>
      </c>
      <c r="B81" s="3">
        <v>46284</v>
      </c>
      <c r="C81" t="s">
        <v>14</v>
      </c>
      <c r="D81" t="s">
        <v>6</v>
      </c>
      <c r="I81" t="str">
        <f t="shared" si="7"/>
        <v/>
      </c>
      <c r="J81" t="str">
        <f t="shared" si="8"/>
        <v/>
      </c>
      <c r="K81" t="str">
        <f t="shared" si="9"/>
        <v/>
      </c>
      <c r="L81" t="str">
        <f t="shared" si="10"/>
        <v/>
      </c>
      <c r="M81" t="str">
        <f t="shared" si="11"/>
        <v/>
      </c>
      <c r="N81" t="str">
        <f t="shared" si="12"/>
        <v/>
      </c>
      <c r="O81" t="str">
        <f t="shared" si="13"/>
        <v/>
      </c>
      <c r="P81">
        <f>COUNTIF(Homematches[Match ID],Homematches[[#This Row],[Match ID]])</f>
        <v>1</v>
      </c>
    </row>
    <row r="82" spans="1:16" x14ac:dyDescent="0.25">
      <c r="A82" s="2" t="s">
        <v>159</v>
      </c>
      <c r="B82" s="3">
        <v>46284</v>
      </c>
      <c r="C82" t="s">
        <v>15</v>
      </c>
      <c r="D82" t="s">
        <v>7</v>
      </c>
      <c r="I82" t="str">
        <f t="shared" si="7"/>
        <v/>
      </c>
      <c r="J82" t="str">
        <f t="shared" si="8"/>
        <v/>
      </c>
      <c r="K82" t="str">
        <f t="shared" si="9"/>
        <v/>
      </c>
      <c r="L82" t="str">
        <f t="shared" si="10"/>
        <v/>
      </c>
      <c r="M82" t="str">
        <f t="shared" si="11"/>
        <v/>
      </c>
      <c r="N82" t="str">
        <f t="shared" si="12"/>
        <v/>
      </c>
      <c r="O82" t="str">
        <f t="shared" si="13"/>
        <v/>
      </c>
      <c r="P82">
        <f>COUNTIF(Homematches[Match ID],Homematches[[#This Row],[Match ID]])</f>
        <v>1</v>
      </c>
    </row>
    <row r="83" spans="1:16" x14ac:dyDescent="0.25">
      <c r="A83" s="2" t="s">
        <v>160</v>
      </c>
      <c r="B83" s="3">
        <v>46284</v>
      </c>
      <c r="C83" t="s">
        <v>17</v>
      </c>
      <c r="D83" t="s">
        <v>13</v>
      </c>
      <c r="I83" t="str">
        <f t="shared" si="7"/>
        <v/>
      </c>
      <c r="J83" t="str">
        <f t="shared" si="8"/>
        <v/>
      </c>
      <c r="K83" t="str">
        <f t="shared" si="9"/>
        <v/>
      </c>
      <c r="L83" t="str">
        <f t="shared" si="10"/>
        <v/>
      </c>
      <c r="M83" t="str">
        <f t="shared" si="11"/>
        <v/>
      </c>
      <c r="N83" t="str">
        <f t="shared" si="12"/>
        <v/>
      </c>
      <c r="O83" t="str">
        <f t="shared" si="13"/>
        <v/>
      </c>
      <c r="P83">
        <f>COUNTIF(Homematches[Match ID],Homematches[[#This Row],[Match ID]])</f>
        <v>1</v>
      </c>
    </row>
    <row r="84" spans="1:16" x14ac:dyDescent="0.25">
      <c r="A84" s="2" t="s">
        <v>161</v>
      </c>
      <c r="B84" s="3">
        <v>46284</v>
      </c>
      <c r="C84" t="s">
        <v>18</v>
      </c>
      <c r="D84" t="s">
        <v>20</v>
      </c>
      <c r="I84" t="str">
        <f t="shared" si="7"/>
        <v/>
      </c>
      <c r="J84" t="str">
        <f t="shared" si="8"/>
        <v/>
      </c>
      <c r="K84" t="str">
        <f t="shared" si="9"/>
        <v/>
      </c>
      <c r="L84" t="str">
        <f t="shared" si="10"/>
        <v/>
      </c>
      <c r="M84" t="str">
        <f t="shared" si="11"/>
        <v/>
      </c>
      <c r="N84" t="str">
        <f t="shared" si="12"/>
        <v/>
      </c>
      <c r="O84" t="str">
        <f t="shared" si="13"/>
        <v/>
      </c>
      <c r="P84">
        <f>COUNTIF(Homematches[Match ID],Homematches[[#This Row],[Match ID]])</f>
        <v>1</v>
      </c>
    </row>
    <row r="85" spans="1:16" x14ac:dyDescent="0.25">
      <c r="A85" s="2" t="s">
        <v>162</v>
      </c>
      <c r="B85" s="3">
        <v>46284</v>
      </c>
      <c r="C85" t="s">
        <v>21</v>
      </c>
      <c r="D85" t="s">
        <v>22</v>
      </c>
      <c r="I85" t="str">
        <f t="shared" si="7"/>
        <v/>
      </c>
      <c r="J85" t="str">
        <f t="shared" si="8"/>
        <v/>
      </c>
      <c r="K85" t="str">
        <f t="shared" si="9"/>
        <v/>
      </c>
      <c r="L85" t="str">
        <f t="shared" si="10"/>
        <v/>
      </c>
      <c r="M85" t="str">
        <f t="shared" si="11"/>
        <v/>
      </c>
      <c r="N85" t="str">
        <f t="shared" si="12"/>
        <v/>
      </c>
      <c r="O85" t="str">
        <f t="shared" si="13"/>
        <v/>
      </c>
      <c r="P85">
        <f>COUNTIF(Homematches[Match ID],Homematches[[#This Row],[Match ID]])</f>
        <v>1</v>
      </c>
    </row>
    <row r="86" spans="1:16" x14ac:dyDescent="0.25">
      <c r="A86" s="2" t="s">
        <v>163</v>
      </c>
      <c r="B86" s="3">
        <v>46291</v>
      </c>
      <c r="C86" t="s">
        <v>3</v>
      </c>
      <c r="D86" t="s">
        <v>1</v>
      </c>
      <c r="I86" t="str">
        <f t="shared" si="7"/>
        <v/>
      </c>
      <c r="J86" t="str">
        <f t="shared" si="8"/>
        <v/>
      </c>
      <c r="K86" t="str">
        <f t="shared" si="9"/>
        <v/>
      </c>
      <c r="L86" t="str">
        <f t="shared" si="10"/>
        <v/>
      </c>
      <c r="M86" t="str">
        <f t="shared" si="11"/>
        <v/>
      </c>
      <c r="N86" t="str">
        <f t="shared" si="12"/>
        <v/>
      </c>
      <c r="O86" t="str">
        <f t="shared" si="13"/>
        <v/>
      </c>
      <c r="P86">
        <f>COUNTIF(Homematches[Match ID],Homematches[[#This Row],[Match ID]])</f>
        <v>1</v>
      </c>
    </row>
    <row r="87" spans="1:16" x14ac:dyDescent="0.25">
      <c r="A87" s="2" t="s">
        <v>164</v>
      </c>
      <c r="B87" s="3">
        <v>46291</v>
      </c>
      <c r="C87" t="s">
        <v>6</v>
      </c>
      <c r="D87" t="s">
        <v>0</v>
      </c>
      <c r="I87" t="str">
        <f t="shared" si="7"/>
        <v/>
      </c>
      <c r="J87" t="str">
        <f t="shared" si="8"/>
        <v/>
      </c>
      <c r="K87" t="str">
        <f t="shared" si="9"/>
        <v/>
      </c>
      <c r="L87" t="str">
        <f t="shared" si="10"/>
        <v/>
      </c>
      <c r="M87" t="str">
        <f t="shared" si="11"/>
        <v/>
      </c>
      <c r="N87" t="str">
        <f t="shared" si="12"/>
        <v/>
      </c>
      <c r="O87" t="str">
        <f t="shared" si="13"/>
        <v/>
      </c>
      <c r="P87">
        <f>COUNTIF(Homematches[Match ID],Homematches[[#This Row],[Match ID]])</f>
        <v>1</v>
      </c>
    </row>
    <row r="88" spans="1:16" x14ac:dyDescent="0.25">
      <c r="A88" s="2" t="s">
        <v>165</v>
      </c>
      <c r="B88" s="3">
        <v>46291</v>
      </c>
      <c r="C88" t="s">
        <v>7</v>
      </c>
      <c r="D88" t="s">
        <v>14</v>
      </c>
      <c r="I88" t="str">
        <f t="shared" si="7"/>
        <v/>
      </c>
      <c r="J88" t="str">
        <f t="shared" si="8"/>
        <v/>
      </c>
      <c r="K88" t="str">
        <f t="shared" si="9"/>
        <v/>
      </c>
      <c r="L88" t="str">
        <f t="shared" si="10"/>
        <v/>
      </c>
      <c r="M88" t="str">
        <f t="shared" si="11"/>
        <v/>
      </c>
      <c r="N88" t="str">
        <f t="shared" si="12"/>
        <v/>
      </c>
      <c r="O88" t="str">
        <f t="shared" si="13"/>
        <v/>
      </c>
      <c r="P88">
        <f>COUNTIF(Homematches[Match ID],Homematches[[#This Row],[Match ID]])</f>
        <v>1</v>
      </c>
    </row>
    <row r="89" spans="1:16" x14ac:dyDescent="0.25">
      <c r="A89" s="2" t="s">
        <v>166</v>
      </c>
      <c r="B89" s="3">
        <v>46291</v>
      </c>
      <c r="C89" t="s">
        <v>8</v>
      </c>
      <c r="D89" t="s">
        <v>11</v>
      </c>
      <c r="I89" t="str">
        <f t="shared" si="7"/>
        <v/>
      </c>
      <c r="J89" t="str">
        <f t="shared" si="8"/>
        <v/>
      </c>
      <c r="K89" t="str">
        <f t="shared" si="9"/>
        <v/>
      </c>
      <c r="L89" t="str">
        <f t="shared" si="10"/>
        <v/>
      </c>
      <c r="M89" t="str">
        <f t="shared" si="11"/>
        <v/>
      </c>
      <c r="N89" t="str">
        <f t="shared" si="12"/>
        <v/>
      </c>
      <c r="O89" t="str">
        <f t="shared" si="13"/>
        <v/>
      </c>
      <c r="P89">
        <f>COUNTIF(Homematches[Match ID],Homematches[[#This Row],[Match ID]])</f>
        <v>1</v>
      </c>
    </row>
    <row r="90" spans="1:16" x14ac:dyDescent="0.25">
      <c r="A90" s="2" t="s">
        <v>167</v>
      </c>
      <c r="B90" s="3">
        <v>46291</v>
      </c>
      <c r="C90" t="s">
        <v>9</v>
      </c>
      <c r="D90" t="s">
        <v>21</v>
      </c>
      <c r="I90" t="str">
        <f t="shared" si="7"/>
        <v/>
      </c>
      <c r="J90" t="str">
        <f t="shared" si="8"/>
        <v/>
      </c>
      <c r="K90" t="str">
        <f t="shared" si="9"/>
        <v/>
      </c>
      <c r="L90" t="str">
        <f t="shared" si="10"/>
        <v/>
      </c>
      <c r="M90" t="str">
        <f t="shared" si="11"/>
        <v/>
      </c>
      <c r="N90" t="str">
        <f t="shared" si="12"/>
        <v/>
      </c>
      <c r="O90" t="str">
        <f t="shared" si="13"/>
        <v/>
      </c>
      <c r="P90">
        <f>COUNTIF(Homematches[Match ID],Homematches[[#This Row],[Match ID]])</f>
        <v>1</v>
      </c>
    </row>
    <row r="91" spans="1:16" x14ac:dyDescent="0.25">
      <c r="A91" s="2" t="s">
        <v>168</v>
      </c>
      <c r="B91" s="3">
        <v>46291</v>
      </c>
      <c r="C91" t="s">
        <v>12</v>
      </c>
      <c r="D91" t="s">
        <v>10</v>
      </c>
      <c r="I91" t="str">
        <f t="shared" si="7"/>
        <v/>
      </c>
      <c r="J91" t="str">
        <f t="shared" si="8"/>
        <v/>
      </c>
      <c r="K91" t="str">
        <f t="shared" si="9"/>
        <v/>
      </c>
      <c r="L91" t="str">
        <f t="shared" si="10"/>
        <v/>
      </c>
      <c r="M91" t="str">
        <f t="shared" si="11"/>
        <v/>
      </c>
      <c r="N91" t="str">
        <f t="shared" si="12"/>
        <v/>
      </c>
      <c r="O91" t="str">
        <f t="shared" si="13"/>
        <v/>
      </c>
      <c r="P91">
        <f>COUNTIF(Homematches[Match ID],Homematches[[#This Row],[Match ID]])</f>
        <v>1</v>
      </c>
    </row>
    <row r="92" spans="1:16" x14ac:dyDescent="0.25">
      <c r="A92" s="2" t="s">
        <v>169</v>
      </c>
      <c r="B92" s="3">
        <v>46291</v>
      </c>
      <c r="C92" t="s">
        <v>33</v>
      </c>
      <c r="D92" t="s">
        <v>4</v>
      </c>
      <c r="I92" t="str">
        <f t="shared" si="7"/>
        <v/>
      </c>
      <c r="J92" t="str">
        <f t="shared" si="8"/>
        <v/>
      </c>
      <c r="K92" t="str">
        <f t="shared" si="9"/>
        <v/>
      </c>
      <c r="L92" t="str">
        <f t="shared" si="10"/>
        <v/>
      </c>
      <c r="M92" t="str">
        <f t="shared" si="11"/>
        <v/>
      </c>
      <c r="N92" t="str">
        <f t="shared" si="12"/>
        <v/>
      </c>
      <c r="O92" t="str">
        <f t="shared" si="13"/>
        <v/>
      </c>
      <c r="P92">
        <f>COUNTIF(Homematches[Match ID],Homematches[[#This Row],[Match ID]])</f>
        <v>1</v>
      </c>
    </row>
    <row r="93" spans="1:16" x14ac:dyDescent="0.25">
      <c r="A93" s="2" t="s">
        <v>170</v>
      </c>
      <c r="B93" s="3">
        <v>46291</v>
      </c>
      <c r="C93" t="s">
        <v>13</v>
      </c>
      <c r="D93" t="s">
        <v>2</v>
      </c>
      <c r="I93" t="str">
        <f t="shared" si="7"/>
        <v/>
      </c>
      <c r="J93" t="str">
        <f t="shared" si="8"/>
        <v/>
      </c>
      <c r="K93" t="str">
        <f t="shared" si="9"/>
        <v/>
      </c>
      <c r="L93" t="str">
        <f t="shared" si="10"/>
        <v/>
      </c>
      <c r="M93" t="str">
        <f t="shared" si="11"/>
        <v/>
      </c>
      <c r="N93" t="str">
        <f t="shared" si="12"/>
        <v/>
      </c>
      <c r="O93" t="str">
        <f t="shared" si="13"/>
        <v/>
      </c>
      <c r="P93">
        <f>COUNTIF(Homematches[Match ID],Homematches[[#This Row],[Match ID]])</f>
        <v>1</v>
      </c>
    </row>
    <row r="94" spans="1:16" x14ac:dyDescent="0.25">
      <c r="A94" s="2" t="s">
        <v>171</v>
      </c>
      <c r="B94" s="3">
        <v>46291</v>
      </c>
      <c r="C94" t="s">
        <v>16</v>
      </c>
      <c r="D94" t="s">
        <v>5</v>
      </c>
      <c r="I94" t="str">
        <f t="shared" si="7"/>
        <v/>
      </c>
      <c r="J94" t="str">
        <f t="shared" si="8"/>
        <v/>
      </c>
      <c r="K94" t="str">
        <f t="shared" si="9"/>
        <v/>
      </c>
      <c r="L94" t="str">
        <f t="shared" si="10"/>
        <v/>
      </c>
      <c r="M94" t="str">
        <f t="shared" si="11"/>
        <v/>
      </c>
      <c r="N94" t="str">
        <f t="shared" si="12"/>
        <v/>
      </c>
      <c r="O94" t="str">
        <f t="shared" si="13"/>
        <v/>
      </c>
      <c r="P94">
        <f>COUNTIF(Homematches[Match ID],Homematches[[#This Row],[Match ID]])</f>
        <v>1</v>
      </c>
    </row>
    <row r="95" spans="1:16" x14ac:dyDescent="0.25">
      <c r="A95" s="2" t="s">
        <v>172</v>
      </c>
      <c r="B95" s="3">
        <v>46291</v>
      </c>
      <c r="C95" t="s">
        <v>19</v>
      </c>
      <c r="D95" t="s">
        <v>18</v>
      </c>
      <c r="I95" t="str">
        <f t="shared" si="7"/>
        <v/>
      </c>
      <c r="J95" t="str">
        <f t="shared" si="8"/>
        <v/>
      </c>
      <c r="K95" t="str">
        <f t="shared" si="9"/>
        <v/>
      </c>
      <c r="L95" t="str">
        <f t="shared" si="10"/>
        <v/>
      </c>
      <c r="M95" t="str">
        <f t="shared" si="11"/>
        <v/>
      </c>
      <c r="N95" t="str">
        <f t="shared" si="12"/>
        <v/>
      </c>
      <c r="O95" t="str">
        <f t="shared" si="13"/>
        <v/>
      </c>
      <c r="P95">
        <f>COUNTIF(Homematches[Match ID],Homematches[[#This Row],[Match ID]])</f>
        <v>1</v>
      </c>
    </row>
    <row r="96" spans="1:16" x14ac:dyDescent="0.25">
      <c r="A96" s="2" t="s">
        <v>173</v>
      </c>
      <c r="B96" s="3">
        <v>46291</v>
      </c>
      <c r="C96" t="s">
        <v>20</v>
      </c>
      <c r="D96" t="s">
        <v>15</v>
      </c>
      <c r="I96" t="str">
        <f t="shared" si="7"/>
        <v/>
      </c>
      <c r="J96" t="str">
        <f t="shared" si="8"/>
        <v/>
      </c>
      <c r="K96" t="str">
        <f t="shared" si="9"/>
        <v/>
      </c>
      <c r="L96" t="str">
        <f t="shared" si="10"/>
        <v/>
      </c>
      <c r="M96" t="str">
        <f t="shared" si="11"/>
        <v/>
      </c>
      <c r="N96" t="str">
        <f t="shared" si="12"/>
        <v/>
      </c>
      <c r="O96" t="str">
        <f t="shared" si="13"/>
        <v/>
      </c>
      <c r="P96">
        <f>COUNTIF(Homematches[Match ID],Homematches[[#This Row],[Match ID]])</f>
        <v>1</v>
      </c>
    </row>
    <row r="97" spans="1:16" x14ac:dyDescent="0.25">
      <c r="A97" s="2" t="s">
        <v>174</v>
      </c>
      <c r="B97" s="3">
        <v>46291</v>
      </c>
      <c r="C97" t="s">
        <v>22</v>
      </c>
      <c r="D97" t="s">
        <v>17</v>
      </c>
      <c r="I97" t="str">
        <f t="shared" si="7"/>
        <v/>
      </c>
      <c r="J97" t="str">
        <f t="shared" si="8"/>
        <v/>
      </c>
      <c r="K97" t="str">
        <f t="shared" si="9"/>
        <v/>
      </c>
      <c r="L97" t="str">
        <f t="shared" si="10"/>
        <v/>
      </c>
      <c r="M97" t="str">
        <f t="shared" si="11"/>
        <v/>
      </c>
      <c r="N97" t="str">
        <f t="shared" si="12"/>
        <v/>
      </c>
      <c r="O97" t="str">
        <f t="shared" si="13"/>
        <v/>
      </c>
      <c r="P97">
        <f>COUNTIF(Homematches[Match ID],Homematches[[#This Row],[Match ID]])</f>
        <v>1</v>
      </c>
    </row>
    <row r="98" spans="1:16" x14ac:dyDescent="0.25">
      <c r="A98" s="2" t="s">
        <v>175</v>
      </c>
      <c r="B98" s="3">
        <v>46298</v>
      </c>
      <c r="C98" t="s">
        <v>0</v>
      </c>
      <c r="D98" t="s">
        <v>19</v>
      </c>
      <c r="I98" t="str">
        <f t="shared" si="7"/>
        <v/>
      </c>
      <c r="J98" t="str">
        <f t="shared" si="8"/>
        <v/>
      </c>
      <c r="K98" t="str">
        <f t="shared" si="9"/>
        <v/>
      </c>
      <c r="L98" t="str">
        <f t="shared" si="10"/>
        <v/>
      </c>
      <c r="M98" t="str">
        <f t="shared" si="11"/>
        <v/>
      </c>
      <c r="N98" t="str">
        <f t="shared" si="12"/>
        <v/>
      </c>
      <c r="O98" t="str">
        <f t="shared" si="13"/>
        <v/>
      </c>
      <c r="P98">
        <f>COUNTIF(Homematches[Match ID],Homematches[[#This Row],[Match ID]])</f>
        <v>1</v>
      </c>
    </row>
    <row r="99" spans="1:16" x14ac:dyDescent="0.25">
      <c r="A99" s="2" t="s">
        <v>176</v>
      </c>
      <c r="B99" s="3">
        <v>46298</v>
      </c>
      <c r="C99" t="s">
        <v>1</v>
      </c>
      <c r="D99" t="s">
        <v>33</v>
      </c>
      <c r="I99" t="str">
        <f t="shared" si="7"/>
        <v/>
      </c>
      <c r="J99" t="str">
        <f t="shared" si="8"/>
        <v/>
      </c>
      <c r="K99" t="str">
        <f t="shared" si="9"/>
        <v/>
      </c>
      <c r="L99" t="str">
        <f t="shared" si="10"/>
        <v/>
      </c>
      <c r="M99" t="str">
        <f t="shared" si="11"/>
        <v/>
      </c>
      <c r="N99" t="str">
        <f t="shared" si="12"/>
        <v/>
      </c>
      <c r="O99" t="str">
        <f t="shared" si="13"/>
        <v/>
      </c>
      <c r="P99">
        <f>COUNTIF(Homematches[Match ID],Homematches[[#This Row],[Match ID]])</f>
        <v>1</v>
      </c>
    </row>
    <row r="100" spans="1:16" x14ac:dyDescent="0.25">
      <c r="A100" s="2" t="s">
        <v>177</v>
      </c>
      <c r="B100" s="3">
        <v>46298</v>
      </c>
      <c r="C100" t="s">
        <v>2</v>
      </c>
      <c r="D100" t="s">
        <v>9</v>
      </c>
      <c r="I100" t="str">
        <f t="shared" si="7"/>
        <v/>
      </c>
      <c r="J100" t="str">
        <f t="shared" si="8"/>
        <v/>
      </c>
      <c r="K100" t="str">
        <f t="shared" si="9"/>
        <v/>
      </c>
      <c r="L100" t="str">
        <f t="shared" si="10"/>
        <v/>
      </c>
      <c r="M100" t="str">
        <f t="shared" si="11"/>
        <v/>
      </c>
      <c r="N100" t="str">
        <f t="shared" si="12"/>
        <v/>
      </c>
      <c r="O100" t="str">
        <f t="shared" si="13"/>
        <v/>
      </c>
      <c r="P100">
        <f>COUNTIF(Homematches[Match ID],Homematches[[#This Row],[Match ID]])</f>
        <v>1</v>
      </c>
    </row>
    <row r="101" spans="1:16" x14ac:dyDescent="0.25">
      <c r="A101" s="2" t="s">
        <v>178</v>
      </c>
      <c r="B101" s="3">
        <v>46298</v>
      </c>
      <c r="C101" t="s">
        <v>4</v>
      </c>
      <c r="D101" t="s">
        <v>22</v>
      </c>
      <c r="I101" t="str">
        <f t="shared" si="7"/>
        <v/>
      </c>
      <c r="J101" t="str">
        <f t="shared" si="8"/>
        <v/>
      </c>
      <c r="K101" t="str">
        <f t="shared" si="9"/>
        <v/>
      </c>
      <c r="L101" t="str">
        <f t="shared" si="10"/>
        <v/>
      </c>
      <c r="M101" t="str">
        <f t="shared" si="11"/>
        <v/>
      </c>
      <c r="N101" t="str">
        <f t="shared" si="12"/>
        <v/>
      </c>
      <c r="O101" t="str">
        <f t="shared" si="13"/>
        <v/>
      </c>
      <c r="P101">
        <f>COUNTIF(Homematches[Match ID],Homematches[[#This Row],[Match ID]])</f>
        <v>1</v>
      </c>
    </row>
    <row r="102" spans="1:16" x14ac:dyDescent="0.25">
      <c r="A102" s="2" t="s">
        <v>179</v>
      </c>
      <c r="B102" s="3">
        <v>46298</v>
      </c>
      <c r="C102" t="s">
        <v>5</v>
      </c>
      <c r="D102" t="s">
        <v>8</v>
      </c>
      <c r="I102" t="str">
        <f t="shared" si="7"/>
        <v/>
      </c>
      <c r="J102" t="str">
        <f t="shared" si="8"/>
        <v/>
      </c>
      <c r="K102" t="str">
        <f t="shared" si="9"/>
        <v/>
      </c>
      <c r="L102" t="str">
        <f t="shared" si="10"/>
        <v/>
      </c>
      <c r="M102" t="str">
        <f t="shared" si="11"/>
        <v/>
      </c>
      <c r="N102" t="str">
        <f t="shared" si="12"/>
        <v/>
      </c>
      <c r="O102" t="str">
        <f t="shared" si="13"/>
        <v/>
      </c>
      <c r="P102">
        <f>COUNTIF(Homematches[Match ID],Homematches[[#This Row],[Match ID]])</f>
        <v>1</v>
      </c>
    </row>
    <row r="103" spans="1:16" x14ac:dyDescent="0.25">
      <c r="A103" s="2" t="s">
        <v>180</v>
      </c>
      <c r="B103" s="3">
        <v>46298</v>
      </c>
      <c r="C103" t="s">
        <v>10</v>
      </c>
      <c r="D103" t="s">
        <v>16</v>
      </c>
      <c r="I103" t="str">
        <f t="shared" si="7"/>
        <v/>
      </c>
      <c r="J103" t="str">
        <f t="shared" si="8"/>
        <v/>
      </c>
      <c r="K103" t="str">
        <f t="shared" si="9"/>
        <v/>
      </c>
      <c r="L103" t="str">
        <f t="shared" si="10"/>
        <v/>
      </c>
      <c r="M103" t="str">
        <f t="shared" si="11"/>
        <v/>
      </c>
      <c r="N103" t="str">
        <f t="shared" si="12"/>
        <v/>
      </c>
      <c r="O103" t="str">
        <f t="shared" si="13"/>
        <v/>
      </c>
      <c r="P103">
        <f>COUNTIF(Homematches[Match ID],Homematches[[#This Row],[Match ID]])</f>
        <v>1</v>
      </c>
    </row>
    <row r="104" spans="1:16" x14ac:dyDescent="0.25">
      <c r="A104" s="2" t="s">
        <v>181</v>
      </c>
      <c r="B104" s="3">
        <v>46298</v>
      </c>
      <c r="C104" t="s">
        <v>11</v>
      </c>
      <c r="D104" t="s">
        <v>7</v>
      </c>
      <c r="I104" t="str">
        <f t="shared" si="7"/>
        <v/>
      </c>
      <c r="J104" t="str">
        <f t="shared" si="8"/>
        <v/>
      </c>
      <c r="K104" t="str">
        <f t="shared" si="9"/>
        <v/>
      </c>
      <c r="L104" t="str">
        <f t="shared" si="10"/>
        <v/>
      </c>
      <c r="M104" t="str">
        <f t="shared" si="11"/>
        <v/>
      </c>
      <c r="N104" t="str">
        <f t="shared" si="12"/>
        <v/>
      </c>
      <c r="O104" t="str">
        <f t="shared" si="13"/>
        <v/>
      </c>
      <c r="P104">
        <f>COUNTIF(Homematches[Match ID],Homematches[[#This Row],[Match ID]])</f>
        <v>1</v>
      </c>
    </row>
    <row r="105" spans="1:16" x14ac:dyDescent="0.25">
      <c r="A105" s="2" t="s">
        <v>182</v>
      </c>
      <c r="B105" s="3">
        <v>46298</v>
      </c>
      <c r="C105" t="s">
        <v>14</v>
      </c>
      <c r="D105" t="s">
        <v>20</v>
      </c>
      <c r="I105" t="str">
        <f t="shared" si="7"/>
        <v/>
      </c>
      <c r="J105" t="str">
        <f t="shared" si="8"/>
        <v/>
      </c>
      <c r="K105" t="str">
        <f t="shared" si="9"/>
        <v/>
      </c>
      <c r="L105" t="str">
        <f t="shared" si="10"/>
        <v/>
      </c>
      <c r="M105" t="str">
        <f t="shared" si="11"/>
        <v/>
      </c>
      <c r="N105" t="str">
        <f t="shared" si="12"/>
        <v/>
      </c>
      <c r="O105" t="str">
        <f t="shared" si="13"/>
        <v/>
      </c>
      <c r="P105">
        <f>COUNTIF(Homematches[Match ID],Homematches[[#This Row],[Match ID]])</f>
        <v>1</v>
      </c>
    </row>
    <row r="106" spans="1:16" x14ac:dyDescent="0.25">
      <c r="A106" s="2" t="s">
        <v>183</v>
      </c>
      <c r="B106" s="3">
        <v>46298</v>
      </c>
      <c r="C106" t="s">
        <v>15</v>
      </c>
      <c r="D106" t="s">
        <v>13</v>
      </c>
      <c r="I106" t="str">
        <f t="shared" si="7"/>
        <v/>
      </c>
      <c r="J106" t="str">
        <f t="shared" si="8"/>
        <v/>
      </c>
      <c r="K106" t="str">
        <f t="shared" si="9"/>
        <v/>
      </c>
      <c r="L106" t="str">
        <f t="shared" si="10"/>
        <v/>
      </c>
      <c r="M106" t="str">
        <f t="shared" si="11"/>
        <v/>
      </c>
      <c r="N106" t="str">
        <f t="shared" si="12"/>
        <v/>
      </c>
      <c r="O106" t="str">
        <f t="shared" si="13"/>
        <v/>
      </c>
      <c r="P106">
        <f>COUNTIF(Homematches[Match ID],Homematches[[#This Row],[Match ID]])</f>
        <v>1</v>
      </c>
    </row>
    <row r="107" spans="1:16" x14ac:dyDescent="0.25">
      <c r="A107" s="2" t="s">
        <v>184</v>
      </c>
      <c r="B107" s="3">
        <v>46298</v>
      </c>
      <c r="C107" t="s">
        <v>17</v>
      </c>
      <c r="D107" t="s">
        <v>3</v>
      </c>
      <c r="I107" t="str">
        <f t="shared" si="7"/>
        <v/>
      </c>
      <c r="J107" t="str">
        <f t="shared" si="8"/>
        <v/>
      </c>
      <c r="K107" t="str">
        <f t="shared" si="9"/>
        <v/>
      </c>
      <c r="L107" t="str">
        <f t="shared" si="10"/>
        <v/>
      </c>
      <c r="M107" t="str">
        <f t="shared" si="11"/>
        <v/>
      </c>
      <c r="N107" t="str">
        <f t="shared" si="12"/>
        <v/>
      </c>
      <c r="O107" t="str">
        <f t="shared" si="13"/>
        <v/>
      </c>
      <c r="P107">
        <f>COUNTIF(Homematches[Match ID],Homematches[[#This Row],[Match ID]])</f>
        <v>1</v>
      </c>
    </row>
    <row r="108" spans="1:16" x14ac:dyDescent="0.25">
      <c r="A108" s="2" t="s">
        <v>185</v>
      </c>
      <c r="B108" s="3">
        <v>46298</v>
      </c>
      <c r="C108" t="s">
        <v>18</v>
      </c>
      <c r="D108" t="s">
        <v>6</v>
      </c>
      <c r="I108" t="str">
        <f t="shared" si="7"/>
        <v/>
      </c>
      <c r="J108" t="str">
        <f t="shared" si="8"/>
        <v/>
      </c>
      <c r="K108" t="str">
        <f t="shared" si="9"/>
        <v/>
      </c>
      <c r="L108" t="str">
        <f t="shared" si="10"/>
        <v/>
      </c>
      <c r="M108" t="str">
        <f t="shared" si="11"/>
        <v/>
      </c>
      <c r="N108" t="str">
        <f t="shared" si="12"/>
        <v/>
      </c>
      <c r="O108" t="str">
        <f t="shared" si="13"/>
        <v/>
      </c>
      <c r="P108">
        <f>COUNTIF(Homematches[Match ID],Homematches[[#This Row],[Match ID]])</f>
        <v>1</v>
      </c>
    </row>
    <row r="109" spans="1:16" x14ac:dyDescent="0.25">
      <c r="A109" s="2" t="s">
        <v>186</v>
      </c>
      <c r="B109" s="3">
        <v>46298</v>
      </c>
      <c r="C109" t="s">
        <v>21</v>
      </c>
      <c r="D109" t="s">
        <v>12</v>
      </c>
      <c r="I109" t="str">
        <f t="shared" si="7"/>
        <v/>
      </c>
      <c r="J109" t="str">
        <f t="shared" si="8"/>
        <v/>
      </c>
      <c r="K109" t="str">
        <f t="shared" si="9"/>
        <v/>
      </c>
      <c r="L109" t="str">
        <f t="shared" si="10"/>
        <v/>
      </c>
      <c r="M109" t="str">
        <f t="shared" si="11"/>
        <v/>
      </c>
      <c r="N109" t="str">
        <f t="shared" si="12"/>
        <v/>
      </c>
      <c r="O109" t="str">
        <f t="shared" si="13"/>
        <v/>
      </c>
      <c r="P109">
        <f>COUNTIF(Homematches[Match ID],Homematches[[#This Row],[Match ID]])</f>
        <v>1</v>
      </c>
    </row>
    <row r="110" spans="1:16" x14ac:dyDescent="0.25">
      <c r="A110" s="2" t="s">
        <v>187</v>
      </c>
      <c r="B110" s="3">
        <v>46305</v>
      </c>
      <c r="C110" t="s">
        <v>3</v>
      </c>
      <c r="D110" t="s">
        <v>10</v>
      </c>
      <c r="I110" t="str">
        <f t="shared" si="7"/>
        <v/>
      </c>
      <c r="J110" t="str">
        <f t="shared" si="8"/>
        <v/>
      </c>
      <c r="K110" t="str">
        <f t="shared" si="9"/>
        <v/>
      </c>
      <c r="L110" t="str">
        <f t="shared" si="10"/>
        <v/>
      </c>
      <c r="M110" t="str">
        <f t="shared" si="11"/>
        <v/>
      </c>
      <c r="N110" t="str">
        <f t="shared" si="12"/>
        <v/>
      </c>
      <c r="O110" t="str">
        <f t="shared" si="13"/>
        <v/>
      </c>
      <c r="P110">
        <f>COUNTIF(Homematches[Match ID],Homematches[[#This Row],[Match ID]])</f>
        <v>1</v>
      </c>
    </row>
    <row r="111" spans="1:16" x14ac:dyDescent="0.25">
      <c r="A111" s="2" t="s">
        <v>188</v>
      </c>
      <c r="B111" s="3">
        <v>46305</v>
      </c>
      <c r="C111" t="s">
        <v>6</v>
      </c>
      <c r="D111" t="s">
        <v>2</v>
      </c>
      <c r="I111" t="str">
        <f t="shared" si="7"/>
        <v/>
      </c>
      <c r="J111" t="str">
        <f t="shared" si="8"/>
        <v/>
      </c>
      <c r="K111" t="str">
        <f t="shared" si="9"/>
        <v/>
      </c>
      <c r="L111" t="str">
        <f t="shared" si="10"/>
        <v/>
      </c>
      <c r="M111" t="str">
        <f t="shared" si="11"/>
        <v/>
      </c>
      <c r="N111" t="str">
        <f t="shared" si="12"/>
        <v/>
      </c>
      <c r="O111" t="str">
        <f t="shared" si="13"/>
        <v/>
      </c>
      <c r="P111">
        <f>COUNTIF(Homematches[Match ID],Homematches[[#This Row],[Match ID]])</f>
        <v>1</v>
      </c>
    </row>
    <row r="112" spans="1:16" x14ac:dyDescent="0.25">
      <c r="A112" s="2" t="s">
        <v>189</v>
      </c>
      <c r="B112" s="3">
        <v>46305</v>
      </c>
      <c r="C112" t="s">
        <v>7</v>
      </c>
      <c r="D112" t="s">
        <v>5</v>
      </c>
      <c r="I112" t="str">
        <f t="shared" si="7"/>
        <v/>
      </c>
      <c r="J112" t="str">
        <f t="shared" si="8"/>
        <v/>
      </c>
      <c r="K112" t="str">
        <f t="shared" si="9"/>
        <v/>
      </c>
      <c r="L112" t="str">
        <f t="shared" si="10"/>
        <v/>
      </c>
      <c r="M112" t="str">
        <f t="shared" si="11"/>
        <v/>
      </c>
      <c r="N112" t="str">
        <f t="shared" si="12"/>
        <v/>
      </c>
      <c r="O112" t="str">
        <f t="shared" si="13"/>
        <v/>
      </c>
      <c r="P112">
        <f>COUNTIF(Homematches[Match ID],Homematches[[#This Row],[Match ID]])</f>
        <v>1</v>
      </c>
    </row>
    <row r="113" spans="1:16" x14ac:dyDescent="0.25">
      <c r="A113" s="2" t="s">
        <v>190</v>
      </c>
      <c r="B113" s="3">
        <v>46305</v>
      </c>
      <c r="C113" t="s">
        <v>8</v>
      </c>
      <c r="D113" t="s">
        <v>18</v>
      </c>
      <c r="I113" t="str">
        <f t="shared" si="7"/>
        <v/>
      </c>
      <c r="J113" t="str">
        <f t="shared" si="8"/>
        <v/>
      </c>
      <c r="K113" t="str">
        <f t="shared" si="9"/>
        <v/>
      </c>
      <c r="L113" t="str">
        <f t="shared" si="10"/>
        <v/>
      </c>
      <c r="M113" t="str">
        <f t="shared" si="11"/>
        <v/>
      </c>
      <c r="N113" t="str">
        <f t="shared" si="12"/>
        <v/>
      </c>
      <c r="O113" t="str">
        <f t="shared" si="13"/>
        <v/>
      </c>
      <c r="P113">
        <f>COUNTIF(Homematches[Match ID],Homematches[[#This Row],[Match ID]])</f>
        <v>1</v>
      </c>
    </row>
    <row r="114" spans="1:16" x14ac:dyDescent="0.25">
      <c r="A114" s="2" t="s">
        <v>191</v>
      </c>
      <c r="B114" s="3">
        <v>46305</v>
      </c>
      <c r="C114" t="s">
        <v>9</v>
      </c>
      <c r="D114" t="s">
        <v>15</v>
      </c>
      <c r="I114" t="str">
        <f t="shared" si="7"/>
        <v/>
      </c>
      <c r="J114" t="str">
        <f t="shared" si="8"/>
        <v/>
      </c>
      <c r="K114" t="str">
        <f t="shared" si="9"/>
        <v/>
      </c>
      <c r="L114" t="str">
        <f t="shared" si="10"/>
        <v/>
      </c>
      <c r="M114" t="str">
        <f t="shared" si="11"/>
        <v/>
      </c>
      <c r="N114" t="str">
        <f t="shared" si="12"/>
        <v/>
      </c>
      <c r="O114" t="str">
        <f t="shared" si="13"/>
        <v/>
      </c>
      <c r="P114">
        <f>COUNTIF(Homematches[Match ID],Homematches[[#This Row],[Match ID]])</f>
        <v>1</v>
      </c>
    </row>
    <row r="115" spans="1:16" x14ac:dyDescent="0.25">
      <c r="A115" s="2" t="s">
        <v>192</v>
      </c>
      <c r="B115" s="3">
        <v>46305</v>
      </c>
      <c r="C115" t="s">
        <v>12</v>
      </c>
      <c r="D115" t="s">
        <v>4</v>
      </c>
      <c r="I115" t="str">
        <f t="shared" si="7"/>
        <v/>
      </c>
      <c r="J115" t="str">
        <f t="shared" si="8"/>
        <v/>
      </c>
      <c r="K115" t="str">
        <f t="shared" si="9"/>
        <v/>
      </c>
      <c r="L115" t="str">
        <f t="shared" si="10"/>
        <v/>
      </c>
      <c r="M115" t="str">
        <f t="shared" si="11"/>
        <v/>
      </c>
      <c r="N115" t="str">
        <f t="shared" si="12"/>
        <v/>
      </c>
      <c r="O115" t="str">
        <f t="shared" si="13"/>
        <v/>
      </c>
      <c r="P115">
        <f>COUNTIF(Homematches[Match ID],Homematches[[#This Row],[Match ID]])</f>
        <v>1</v>
      </c>
    </row>
    <row r="116" spans="1:16" x14ac:dyDescent="0.25">
      <c r="A116" s="2" t="s">
        <v>193</v>
      </c>
      <c r="B116" s="3">
        <v>46305</v>
      </c>
      <c r="C116" t="s">
        <v>33</v>
      </c>
      <c r="D116" t="s">
        <v>17</v>
      </c>
      <c r="I116" t="str">
        <f t="shared" si="7"/>
        <v/>
      </c>
      <c r="J116" t="str">
        <f t="shared" si="8"/>
        <v/>
      </c>
      <c r="K116" t="str">
        <f t="shared" si="9"/>
        <v/>
      </c>
      <c r="L116" t="str">
        <f t="shared" si="10"/>
        <v/>
      </c>
      <c r="M116" t="str">
        <f t="shared" si="11"/>
        <v/>
      </c>
      <c r="N116" t="str">
        <f t="shared" si="12"/>
        <v/>
      </c>
      <c r="O116" t="str">
        <f t="shared" si="13"/>
        <v/>
      </c>
      <c r="P116">
        <f>COUNTIF(Homematches[Match ID],Homematches[[#This Row],[Match ID]])</f>
        <v>1</v>
      </c>
    </row>
    <row r="117" spans="1:16" x14ac:dyDescent="0.25">
      <c r="A117" s="2" t="s">
        <v>194</v>
      </c>
      <c r="B117" s="3">
        <v>46305</v>
      </c>
      <c r="C117" t="s">
        <v>13</v>
      </c>
      <c r="D117" t="s">
        <v>14</v>
      </c>
      <c r="I117" t="str">
        <f t="shared" si="7"/>
        <v/>
      </c>
      <c r="J117" t="str">
        <f t="shared" si="8"/>
        <v/>
      </c>
      <c r="K117" t="str">
        <f t="shared" si="9"/>
        <v/>
      </c>
      <c r="L117" t="str">
        <f t="shared" si="10"/>
        <v/>
      </c>
      <c r="M117" t="str">
        <f t="shared" si="11"/>
        <v/>
      </c>
      <c r="N117" t="str">
        <f t="shared" si="12"/>
        <v/>
      </c>
      <c r="O117" t="str">
        <f t="shared" si="13"/>
        <v/>
      </c>
      <c r="P117">
        <f>COUNTIF(Homematches[Match ID],Homematches[[#This Row],[Match ID]])</f>
        <v>1</v>
      </c>
    </row>
    <row r="118" spans="1:16" x14ac:dyDescent="0.25">
      <c r="A118" s="2" t="s">
        <v>195</v>
      </c>
      <c r="B118" s="3">
        <v>46305</v>
      </c>
      <c r="C118" t="s">
        <v>16</v>
      </c>
      <c r="D118" t="s">
        <v>0</v>
      </c>
      <c r="I118" t="str">
        <f t="shared" si="7"/>
        <v/>
      </c>
      <c r="J118" t="str">
        <f t="shared" si="8"/>
        <v/>
      </c>
      <c r="K118" t="str">
        <f t="shared" si="9"/>
        <v/>
      </c>
      <c r="L118" t="str">
        <f t="shared" si="10"/>
        <v/>
      </c>
      <c r="M118" t="str">
        <f t="shared" si="11"/>
        <v/>
      </c>
      <c r="N118" t="str">
        <f t="shared" si="12"/>
        <v/>
      </c>
      <c r="O118" t="str">
        <f t="shared" si="13"/>
        <v/>
      </c>
      <c r="P118">
        <f>COUNTIF(Homematches[Match ID],Homematches[[#This Row],[Match ID]])</f>
        <v>1</v>
      </c>
    </row>
    <row r="119" spans="1:16" x14ac:dyDescent="0.25">
      <c r="A119" s="2" t="s">
        <v>196</v>
      </c>
      <c r="B119" s="3">
        <v>46305</v>
      </c>
      <c r="C119" t="s">
        <v>19</v>
      </c>
      <c r="D119" t="s">
        <v>21</v>
      </c>
      <c r="I119" t="str">
        <f t="shared" si="7"/>
        <v/>
      </c>
      <c r="J119" t="str">
        <f t="shared" si="8"/>
        <v/>
      </c>
      <c r="K119" t="str">
        <f t="shared" si="9"/>
        <v/>
      </c>
      <c r="L119" t="str">
        <f t="shared" si="10"/>
        <v/>
      </c>
      <c r="M119" t="str">
        <f t="shared" si="11"/>
        <v/>
      </c>
      <c r="N119" t="str">
        <f t="shared" si="12"/>
        <v/>
      </c>
      <c r="O119" t="str">
        <f t="shared" si="13"/>
        <v/>
      </c>
      <c r="P119">
        <f>COUNTIF(Homematches[Match ID],Homematches[[#This Row],[Match ID]])</f>
        <v>1</v>
      </c>
    </row>
    <row r="120" spans="1:16" x14ac:dyDescent="0.25">
      <c r="A120" s="2" t="s">
        <v>197</v>
      </c>
      <c r="B120" s="3">
        <v>46305</v>
      </c>
      <c r="C120" t="s">
        <v>20</v>
      </c>
      <c r="D120" t="s">
        <v>1</v>
      </c>
      <c r="I120" t="str">
        <f t="shared" si="7"/>
        <v/>
      </c>
      <c r="J120" t="str">
        <f t="shared" si="8"/>
        <v/>
      </c>
      <c r="K120" t="str">
        <f t="shared" si="9"/>
        <v/>
      </c>
      <c r="L120" t="str">
        <f t="shared" si="10"/>
        <v/>
      </c>
      <c r="M120" t="str">
        <f t="shared" si="11"/>
        <v/>
      </c>
      <c r="N120" t="str">
        <f t="shared" si="12"/>
        <v/>
      </c>
      <c r="O120" t="str">
        <f t="shared" si="13"/>
        <v/>
      </c>
      <c r="P120">
        <f>COUNTIF(Homematches[Match ID],Homematches[[#This Row],[Match ID]])</f>
        <v>1</v>
      </c>
    </row>
    <row r="121" spans="1:16" x14ac:dyDescent="0.25">
      <c r="A121" s="2" t="s">
        <v>198</v>
      </c>
      <c r="B121" s="3">
        <v>46305</v>
      </c>
      <c r="C121" t="s">
        <v>22</v>
      </c>
      <c r="D121" t="s">
        <v>11</v>
      </c>
      <c r="I121" t="str">
        <f t="shared" si="7"/>
        <v/>
      </c>
      <c r="J121" t="str">
        <f t="shared" si="8"/>
        <v/>
      </c>
      <c r="K121" t="str">
        <f t="shared" si="9"/>
        <v/>
      </c>
      <c r="L121" t="str">
        <f t="shared" si="10"/>
        <v/>
      </c>
      <c r="M121" t="str">
        <f t="shared" si="11"/>
        <v/>
      </c>
      <c r="N121" t="str">
        <f t="shared" si="12"/>
        <v/>
      </c>
      <c r="O121" t="str">
        <f t="shared" si="13"/>
        <v/>
      </c>
      <c r="P121">
        <f>COUNTIF(Homematches[Match ID],Homematches[[#This Row],[Match ID]])</f>
        <v>1</v>
      </c>
    </row>
    <row r="122" spans="1:16" x14ac:dyDescent="0.25">
      <c r="A122" s="2" t="s">
        <v>199</v>
      </c>
      <c r="B122" s="3">
        <v>46310</v>
      </c>
      <c r="C122" t="s">
        <v>12</v>
      </c>
      <c r="D122" t="s">
        <v>14</v>
      </c>
      <c r="I122" t="str">
        <f t="shared" si="7"/>
        <v/>
      </c>
      <c r="J122" t="str">
        <f t="shared" si="8"/>
        <v/>
      </c>
      <c r="K122" t="str">
        <f t="shared" si="9"/>
        <v/>
      </c>
      <c r="L122" t="str">
        <f t="shared" si="10"/>
        <v/>
      </c>
      <c r="M122" t="str">
        <f t="shared" si="11"/>
        <v/>
      </c>
      <c r="N122" t="str">
        <f t="shared" si="12"/>
        <v/>
      </c>
      <c r="O122" t="str">
        <f t="shared" si="13"/>
        <v/>
      </c>
      <c r="P122">
        <f>COUNTIF(Homematches[Match ID],Homematches[[#This Row],[Match ID]])</f>
        <v>1</v>
      </c>
    </row>
    <row r="123" spans="1:16" x14ac:dyDescent="0.25">
      <c r="A123" s="2" t="s">
        <v>200</v>
      </c>
      <c r="B123" s="3">
        <v>46312</v>
      </c>
      <c r="C123" t="s">
        <v>1</v>
      </c>
      <c r="D123" t="s">
        <v>6</v>
      </c>
      <c r="I123" t="str">
        <f t="shared" si="7"/>
        <v/>
      </c>
      <c r="J123" t="str">
        <f t="shared" si="8"/>
        <v/>
      </c>
      <c r="K123" t="str">
        <f t="shared" si="9"/>
        <v/>
      </c>
      <c r="L123" t="str">
        <f t="shared" si="10"/>
        <v/>
      </c>
      <c r="M123" t="str">
        <f t="shared" si="11"/>
        <v/>
      </c>
      <c r="N123" t="str">
        <f t="shared" si="12"/>
        <v/>
      </c>
      <c r="O123" t="str">
        <f t="shared" si="13"/>
        <v/>
      </c>
      <c r="P123">
        <f>COUNTIF(Homematches[Match ID],Homematches[[#This Row],[Match ID]])</f>
        <v>1</v>
      </c>
    </row>
    <row r="124" spans="1:16" x14ac:dyDescent="0.25">
      <c r="A124" s="2" t="s">
        <v>201</v>
      </c>
      <c r="B124" s="3">
        <v>46312</v>
      </c>
      <c r="C124" t="s">
        <v>3</v>
      </c>
      <c r="D124" t="s">
        <v>19</v>
      </c>
      <c r="I124" t="str">
        <f t="shared" si="7"/>
        <v/>
      </c>
      <c r="J124" t="str">
        <f t="shared" si="8"/>
        <v/>
      </c>
      <c r="K124" t="str">
        <f t="shared" si="9"/>
        <v/>
      </c>
      <c r="L124" t="str">
        <f t="shared" si="10"/>
        <v/>
      </c>
      <c r="M124" t="str">
        <f t="shared" si="11"/>
        <v/>
      </c>
      <c r="N124" t="str">
        <f t="shared" si="12"/>
        <v/>
      </c>
      <c r="O124" t="str">
        <f t="shared" si="13"/>
        <v/>
      </c>
      <c r="P124">
        <f>COUNTIF(Homematches[Match ID],Homematches[[#This Row],[Match ID]])</f>
        <v>1</v>
      </c>
    </row>
    <row r="125" spans="1:16" x14ac:dyDescent="0.25">
      <c r="A125" s="2" t="s">
        <v>202</v>
      </c>
      <c r="B125" s="3">
        <v>46312</v>
      </c>
      <c r="C125" t="s">
        <v>9</v>
      </c>
      <c r="D125" t="s">
        <v>7</v>
      </c>
      <c r="I125" t="str">
        <f t="shared" si="7"/>
        <v/>
      </c>
      <c r="J125" t="str">
        <f t="shared" si="8"/>
        <v/>
      </c>
      <c r="K125" t="str">
        <f t="shared" si="9"/>
        <v/>
      </c>
      <c r="L125" t="str">
        <f t="shared" si="10"/>
        <v/>
      </c>
      <c r="M125" t="str">
        <f t="shared" si="11"/>
        <v/>
      </c>
      <c r="N125" t="str">
        <f t="shared" si="12"/>
        <v/>
      </c>
      <c r="O125" t="str">
        <f t="shared" si="13"/>
        <v/>
      </c>
      <c r="P125">
        <f>COUNTIF(Homematches[Match ID],Homematches[[#This Row],[Match ID]])</f>
        <v>1</v>
      </c>
    </row>
    <row r="126" spans="1:16" x14ac:dyDescent="0.25">
      <c r="A126" s="2" t="s">
        <v>203</v>
      </c>
      <c r="B126" s="3">
        <v>46312</v>
      </c>
      <c r="C126" t="s">
        <v>10</v>
      </c>
      <c r="D126" t="s">
        <v>2</v>
      </c>
      <c r="I126" t="str">
        <f t="shared" si="7"/>
        <v/>
      </c>
      <c r="J126" t="str">
        <f t="shared" si="8"/>
        <v/>
      </c>
      <c r="K126" t="str">
        <f t="shared" si="9"/>
        <v/>
      </c>
      <c r="L126" t="str">
        <f t="shared" si="10"/>
        <v/>
      </c>
      <c r="M126" t="str">
        <f t="shared" si="11"/>
        <v/>
      </c>
      <c r="N126" t="str">
        <f t="shared" si="12"/>
        <v/>
      </c>
      <c r="O126" t="str">
        <f t="shared" si="13"/>
        <v/>
      </c>
      <c r="P126">
        <f>COUNTIF(Homematches[Match ID],Homematches[[#This Row],[Match ID]])</f>
        <v>1</v>
      </c>
    </row>
    <row r="127" spans="1:16" x14ac:dyDescent="0.25">
      <c r="A127" s="2" t="s">
        <v>204</v>
      </c>
      <c r="B127" s="3">
        <v>46312</v>
      </c>
      <c r="C127" t="s">
        <v>33</v>
      </c>
      <c r="D127" t="s">
        <v>11</v>
      </c>
      <c r="I127" t="str">
        <f t="shared" si="7"/>
        <v/>
      </c>
      <c r="J127" t="str">
        <f t="shared" si="8"/>
        <v/>
      </c>
      <c r="K127" t="str">
        <f t="shared" si="9"/>
        <v/>
      </c>
      <c r="L127" t="str">
        <f t="shared" si="10"/>
        <v/>
      </c>
      <c r="M127" t="str">
        <f t="shared" si="11"/>
        <v/>
      </c>
      <c r="N127" t="str">
        <f t="shared" si="12"/>
        <v/>
      </c>
      <c r="O127" t="str">
        <f t="shared" si="13"/>
        <v/>
      </c>
      <c r="P127">
        <f>COUNTIF(Homematches[Match ID],Homematches[[#This Row],[Match ID]])</f>
        <v>1</v>
      </c>
    </row>
    <row r="128" spans="1:16" x14ac:dyDescent="0.25">
      <c r="A128" s="2" t="s">
        <v>205</v>
      </c>
      <c r="B128" s="3">
        <v>46312</v>
      </c>
      <c r="C128" t="s">
        <v>15</v>
      </c>
      <c r="D128" t="s">
        <v>5</v>
      </c>
      <c r="I128" t="str">
        <f t="shared" si="7"/>
        <v/>
      </c>
      <c r="J128" t="str">
        <f t="shared" si="8"/>
        <v/>
      </c>
      <c r="K128" t="str">
        <f t="shared" si="9"/>
        <v/>
      </c>
      <c r="L128" t="str">
        <f t="shared" si="10"/>
        <v/>
      </c>
      <c r="M128" t="str">
        <f t="shared" si="11"/>
        <v/>
      </c>
      <c r="N128" t="str">
        <f t="shared" si="12"/>
        <v/>
      </c>
      <c r="O128" t="str">
        <f t="shared" si="13"/>
        <v/>
      </c>
      <c r="P128">
        <f>COUNTIF(Homematches[Match ID],Homematches[[#This Row],[Match ID]])</f>
        <v>1</v>
      </c>
    </row>
    <row r="129" spans="1:16" x14ac:dyDescent="0.25">
      <c r="A129" s="2" t="s">
        <v>206</v>
      </c>
      <c r="B129" s="3">
        <v>46312</v>
      </c>
      <c r="C129" t="s">
        <v>16</v>
      </c>
      <c r="D129" t="s">
        <v>8</v>
      </c>
      <c r="I129" t="str">
        <f t="shared" si="7"/>
        <v/>
      </c>
      <c r="J129" t="str">
        <f t="shared" si="8"/>
        <v/>
      </c>
      <c r="K129" t="str">
        <f t="shared" si="9"/>
        <v/>
      </c>
      <c r="L129" t="str">
        <f t="shared" si="10"/>
        <v/>
      </c>
      <c r="M129" t="str">
        <f t="shared" si="11"/>
        <v/>
      </c>
      <c r="N129" t="str">
        <f t="shared" si="12"/>
        <v/>
      </c>
      <c r="O129" t="str">
        <f t="shared" si="13"/>
        <v/>
      </c>
      <c r="P129">
        <f>COUNTIF(Homematches[Match ID],Homematches[[#This Row],[Match ID]])</f>
        <v>1</v>
      </c>
    </row>
    <row r="130" spans="1:16" x14ac:dyDescent="0.25">
      <c r="A130" s="2" t="s">
        <v>207</v>
      </c>
      <c r="B130" s="3">
        <v>46312</v>
      </c>
      <c r="C130" t="s">
        <v>18</v>
      </c>
      <c r="D130" t="s">
        <v>0</v>
      </c>
      <c r="I130" t="str">
        <f t="shared" ref="I130:I193" si="14">IF(E130="","",E130-F130)</f>
        <v/>
      </c>
      <c r="J130" t="str">
        <f t="shared" ref="J130:J193" si="15">IF(G130="","",G130-H130)</f>
        <v/>
      </c>
      <c r="K130" t="str">
        <f t="shared" ref="K130:K193" si="16">IF(E130="","",E130+F130)</f>
        <v/>
      </c>
      <c r="L130" t="str">
        <f t="shared" ref="L130:L193" si="17">IF(G130="","",G130+H130)</f>
        <v/>
      </c>
      <c r="M130" t="str">
        <f t="shared" ref="M130:M193" si="18">IF(G130="","",G130-E130)</f>
        <v/>
      </c>
      <c r="N130" t="str">
        <f t="shared" ref="N130:N193" si="19">IF(H130="","",H130-F130)</f>
        <v/>
      </c>
      <c r="O130" t="str">
        <f t="shared" ref="O130:O193" si="20">IF(G130="","",IF(G130&gt;H130,"Home Win",IF(G130&lt;H130,"Away Win","Draw")))</f>
        <v/>
      </c>
      <c r="P130">
        <f>COUNTIF(Homematches[Match ID],Homematches[[#This Row],[Match ID]])</f>
        <v>1</v>
      </c>
    </row>
    <row r="131" spans="1:16" x14ac:dyDescent="0.25">
      <c r="A131" s="2" t="s">
        <v>208</v>
      </c>
      <c r="B131" s="3">
        <v>46312</v>
      </c>
      <c r="C131" t="s">
        <v>20</v>
      </c>
      <c r="D131" t="s">
        <v>4</v>
      </c>
      <c r="I131" t="str">
        <f t="shared" si="14"/>
        <v/>
      </c>
      <c r="J131" t="str">
        <f t="shared" si="15"/>
        <v/>
      </c>
      <c r="K131" t="str">
        <f t="shared" si="16"/>
        <v/>
      </c>
      <c r="L131" t="str">
        <f t="shared" si="17"/>
        <v/>
      </c>
      <c r="M131" t="str">
        <f t="shared" si="18"/>
        <v/>
      </c>
      <c r="N131" t="str">
        <f t="shared" si="19"/>
        <v/>
      </c>
      <c r="O131" t="str">
        <f t="shared" si="20"/>
        <v/>
      </c>
      <c r="P131">
        <f>COUNTIF(Homematches[Match ID],Homematches[[#This Row],[Match ID]])</f>
        <v>1</v>
      </c>
    </row>
    <row r="132" spans="1:16" x14ac:dyDescent="0.25">
      <c r="A132" s="2" t="s">
        <v>209</v>
      </c>
      <c r="B132" s="3">
        <v>46312</v>
      </c>
      <c r="C132" t="s">
        <v>21</v>
      </c>
      <c r="D132" t="s">
        <v>17</v>
      </c>
      <c r="I132" t="str">
        <f t="shared" si="14"/>
        <v/>
      </c>
      <c r="J132" t="str">
        <f t="shared" si="15"/>
        <v/>
      </c>
      <c r="K132" t="str">
        <f t="shared" si="16"/>
        <v/>
      </c>
      <c r="L132" t="str">
        <f t="shared" si="17"/>
        <v/>
      </c>
      <c r="M132" t="str">
        <f t="shared" si="18"/>
        <v/>
      </c>
      <c r="N132" t="str">
        <f t="shared" si="19"/>
        <v/>
      </c>
      <c r="O132" t="str">
        <f t="shared" si="20"/>
        <v/>
      </c>
      <c r="P132">
        <f>COUNTIF(Homematches[Match ID],Homematches[[#This Row],[Match ID]])</f>
        <v>1</v>
      </c>
    </row>
    <row r="133" spans="1:16" x14ac:dyDescent="0.25">
      <c r="A133" s="2" t="s">
        <v>210</v>
      </c>
      <c r="B133" s="3">
        <v>46312</v>
      </c>
      <c r="C133" t="s">
        <v>22</v>
      </c>
      <c r="D133" t="s">
        <v>13</v>
      </c>
      <c r="I133" t="str">
        <f t="shared" si="14"/>
        <v/>
      </c>
      <c r="J133" t="str">
        <f t="shared" si="15"/>
        <v/>
      </c>
      <c r="K133" t="str">
        <f t="shared" si="16"/>
        <v/>
      </c>
      <c r="L133" t="str">
        <f t="shared" si="17"/>
        <v/>
      </c>
      <c r="M133" t="str">
        <f t="shared" si="18"/>
        <v/>
      </c>
      <c r="N133" t="str">
        <f t="shared" si="19"/>
        <v/>
      </c>
      <c r="O133" t="str">
        <f t="shared" si="20"/>
        <v/>
      </c>
      <c r="P133">
        <f>COUNTIF(Homematches[Match ID],Homematches[[#This Row],[Match ID]])</f>
        <v>1</v>
      </c>
    </row>
    <row r="134" spans="1:16" x14ac:dyDescent="0.25">
      <c r="A134" s="2" t="s">
        <v>211</v>
      </c>
      <c r="B134" s="3">
        <v>46315</v>
      </c>
      <c r="C134" t="s">
        <v>0</v>
      </c>
      <c r="D134" t="s">
        <v>12</v>
      </c>
      <c r="I134" t="str">
        <f t="shared" si="14"/>
        <v/>
      </c>
      <c r="J134" t="str">
        <f t="shared" si="15"/>
        <v/>
      </c>
      <c r="K134" t="str">
        <f t="shared" si="16"/>
        <v/>
      </c>
      <c r="L134" t="str">
        <f t="shared" si="17"/>
        <v/>
      </c>
      <c r="M134" t="str">
        <f t="shared" si="18"/>
        <v/>
      </c>
      <c r="N134" t="str">
        <f t="shared" si="19"/>
        <v/>
      </c>
      <c r="O134" t="str">
        <f t="shared" si="20"/>
        <v/>
      </c>
      <c r="P134">
        <f>COUNTIF(Homematches[Match ID],Homematches[[#This Row],[Match ID]])</f>
        <v>1</v>
      </c>
    </row>
    <row r="135" spans="1:16" x14ac:dyDescent="0.25">
      <c r="A135" s="2" t="s">
        <v>212</v>
      </c>
      <c r="B135" s="3">
        <v>46315</v>
      </c>
      <c r="C135" t="s">
        <v>2</v>
      </c>
      <c r="D135" t="s">
        <v>33</v>
      </c>
      <c r="I135" t="str">
        <f t="shared" si="14"/>
        <v/>
      </c>
      <c r="J135" t="str">
        <f t="shared" si="15"/>
        <v/>
      </c>
      <c r="K135" t="str">
        <f t="shared" si="16"/>
        <v/>
      </c>
      <c r="L135" t="str">
        <f t="shared" si="17"/>
        <v/>
      </c>
      <c r="M135" t="str">
        <f t="shared" si="18"/>
        <v/>
      </c>
      <c r="N135" t="str">
        <f t="shared" si="19"/>
        <v/>
      </c>
      <c r="O135" t="str">
        <f t="shared" si="20"/>
        <v/>
      </c>
      <c r="P135">
        <f>COUNTIF(Homematches[Match ID],Homematches[[#This Row],[Match ID]])</f>
        <v>1</v>
      </c>
    </row>
    <row r="136" spans="1:16" x14ac:dyDescent="0.25">
      <c r="A136" s="2" t="s">
        <v>213</v>
      </c>
      <c r="B136" s="3">
        <v>46315</v>
      </c>
      <c r="C136" t="s">
        <v>4</v>
      </c>
      <c r="D136" t="s">
        <v>9</v>
      </c>
      <c r="I136" t="str">
        <f t="shared" si="14"/>
        <v/>
      </c>
      <c r="J136" t="str">
        <f t="shared" si="15"/>
        <v/>
      </c>
      <c r="K136" t="str">
        <f t="shared" si="16"/>
        <v/>
      </c>
      <c r="L136" t="str">
        <f t="shared" si="17"/>
        <v/>
      </c>
      <c r="M136" t="str">
        <f t="shared" si="18"/>
        <v/>
      </c>
      <c r="N136" t="str">
        <f t="shared" si="19"/>
        <v/>
      </c>
      <c r="O136" t="str">
        <f t="shared" si="20"/>
        <v/>
      </c>
      <c r="P136">
        <f>COUNTIF(Homematches[Match ID],Homematches[[#This Row],[Match ID]])</f>
        <v>1</v>
      </c>
    </row>
    <row r="137" spans="1:16" x14ac:dyDescent="0.25">
      <c r="A137" s="2" t="s">
        <v>214</v>
      </c>
      <c r="B137" s="3">
        <v>46315</v>
      </c>
      <c r="C137" t="s">
        <v>5</v>
      </c>
      <c r="D137" t="s">
        <v>3</v>
      </c>
      <c r="I137" t="str">
        <f t="shared" si="14"/>
        <v/>
      </c>
      <c r="J137" t="str">
        <f t="shared" si="15"/>
        <v/>
      </c>
      <c r="K137" t="str">
        <f t="shared" si="16"/>
        <v/>
      </c>
      <c r="L137" t="str">
        <f t="shared" si="17"/>
        <v/>
      </c>
      <c r="M137" t="str">
        <f t="shared" si="18"/>
        <v/>
      </c>
      <c r="N137" t="str">
        <f t="shared" si="19"/>
        <v/>
      </c>
      <c r="O137" t="str">
        <f t="shared" si="20"/>
        <v/>
      </c>
      <c r="P137">
        <f>COUNTIF(Homematches[Match ID],Homematches[[#This Row],[Match ID]])</f>
        <v>1</v>
      </c>
    </row>
    <row r="138" spans="1:16" x14ac:dyDescent="0.25">
      <c r="A138" s="2" t="s">
        <v>215</v>
      </c>
      <c r="B138" s="3">
        <v>46315</v>
      </c>
      <c r="C138" t="s">
        <v>6</v>
      </c>
      <c r="D138" t="s">
        <v>22</v>
      </c>
      <c r="I138" t="str">
        <f t="shared" si="14"/>
        <v/>
      </c>
      <c r="J138" t="str">
        <f t="shared" si="15"/>
        <v/>
      </c>
      <c r="K138" t="str">
        <f t="shared" si="16"/>
        <v/>
      </c>
      <c r="L138" t="str">
        <f t="shared" si="17"/>
        <v/>
      </c>
      <c r="M138" t="str">
        <f t="shared" si="18"/>
        <v/>
      </c>
      <c r="N138" t="str">
        <f t="shared" si="19"/>
        <v/>
      </c>
      <c r="O138" t="str">
        <f t="shared" si="20"/>
        <v/>
      </c>
      <c r="P138">
        <f>COUNTIF(Homematches[Match ID],Homematches[[#This Row],[Match ID]])</f>
        <v>1</v>
      </c>
    </row>
    <row r="139" spans="1:16" x14ac:dyDescent="0.25">
      <c r="A139" s="2" t="s">
        <v>216</v>
      </c>
      <c r="B139" s="3">
        <v>46315</v>
      </c>
      <c r="C139" t="s">
        <v>7</v>
      </c>
      <c r="D139" t="s">
        <v>20</v>
      </c>
      <c r="I139" t="str">
        <f t="shared" si="14"/>
        <v/>
      </c>
      <c r="J139" t="str">
        <f t="shared" si="15"/>
        <v/>
      </c>
      <c r="K139" t="str">
        <f t="shared" si="16"/>
        <v/>
      </c>
      <c r="L139" t="str">
        <f t="shared" si="17"/>
        <v/>
      </c>
      <c r="M139" t="str">
        <f t="shared" si="18"/>
        <v/>
      </c>
      <c r="N139" t="str">
        <f t="shared" si="19"/>
        <v/>
      </c>
      <c r="O139" t="str">
        <f t="shared" si="20"/>
        <v/>
      </c>
      <c r="P139">
        <f>COUNTIF(Homematches[Match ID],Homematches[[#This Row],[Match ID]])</f>
        <v>1</v>
      </c>
    </row>
    <row r="140" spans="1:16" x14ac:dyDescent="0.25">
      <c r="A140" s="2" t="s">
        <v>217</v>
      </c>
      <c r="B140" s="3">
        <v>46315</v>
      </c>
      <c r="C140" t="s">
        <v>8</v>
      </c>
      <c r="D140" t="s">
        <v>15</v>
      </c>
      <c r="I140" t="str">
        <f t="shared" si="14"/>
        <v/>
      </c>
      <c r="J140" t="str">
        <f t="shared" si="15"/>
        <v/>
      </c>
      <c r="K140" t="str">
        <f t="shared" si="16"/>
        <v/>
      </c>
      <c r="L140" t="str">
        <f t="shared" si="17"/>
        <v/>
      </c>
      <c r="M140" t="str">
        <f t="shared" si="18"/>
        <v/>
      </c>
      <c r="N140" t="str">
        <f t="shared" si="19"/>
        <v/>
      </c>
      <c r="O140" t="str">
        <f t="shared" si="20"/>
        <v/>
      </c>
      <c r="P140">
        <f>COUNTIF(Homematches[Match ID],Homematches[[#This Row],[Match ID]])</f>
        <v>1</v>
      </c>
    </row>
    <row r="141" spans="1:16" x14ac:dyDescent="0.25">
      <c r="A141" s="2" t="s">
        <v>218</v>
      </c>
      <c r="B141" s="3">
        <v>46315</v>
      </c>
      <c r="C141" t="s">
        <v>11</v>
      </c>
      <c r="D141" t="s">
        <v>1</v>
      </c>
      <c r="I141" t="str">
        <f t="shared" si="14"/>
        <v/>
      </c>
      <c r="J141" t="str">
        <f t="shared" si="15"/>
        <v/>
      </c>
      <c r="K141" t="str">
        <f t="shared" si="16"/>
        <v/>
      </c>
      <c r="L141" t="str">
        <f t="shared" si="17"/>
        <v/>
      </c>
      <c r="M141" t="str">
        <f t="shared" si="18"/>
        <v/>
      </c>
      <c r="N141" t="str">
        <f t="shared" si="19"/>
        <v/>
      </c>
      <c r="O141" t="str">
        <f t="shared" si="20"/>
        <v/>
      </c>
      <c r="P141">
        <f>COUNTIF(Homematches[Match ID],Homematches[[#This Row],[Match ID]])</f>
        <v>1</v>
      </c>
    </row>
    <row r="142" spans="1:16" x14ac:dyDescent="0.25">
      <c r="A142" s="2" t="s">
        <v>219</v>
      </c>
      <c r="B142" s="3">
        <v>46315</v>
      </c>
      <c r="C142" t="s">
        <v>13</v>
      </c>
      <c r="D142" t="s">
        <v>18</v>
      </c>
      <c r="I142" t="str">
        <f t="shared" si="14"/>
        <v/>
      </c>
      <c r="J142" t="str">
        <f t="shared" si="15"/>
        <v/>
      </c>
      <c r="K142" t="str">
        <f t="shared" si="16"/>
        <v/>
      </c>
      <c r="L142" t="str">
        <f t="shared" si="17"/>
        <v/>
      </c>
      <c r="M142" t="str">
        <f t="shared" si="18"/>
        <v/>
      </c>
      <c r="N142" t="str">
        <f t="shared" si="19"/>
        <v/>
      </c>
      <c r="O142" t="str">
        <f t="shared" si="20"/>
        <v/>
      </c>
      <c r="P142">
        <f>COUNTIF(Homematches[Match ID],Homematches[[#This Row],[Match ID]])</f>
        <v>1</v>
      </c>
    </row>
    <row r="143" spans="1:16" x14ac:dyDescent="0.25">
      <c r="A143" s="2" t="s">
        <v>220</v>
      </c>
      <c r="B143" s="3">
        <v>46315</v>
      </c>
      <c r="C143" t="s">
        <v>14</v>
      </c>
      <c r="D143" t="s">
        <v>21</v>
      </c>
      <c r="I143" t="str">
        <f t="shared" si="14"/>
        <v/>
      </c>
      <c r="J143" t="str">
        <f t="shared" si="15"/>
        <v/>
      </c>
      <c r="K143" t="str">
        <f t="shared" si="16"/>
        <v/>
      </c>
      <c r="L143" t="str">
        <f t="shared" si="17"/>
        <v/>
      </c>
      <c r="M143" t="str">
        <f t="shared" si="18"/>
        <v/>
      </c>
      <c r="N143" t="str">
        <f t="shared" si="19"/>
        <v/>
      </c>
      <c r="O143" t="str">
        <f t="shared" si="20"/>
        <v/>
      </c>
      <c r="P143">
        <f>COUNTIF(Homematches[Match ID],Homematches[[#This Row],[Match ID]])</f>
        <v>1</v>
      </c>
    </row>
    <row r="144" spans="1:16" x14ac:dyDescent="0.25">
      <c r="A144" s="2" t="s">
        <v>221</v>
      </c>
      <c r="B144" s="3">
        <v>46315</v>
      </c>
      <c r="C144" t="s">
        <v>19</v>
      </c>
      <c r="D144" t="s">
        <v>16</v>
      </c>
      <c r="I144" t="str">
        <f t="shared" si="14"/>
        <v/>
      </c>
      <c r="J144" t="str">
        <f t="shared" si="15"/>
        <v/>
      </c>
      <c r="K144" t="str">
        <f t="shared" si="16"/>
        <v/>
      </c>
      <c r="L144" t="str">
        <f t="shared" si="17"/>
        <v/>
      </c>
      <c r="M144" t="str">
        <f t="shared" si="18"/>
        <v/>
      </c>
      <c r="N144" t="str">
        <f t="shared" si="19"/>
        <v/>
      </c>
      <c r="O144" t="str">
        <f t="shared" si="20"/>
        <v/>
      </c>
      <c r="P144">
        <f>COUNTIF(Homematches[Match ID],Homematches[[#This Row],[Match ID]])</f>
        <v>1</v>
      </c>
    </row>
    <row r="145" spans="1:16" x14ac:dyDescent="0.25">
      <c r="A145" s="2" t="s">
        <v>222</v>
      </c>
      <c r="B145" s="3">
        <v>46316</v>
      </c>
      <c r="C145" t="s">
        <v>17</v>
      </c>
      <c r="D145" t="s">
        <v>10</v>
      </c>
      <c r="I145" t="str">
        <f t="shared" si="14"/>
        <v/>
      </c>
      <c r="J145" t="str">
        <f t="shared" si="15"/>
        <v/>
      </c>
      <c r="K145" t="str">
        <f t="shared" si="16"/>
        <v/>
      </c>
      <c r="L145" t="str">
        <f t="shared" si="17"/>
        <v/>
      </c>
      <c r="M145" t="str">
        <f t="shared" si="18"/>
        <v/>
      </c>
      <c r="N145" t="str">
        <f t="shared" si="19"/>
        <v/>
      </c>
      <c r="O145" t="str">
        <f t="shared" si="20"/>
        <v/>
      </c>
      <c r="P145">
        <f>COUNTIF(Homematches[Match ID],Homematches[[#This Row],[Match ID]])</f>
        <v>1</v>
      </c>
    </row>
    <row r="146" spans="1:16" x14ac:dyDescent="0.25">
      <c r="A146" s="2" t="s">
        <v>223</v>
      </c>
      <c r="B146" s="3">
        <v>46319</v>
      </c>
      <c r="C146" t="s">
        <v>0</v>
      </c>
      <c r="D146" t="s">
        <v>22</v>
      </c>
      <c r="I146" t="str">
        <f t="shared" si="14"/>
        <v/>
      </c>
      <c r="J146" t="str">
        <f t="shared" si="15"/>
        <v/>
      </c>
      <c r="K146" t="str">
        <f t="shared" si="16"/>
        <v/>
      </c>
      <c r="L146" t="str">
        <f t="shared" si="17"/>
        <v/>
      </c>
      <c r="M146" t="str">
        <f t="shared" si="18"/>
        <v/>
      </c>
      <c r="N146" t="str">
        <f t="shared" si="19"/>
        <v/>
      </c>
      <c r="O146" t="str">
        <f t="shared" si="20"/>
        <v/>
      </c>
      <c r="P146">
        <f>COUNTIF(Homematches[Match ID],Homematches[[#This Row],[Match ID]])</f>
        <v>1</v>
      </c>
    </row>
    <row r="147" spans="1:16" x14ac:dyDescent="0.25">
      <c r="A147" s="2" t="s">
        <v>224</v>
      </c>
      <c r="B147" s="3">
        <v>46319</v>
      </c>
      <c r="C147" t="s">
        <v>2</v>
      </c>
      <c r="D147" t="s">
        <v>12</v>
      </c>
      <c r="I147" t="str">
        <f t="shared" si="14"/>
        <v/>
      </c>
      <c r="J147" t="str">
        <f t="shared" si="15"/>
        <v/>
      </c>
      <c r="K147" t="str">
        <f t="shared" si="16"/>
        <v/>
      </c>
      <c r="L147" t="str">
        <f t="shared" si="17"/>
        <v/>
      </c>
      <c r="M147" t="str">
        <f t="shared" si="18"/>
        <v/>
      </c>
      <c r="N147" t="str">
        <f t="shared" si="19"/>
        <v/>
      </c>
      <c r="O147" t="str">
        <f t="shared" si="20"/>
        <v/>
      </c>
      <c r="P147">
        <f>COUNTIF(Homematches[Match ID],Homematches[[#This Row],[Match ID]])</f>
        <v>1</v>
      </c>
    </row>
    <row r="148" spans="1:16" x14ac:dyDescent="0.25">
      <c r="A148" s="2" t="s">
        <v>225</v>
      </c>
      <c r="B148" s="3">
        <v>46319</v>
      </c>
      <c r="C148" t="s">
        <v>4</v>
      </c>
      <c r="D148" t="s">
        <v>15</v>
      </c>
      <c r="I148" t="str">
        <f t="shared" si="14"/>
        <v/>
      </c>
      <c r="J148" t="str">
        <f t="shared" si="15"/>
        <v/>
      </c>
      <c r="K148" t="str">
        <f t="shared" si="16"/>
        <v/>
      </c>
      <c r="L148" t="str">
        <f t="shared" si="17"/>
        <v/>
      </c>
      <c r="M148" t="str">
        <f t="shared" si="18"/>
        <v/>
      </c>
      <c r="N148" t="str">
        <f t="shared" si="19"/>
        <v/>
      </c>
      <c r="O148" t="str">
        <f t="shared" si="20"/>
        <v/>
      </c>
      <c r="P148">
        <f>COUNTIF(Homematches[Match ID],Homematches[[#This Row],[Match ID]])</f>
        <v>1</v>
      </c>
    </row>
    <row r="149" spans="1:16" x14ac:dyDescent="0.25">
      <c r="A149" s="2" t="s">
        <v>226</v>
      </c>
      <c r="B149" s="3">
        <v>46319</v>
      </c>
      <c r="C149" t="s">
        <v>5</v>
      </c>
      <c r="D149" t="s">
        <v>10</v>
      </c>
      <c r="I149" t="str">
        <f t="shared" si="14"/>
        <v/>
      </c>
      <c r="J149" t="str">
        <f t="shared" si="15"/>
        <v/>
      </c>
      <c r="K149" t="str">
        <f t="shared" si="16"/>
        <v/>
      </c>
      <c r="L149" t="str">
        <f t="shared" si="17"/>
        <v/>
      </c>
      <c r="M149" t="str">
        <f t="shared" si="18"/>
        <v/>
      </c>
      <c r="N149" t="str">
        <f t="shared" si="19"/>
        <v/>
      </c>
      <c r="O149" t="str">
        <f t="shared" si="20"/>
        <v/>
      </c>
      <c r="P149">
        <f>COUNTIF(Homematches[Match ID],Homematches[[#This Row],[Match ID]])</f>
        <v>1</v>
      </c>
    </row>
    <row r="150" spans="1:16" x14ac:dyDescent="0.25">
      <c r="A150" s="2" t="s">
        <v>227</v>
      </c>
      <c r="B150" s="3">
        <v>46319</v>
      </c>
      <c r="C150" t="s">
        <v>6</v>
      </c>
      <c r="D150" t="s">
        <v>16</v>
      </c>
      <c r="I150" t="str">
        <f t="shared" si="14"/>
        <v/>
      </c>
      <c r="J150" t="str">
        <f t="shared" si="15"/>
        <v/>
      </c>
      <c r="K150" t="str">
        <f t="shared" si="16"/>
        <v/>
      </c>
      <c r="L150" t="str">
        <f t="shared" si="17"/>
        <v/>
      </c>
      <c r="M150" t="str">
        <f t="shared" si="18"/>
        <v/>
      </c>
      <c r="N150" t="str">
        <f t="shared" si="19"/>
        <v/>
      </c>
      <c r="O150" t="str">
        <f t="shared" si="20"/>
        <v/>
      </c>
      <c r="P150">
        <f>COUNTIF(Homematches[Match ID],Homematches[[#This Row],[Match ID]])</f>
        <v>1</v>
      </c>
    </row>
    <row r="151" spans="1:16" x14ac:dyDescent="0.25">
      <c r="A151" s="2" t="s">
        <v>228</v>
      </c>
      <c r="B151" s="3">
        <v>46319</v>
      </c>
      <c r="C151" t="s">
        <v>7</v>
      </c>
      <c r="D151" t="s">
        <v>18</v>
      </c>
      <c r="I151" t="str">
        <f t="shared" si="14"/>
        <v/>
      </c>
      <c r="J151" t="str">
        <f t="shared" si="15"/>
        <v/>
      </c>
      <c r="K151" t="str">
        <f t="shared" si="16"/>
        <v/>
      </c>
      <c r="L151" t="str">
        <f t="shared" si="17"/>
        <v/>
      </c>
      <c r="M151" t="str">
        <f t="shared" si="18"/>
        <v/>
      </c>
      <c r="N151" t="str">
        <f t="shared" si="19"/>
        <v/>
      </c>
      <c r="O151" t="str">
        <f t="shared" si="20"/>
        <v/>
      </c>
      <c r="P151">
        <f>COUNTIF(Homematches[Match ID],Homematches[[#This Row],[Match ID]])</f>
        <v>1</v>
      </c>
    </row>
    <row r="152" spans="1:16" x14ac:dyDescent="0.25">
      <c r="A152" s="2" t="s">
        <v>229</v>
      </c>
      <c r="B152" s="3">
        <v>46319</v>
      </c>
      <c r="C152" t="s">
        <v>8</v>
      </c>
      <c r="D152" t="s">
        <v>21</v>
      </c>
      <c r="I152" t="str">
        <f t="shared" si="14"/>
        <v/>
      </c>
      <c r="J152" t="str">
        <f t="shared" si="15"/>
        <v/>
      </c>
      <c r="K152" t="str">
        <f t="shared" si="16"/>
        <v/>
      </c>
      <c r="L152" t="str">
        <f t="shared" si="17"/>
        <v/>
      </c>
      <c r="M152" t="str">
        <f t="shared" si="18"/>
        <v/>
      </c>
      <c r="N152" t="str">
        <f t="shared" si="19"/>
        <v/>
      </c>
      <c r="O152" t="str">
        <f t="shared" si="20"/>
        <v/>
      </c>
      <c r="P152">
        <f>COUNTIF(Homematches[Match ID],Homematches[[#This Row],[Match ID]])</f>
        <v>1</v>
      </c>
    </row>
    <row r="153" spans="1:16" x14ac:dyDescent="0.25">
      <c r="A153" s="2" t="s">
        <v>230</v>
      </c>
      <c r="B153" s="3">
        <v>46319</v>
      </c>
      <c r="C153" t="s">
        <v>11</v>
      </c>
      <c r="D153" t="s">
        <v>9</v>
      </c>
      <c r="I153" t="str">
        <f t="shared" si="14"/>
        <v/>
      </c>
      <c r="J153" t="str">
        <f t="shared" si="15"/>
        <v/>
      </c>
      <c r="K153" t="str">
        <f t="shared" si="16"/>
        <v/>
      </c>
      <c r="L153" t="str">
        <f t="shared" si="17"/>
        <v/>
      </c>
      <c r="M153" t="str">
        <f t="shared" si="18"/>
        <v/>
      </c>
      <c r="N153" t="str">
        <f t="shared" si="19"/>
        <v/>
      </c>
      <c r="O153" t="str">
        <f t="shared" si="20"/>
        <v/>
      </c>
      <c r="P153">
        <f>COUNTIF(Homematches[Match ID],Homematches[[#This Row],[Match ID]])</f>
        <v>1</v>
      </c>
    </row>
    <row r="154" spans="1:16" x14ac:dyDescent="0.25">
      <c r="A154" s="2" t="s">
        <v>231</v>
      </c>
      <c r="B154" s="3">
        <v>46319</v>
      </c>
      <c r="C154" t="s">
        <v>13</v>
      </c>
      <c r="D154" t="s">
        <v>20</v>
      </c>
      <c r="I154" t="str">
        <f t="shared" si="14"/>
        <v/>
      </c>
      <c r="J154" t="str">
        <f t="shared" si="15"/>
        <v/>
      </c>
      <c r="K154" t="str">
        <f t="shared" si="16"/>
        <v/>
      </c>
      <c r="L154" t="str">
        <f t="shared" si="17"/>
        <v/>
      </c>
      <c r="M154" t="str">
        <f t="shared" si="18"/>
        <v/>
      </c>
      <c r="N154" t="str">
        <f t="shared" si="19"/>
        <v/>
      </c>
      <c r="O154" t="str">
        <f t="shared" si="20"/>
        <v/>
      </c>
      <c r="P154">
        <f>COUNTIF(Homematches[Match ID],Homematches[[#This Row],[Match ID]])</f>
        <v>1</v>
      </c>
    </row>
    <row r="155" spans="1:16" x14ac:dyDescent="0.25">
      <c r="A155" s="2" t="s">
        <v>232</v>
      </c>
      <c r="B155" s="3">
        <v>46319</v>
      </c>
      <c r="C155" t="s">
        <v>14</v>
      </c>
      <c r="D155" t="s">
        <v>3</v>
      </c>
      <c r="I155" t="str">
        <f t="shared" si="14"/>
        <v/>
      </c>
      <c r="J155" t="str">
        <f t="shared" si="15"/>
        <v/>
      </c>
      <c r="K155" t="str">
        <f t="shared" si="16"/>
        <v/>
      </c>
      <c r="L155" t="str">
        <f t="shared" si="17"/>
        <v/>
      </c>
      <c r="M155" t="str">
        <f t="shared" si="18"/>
        <v/>
      </c>
      <c r="N155" t="str">
        <f t="shared" si="19"/>
        <v/>
      </c>
      <c r="O155" t="str">
        <f t="shared" si="20"/>
        <v/>
      </c>
      <c r="P155">
        <f>COUNTIF(Homematches[Match ID],Homematches[[#This Row],[Match ID]])</f>
        <v>1</v>
      </c>
    </row>
    <row r="156" spans="1:16" x14ac:dyDescent="0.25">
      <c r="A156" s="2" t="s">
        <v>233</v>
      </c>
      <c r="B156" s="3">
        <v>46319</v>
      </c>
      <c r="C156" t="s">
        <v>17</v>
      </c>
      <c r="D156" t="s">
        <v>1</v>
      </c>
      <c r="I156" t="str">
        <f t="shared" si="14"/>
        <v/>
      </c>
      <c r="J156" t="str">
        <f t="shared" si="15"/>
        <v/>
      </c>
      <c r="K156" t="str">
        <f t="shared" si="16"/>
        <v/>
      </c>
      <c r="L156" t="str">
        <f t="shared" si="17"/>
        <v/>
      </c>
      <c r="M156" t="str">
        <f t="shared" si="18"/>
        <v/>
      </c>
      <c r="N156" t="str">
        <f t="shared" si="19"/>
        <v/>
      </c>
      <c r="O156" t="str">
        <f t="shared" si="20"/>
        <v/>
      </c>
      <c r="P156">
        <f>COUNTIF(Homematches[Match ID],Homematches[[#This Row],[Match ID]])</f>
        <v>1</v>
      </c>
    </row>
    <row r="157" spans="1:16" x14ac:dyDescent="0.25">
      <c r="A157" s="2" t="s">
        <v>234</v>
      </c>
      <c r="B157" s="3">
        <v>46319</v>
      </c>
      <c r="C157" t="s">
        <v>19</v>
      </c>
      <c r="D157" t="s">
        <v>33</v>
      </c>
      <c r="I157" t="str">
        <f t="shared" si="14"/>
        <v/>
      </c>
      <c r="J157" t="str">
        <f t="shared" si="15"/>
        <v/>
      </c>
      <c r="K157" t="str">
        <f t="shared" si="16"/>
        <v/>
      </c>
      <c r="L157" t="str">
        <f t="shared" si="17"/>
        <v/>
      </c>
      <c r="M157" t="str">
        <f t="shared" si="18"/>
        <v/>
      </c>
      <c r="N157" t="str">
        <f t="shared" si="19"/>
        <v/>
      </c>
      <c r="O157" t="str">
        <f t="shared" si="20"/>
        <v/>
      </c>
      <c r="P157">
        <f>COUNTIF(Homematches[Match ID],Homematches[[#This Row],[Match ID]])</f>
        <v>1</v>
      </c>
    </row>
    <row r="158" spans="1:16" x14ac:dyDescent="0.25">
      <c r="A158" s="2" t="s">
        <v>235</v>
      </c>
      <c r="B158" s="3">
        <v>46326</v>
      </c>
      <c r="C158" t="s">
        <v>1</v>
      </c>
      <c r="D158" t="s">
        <v>14</v>
      </c>
      <c r="I158" t="str">
        <f t="shared" si="14"/>
        <v/>
      </c>
      <c r="J158" t="str">
        <f t="shared" si="15"/>
        <v/>
      </c>
      <c r="K158" t="str">
        <f t="shared" si="16"/>
        <v/>
      </c>
      <c r="L158" t="str">
        <f t="shared" si="17"/>
        <v/>
      </c>
      <c r="M158" t="str">
        <f t="shared" si="18"/>
        <v/>
      </c>
      <c r="N158" t="str">
        <f t="shared" si="19"/>
        <v/>
      </c>
      <c r="O158" t="str">
        <f t="shared" si="20"/>
        <v/>
      </c>
      <c r="P158">
        <f>COUNTIF(Homematches[Match ID],Homematches[[#This Row],[Match ID]])</f>
        <v>1</v>
      </c>
    </row>
    <row r="159" spans="1:16" x14ac:dyDescent="0.25">
      <c r="A159" s="2" t="s">
        <v>236</v>
      </c>
      <c r="B159" s="3">
        <v>46326</v>
      </c>
      <c r="C159" t="s">
        <v>3</v>
      </c>
      <c r="D159" t="s">
        <v>8</v>
      </c>
      <c r="I159" t="str">
        <f t="shared" si="14"/>
        <v/>
      </c>
      <c r="J159" t="str">
        <f t="shared" si="15"/>
        <v/>
      </c>
      <c r="K159" t="str">
        <f t="shared" si="16"/>
        <v/>
      </c>
      <c r="L159" t="str">
        <f t="shared" si="17"/>
        <v/>
      </c>
      <c r="M159" t="str">
        <f t="shared" si="18"/>
        <v/>
      </c>
      <c r="N159" t="str">
        <f t="shared" si="19"/>
        <v/>
      </c>
      <c r="O159" t="str">
        <f t="shared" si="20"/>
        <v/>
      </c>
      <c r="P159">
        <f>COUNTIF(Homematches[Match ID],Homematches[[#This Row],[Match ID]])</f>
        <v>1</v>
      </c>
    </row>
    <row r="160" spans="1:16" x14ac:dyDescent="0.25">
      <c r="A160" s="2" t="s">
        <v>237</v>
      </c>
      <c r="B160" s="3">
        <v>46326</v>
      </c>
      <c r="C160" t="s">
        <v>9</v>
      </c>
      <c r="D160" t="s">
        <v>19</v>
      </c>
      <c r="I160" t="str">
        <f t="shared" si="14"/>
        <v/>
      </c>
      <c r="J160" t="str">
        <f t="shared" si="15"/>
        <v/>
      </c>
      <c r="K160" t="str">
        <f t="shared" si="16"/>
        <v/>
      </c>
      <c r="L160" t="str">
        <f t="shared" si="17"/>
        <v/>
      </c>
      <c r="M160" t="str">
        <f t="shared" si="18"/>
        <v/>
      </c>
      <c r="N160" t="str">
        <f t="shared" si="19"/>
        <v/>
      </c>
      <c r="O160" t="str">
        <f t="shared" si="20"/>
        <v/>
      </c>
      <c r="P160">
        <f>COUNTIF(Homematches[Match ID],Homematches[[#This Row],[Match ID]])</f>
        <v>1</v>
      </c>
    </row>
    <row r="161" spans="1:16" x14ac:dyDescent="0.25">
      <c r="A161" s="2" t="s">
        <v>238</v>
      </c>
      <c r="B161" s="3">
        <v>46326</v>
      </c>
      <c r="C161" t="s">
        <v>10</v>
      </c>
      <c r="D161" t="s">
        <v>6</v>
      </c>
      <c r="I161" t="str">
        <f t="shared" si="14"/>
        <v/>
      </c>
      <c r="J161" t="str">
        <f t="shared" si="15"/>
        <v/>
      </c>
      <c r="K161" t="str">
        <f t="shared" si="16"/>
        <v/>
      </c>
      <c r="L161" t="str">
        <f t="shared" si="17"/>
        <v/>
      </c>
      <c r="M161" t="str">
        <f t="shared" si="18"/>
        <v/>
      </c>
      <c r="N161" t="str">
        <f t="shared" si="19"/>
        <v/>
      </c>
      <c r="O161" t="str">
        <f t="shared" si="20"/>
        <v/>
      </c>
      <c r="P161">
        <f>COUNTIF(Homematches[Match ID],Homematches[[#This Row],[Match ID]])</f>
        <v>1</v>
      </c>
    </row>
    <row r="162" spans="1:16" x14ac:dyDescent="0.25">
      <c r="A162" s="2" t="s">
        <v>239</v>
      </c>
      <c r="B162" s="3">
        <v>46326</v>
      </c>
      <c r="C162" t="s">
        <v>12</v>
      </c>
      <c r="D162" t="s">
        <v>13</v>
      </c>
      <c r="I162" t="str">
        <f t="shared" si="14"/>
        <v/>
      </c>
      <c r="J162" t="str">
        <f t="shared" si="15"/>
        <v/>
      </c>
      <c r="K162" t="str">
        <f t="shared" si="16"/>
        <v/>
      </c>
      <c r="L162" t="str">
        <f t="shared" si="17"/>
        <v/>
      </c>
      <c r="M162" t="str">
        <f t="shared" si="18"/>
        <v/>
      </c>
      <c r="N162" t="str">
        <f t="shared" si="19"/>
        <v/>
      </c>
      <c r="O162" t="str">
        <f t="shared" si="20"/>
        <v/>
      </c>
      <c r="P162">
        <f>COUNTIF(Homematches[Match ID],Homematches[[#This Row],[Match ID]])</f>
        <v>1</v>
      </c>
    </row>
    <row r="163" spans="1:16" x14ac:dyDescent="0.25">
      <c r="A163" s="2" t="s">
        <v>240</v>
      </c>
      <c r="B163" s="3">
        <v>46326</v>
      </c>
      <c r="C163" t="s">
        <v>33</v>
      </c>
      <c r="D163" t="s">
        <v>7</v>
      </c>
      <c r="I163" t="str">
        <f t="shared" si="14"/>
        <v/>
      </c>
      <c r="J163" t="str">
        <f t="shared" si="15"/>
        <v/>
      </c>
      <c r="K163" t="str">
        <f t="shared" si="16"/>
        <v/>
      </c>
      <c r="L163" t="str">
        <f t="shared" si="17"/>
        <v/>
      </c>
      <c r="M163" t="str">
        <f t="shared" si="18"/>
        <v/>
      </c>
      <c r="N163" t="str">
        <f t="shared" si="19"/>
        <v/>
      </c>
      <c r="O163" t="str">
        <f t="shared" si="20"/>
        <v/>
      </c>
      <c r="P163">
        <f>COUNTIF(Homematches[Match ID],Homematches[[#This Row],[Match ID]])</f>
        <v>1</v>
      </c>
    </row>
    <row r="164" spans="1:16" x14ac:dyDescent="0.25">
      <c r="A164" s="2" t="s">
        <v>241</v>
      </c>
      <c r="B164" s="3">
        <v>46326</v>
      </c>
      <c r="C164" t="s">
        <v>15</v>
      </c>
      <c r="D164" t="s">
        <v>11</v>
      </c>
      <c r="I164" t="str">
        <f t="shared" si="14"/>
        <v/>
      </c>
      <c r="J164" t="str">
        <f t="shared" si="15"/>
        <v/>
      </c>
      <c r="K164" t="str">
        <f t="shared" si="16"/>
        <v/>
      </c>
      <c r="L164" t="str">
        <f t="shared" si="17"/>
        <v/>
      </c>
      <c r="M164" t="str">
        <f t="shared" si="18"/>
        <v/>
      </c>
      <c r="N164" t="str">
        <f t="shared" si="19"/>
        <v/>
      </c>
      <c r="O164" t="str">
        <f t="shared" si="20"/>
        <v/>
      </c>
      <c r="P164">
        <f>COUNTIF(Homematches[Match ID],Homematches[[#This Row],[Match ID]])</f>
        <v>1</v>
      </c>
    </row>
    <row r="165" spans="1:16" x14ac:dyDescent="0.25">
      <c r="A165" s="2" t="s">
        <v>242</v>
      </c>
      <c r="B165" s="3">
        <v>46326</v>
      </c>
      <c r="C165" t="s">
        <v>16</v>
      </c>
      <c r="D165" t="s">
        <v>17</v>
      </c>
      <c r="I165" t="str">
        <f t="shared" si="14"/>
        <v/>
      </c>
      <c r="J165" t="str">
        <f t="shared" si="15"/>
        <v/>
      </c>
      <c r="K165" t="str">
        <f t="shared" si="16"/>
        <v/>
      </c>
      <c r="L165" t="str">
        <f t="shared" si="17"/>
        <v/>
      </c>
      <c r="M165" t="str">
        <f t="shared" si="18"/>
        <v/>
      </c>
      <c r="N165" t="str">
        <f t="shared" si="19"/>
        <v/>
      </c>
      <c r="O165" t="str">
        <f t="shared" si="20"/>
        <v/>
      </c>
      <c r="P165">
        <f>COUNTIF(Homematches[Match ID],Homematches[[#This Row],[Match ID]])</f>
        <v>1</v>
      </c>
    </row>
    <row r="166" spans="1:16" x14ac:dyDescent="0.25">
      <c r="A166" s="2" t="s">
        <v>243</v>
      </c>
      <c r="B166" s="3">
        <v>46326</v>
      </c>
      <c r="C166" t="s">
        <v>20</v>
      </c>
      <c r="D166" t="s">
        <v>0</v>
      </c>
      <c r="I166" t="str">
        <f t="shared" si="14"/>
        <v/>
      </c>
      <c r="J166" t="str">
        <f t="shared" si="15"/>
        <v/>
      </c>
      <c r="K166" t="str">
        <f t="shared" si="16"/>
        <v/>
      </c>
      <c r="L166" t="str">
        <f t="shared" si="17"/>
        <v/>
      </c>
      <c r="M166" t="str">
        <f t="shared" si="18"/>
        <v/>
      </c>
      <c r="N166" t="str">
        <f t="shared" si="19"/>
        <v/>
      </c>
      <c r="O166" t="str">
        <f t="shared" si="20"/>
        <v/>
      </c>
      <c r="P166">
        <f>COUNTIF(Homematches[Match ID],Homematches[[#This Row],[Match ID]])</f>
        <v>1</v>
      </c>
    </row>
    <row r="167" spans="1:16" x14ac:dyDescent="0.25">
      <c r="A167" s="2" t="s">
        <v>244</v>
      </c>
      <c r="B167" s="3">
        <v>46326</v>
      </c>
      <c r="C167" t="s">
        <v>21</v>
      </c>
      <c r="D167" t="s">
        <v>4</v>
      </c>
      <c r="I167" t="str">
        <f t="shared" si="14"/>
        <v/>
      </c>
      <c r="J167" t="str">
        <f t="shared" si="15"/>
        <v/>
      </c>
      <c r="K167" t="str">
        <f t="shared" si="16"/>
        <v/>
      </c>
      <c r="L167" t="str">
        <f t="shared" si="17"/>
        <v/>
      </c>
      <c r="M167" t="str">
        <f t="shared" si="18"/>
        <v/>
      </c>
      <c r="N167" t="str">
        <f t="shared" si="19"/>
        <v/>
      </c>
      <c r="O167" t="str">
        <f t="shared" si="20"/>
        <v/>
      </c>
      <c r="P167">
        <f>COUNTIF(Homematches[Match ID],Homematches[[#This Row],[Match ID]])</f>
        <v>1</v>
      </c>
    </row>
    <row r="168" spans="1:16" x14ac:dyDescent="0.25">
      <c r="A168" s="2" t="s">
        <v>245</v>
      </c>
      <c r="B168" s="3">
        <v>46326</v>
      </c>
      <c r="C168" t="s">
        <v>22</v>
      </c>
      <c r="D168" t="s">
        <v>5</v>
      </c>
      <c r="I168" t="str">
        <f t="shared" si="14"/>
        <v/>
      </c>
      <c r="J168" t="str">
        <f t="shared" si="15"/>
        <v/>
      </c>
      <c r="K168" t="str">
        <f t="shared" si="16"/>
        <v/>
      </c>
      <c r="L168" t="str">
        <f t="shared" si="17"/>
        <v/>
      </c>
      <c r="M168" t="str">
        <f t="shared" si="18"/>
        <v/>
      </c>
      <c r="N168" t="str">
        <f t="shared" si="19"/>
        <v/>
      </c>
      <c r="O168" t="str">
        <f t="shared" si="20"/>
        <v/>
      </c>
      <c r="P168">
        <f>COUNTIF(Homematches[Match ID],Homematches[[#This Row],[Match ID]])</f>
        <v>1</v>
      </c>
    </row>
    <row r="169" spans="1:16" x14ac:dyDescent="0.25">
      <c r="A169" s="2" t="s">
        <v>246</v>
      </c>
      <c r="B169" s="3">
        <v>46327</v>
      </c>
      <c r="C169" t="s">
        <v>18</v>
      </c>
      <c r="D169" t="s">
        <v>2</v>
      </c>
      <c r="I169" t="str">
        <f t="shared" si="14"/>
        <v/>
      </c>
      <c r="J169" t="str">
        <f t="shared" si="15"/>
        <v/>
      </c>
      <c r="K169" t="str">
        <f t="shared" si="16"/>
        <v/>
      </c>
      <c r="L169" t="str">
        <f t="shared" si="17"/>
        <v/>
      </c>
      <c r="M169" t="str">
        <f t="shared" si="18"/>
        <v/>
      </c>
      <c r="N169" t="str">
        <f t="shared" si="19"/>
        <v/>
      </c>
      <c r="O169" t="str">
        <f t="shared" si="20"/>
        <v/>
      </c>
      <c r="P169">
        <f>COUNTIF(Homematches[Match ID],Homematches[[#This Row],[Match ID]])</f>
        <v>1</v>
      </c>
    </row>
    <row r="170" spans="1:16" x14ac:dyDescent="0.25">
      <c r="A170" s="2" t="s">
        <v>247</v>
      </c>
      <c r="B170" s="3">
        <v>46340</v>
      </c>
      <c r="C170" t="s">
        <v>0</v>
      </c>
      <c r="D170" t="s">
        <v>2</v>
      </c>
      <c r="I170" t="str">
        <f t="shared" si="14"/>
        <v/>
      </c>
      <c r="J170" t="str">
        <f t="shared" si="15"/>
        <v/>
      </c>
      <c r="K170" t="str">
        <f t="shared" si="16"/>
        <v/>
      </c>
      <c r="L170" t="str">
        <f t="shared" si="17"/>
        <v/>
      </c>
      <c r="M170" t="str">
        <f t="shared" si="18"/>
        <v/>
      </c>
      <c r="N170" t="str">
        <f t="shared" si="19"/>
        <v/>
      </c>
      <c r="O170" t="str">
        <f t="shared" si="20"/>
        <v/>
      </c>
      <c r="P170">
        <f>COUNTIF(Homematches[Match ID],Homematches[[#This Row],[Match ID]])</f>
        <v>1</v>
      </c>
    </row>
    <row r="171" spans="1:16" x14ac:dyDescent="0.25">
      <c r="A171" s="2" t="s">
        <v>248</v>
      </c>
      <c r="B171" s="3">
        <v>46340</v>
      </c>
      <c r="C171" t="s">
        <v>4</v>
      </c>
      <c r="D171" t="s">
        <v>13</v>
      </c>
      <c r="I171" t="str">
        <f t="shared" si="14"/>
        <v/>
      </c>
      <c r="J171" t="str">
        <f t="shared" si="15"/>
        <v/>
      </c>
      <c r="K171" t="str">
        <f t="shared" si="16"/>
        <v/>
      </c>
      <c r="L171" t="str">
        <f t="shared" si="17"/>
        <v/>
      </c>
      <c r="M171" t="str">
        <f t="shared" si="18"/>
        <v/>
      </c>
      <c r="N171" t="str">
        <f t="shared" si="19"/>
        <v/>
      </c>
      <c r="O171" t="str">
        <f t="shared" si="20"/>
        <v/>
      </c>
      <c r="P171">
        <f>COUNTIF(Homematches[Match ID],Homematches[[#This Row],[Match ID]])</f>
        <v>1</v>
      </c>
    </row>
    <row r="172" spans="1:16" x14ac:dyDescent="0.25">
      <c r="A172" s="2" t="s">
        <v>249</v>
      </c>
      <c r="B172" s="3">
        <v>46340</v>
      </c>
      <c r="C172" t="s">
        <v>7</v>
      </c>
      <c r="D172" t="s">
        <v>10</v>
      </c>
      <c r="I172" t="str">
        <f t="shared" si="14"/>
        <v/>
      </c>
      <c r="J172" t="str">
        <f t="shared" si="15"/>
        <v/>
      </c>
      <c r="K172" t="str">
        <f t="shared" si="16"/>
        <v/>
      </c>
      <c r="L172" t="str">
        <f t="shared" si="17"/>
        <v/>
      </c>
      <c r="M172" t="str">
        <f t="shared" si="18"/>
        <v/>
      </c>
      <c r="N172" t="str">
        <f t="shared" si="19"/>
        <v/>
      </c>
      <c r="O172" t="str">
        <f t="shared" si="20"/>
        <v/>
      </c>
      <c r="P172">
        <f>COUNTIF(Homematches[Match ID],Homematches[[#This Row],[Match ID]])</f>
        <v>1</v>
      </c>
    </row>
    <row r="173" spans="1:16" x14ac:dyDescent="0.25">
      <c r="A173" s="2" t="s">
        <v>250</v>
      </c>
      <c r="B173" s="3">
        <v>46340</v>
      </c>
      <c r="C173" t="s">
        <v>9</v>
      </c>
      <c r="D173" t="s">
        <v>3</v>
      </c>
      <c r="I173" t="str">
        <f t="shared" si="14"/>
        <v/>
      </c>
      <c r="J173" t="str">
        <f t="shared" si="15"/>
        <v/>
      </c>
      <c r="K173" t="str">
        <f t="shared" si="16"/>
        <v/>
      </c>
      <c r="L173" t="str">
        <f t="shared" si="17"/>
        <v/>
      </c>
      <c r="M173" t="str">
        <f t="shared" si="18"/>
        <v/>
      </c>
      <c r="N173" t="str">
        <f t="shared" si="19"/>
        <v/>
      </c>
      <c r="O173" t="str">
        <f t="shared" si="20"/>
        <v/>
      </c>
      <c r="P173">
        <f>COUNTIF(Homematches[Match ID],Homematches[[#This Row],[Match ID]])</f>
        <v>1</v>
      </c>
    </row>
    <row r="174" spans="1:16" x14ac:dyDescent="0.25">
      <c r="A174" s="2" t="s">
        <v>251</v>
      </c>
      <c r="B174" s="3">
        <v>46340</v>
      </c>
      <c r="C174" t="s">
        <v>11</v>
      </c>
      <c r="D174" t="s">
        <v>6</v>
      </c>
      <c r="I174" t="str">
        <f t="shared" si="14"/>
        <v/>
      </c>
      <c r="J174" t="str">
        <f t="shared" si="15"/>
        <v/>
      </c>
      <c r="K174" t="str">
        <f t="shared" si="16"/>
        <v/>
      </c>
      <c r="L174" t="str">
        <f t="shared" si="17"/>
        <v/>
      </c>
      <c r="M174" t="str">
        <f t="shared" si="18"/>
        <v/>
      </c>
      <c r="N174" t="str">
        <f t="shared" si="19"/>
        <v/>
      </c>
      <c r="O174" t="str">
        <f t="shared" si="20"/>
        <v/>
      </c>
      <c r="P174">
        <f>COUNTIF(Homematches[Match ID],Homematches[[#This Row],[Match ID]])</f>
        <v>1</v>
      </c>
    </row>
    <row r="175" spans="1:16" x14ac:dyDescent="0.25">
      <c r="A175" s="2" t="s">
        <v>252</v>
      </c>
      <c r="B175" s="3">
        <v>46340</v>
      </c>
      <c r="C175" t="s">
        <v>33</v>
      </c>
      <c r="D175" t="s">
        <v>5</v>
      </c>
      <c r="I175" t="str">
        <f t="shared" si="14"/>
        <v/>
      </c>
      <c r="J175" t="str">
        <f t="shared" si="15"/>
        <v/>
      </c>
      <c r="K175" t="str">
        <f t="shared" si="16"/>
        <v/>
      </c>
      <c r="L175" t="str">
        <f t="shared" si="17"/>
        <v/>
      </c>
      <c r="M175" t="str">
        <f t="shared" si="18"/>
        <v/>
      </c>
      <c r="N175" t="str">
        <f t="shared" si="19"/>
        <v/>
      </c>
      <c r="O175" t="str">
        <f t="shared" si="20"/>
        <v/>
      </c>
      <c r="P175">
        <f>COUNTIF(Homematches[Match ID],Homematches[[#This Row],[Match ID]])</f>
        <v>1</v>
      </c>
    </row>
    <row r="176" spans="1:16" x14ac:dyDescent="0.25">
      <c r="A176" s="2" t="s">
        <v>253</v>
      </c>
      <c r="B176" s="3">
        <v>46340</v>
      </c>
      <c r="C176" t="s">
        <v>15</v>
      </c>
      <c r="D176" t="s">
        <v>14</v>
      </c>
      <c r="I176" t="str">
        <f t="shared" si="14"/>
        <v/>
      </c>
      <c r="J176" t="str">
        <f t="shared" si="15"/>
        <v/>
      </c>
      <c r="K176" t="str">
        <f t="shared" si="16"/>
        <v/>
      </c>
      <c r="L176" t="str">
        <f t="shared" si="17"/>
        <v/>
      </c>
      <c r="M176" t="str">
        <f t="shared" si="18"/>
        <v/>
      </c>
      <c r="N176" t="str">
        <f t="shared" si="19"/>
        <v/>
      </c>
      <c r="O176" t="str">
        <f t="shared" si="20"/>
        <v/>
      </c>
      <c r="P176">
        <f>COUNTIF(Homematches[Match ID],Homematches[[#This Row],[Match ID]])</f>
        <v>1</v>
      </c>
    </row>
    <row r="177" spans="1:16" x14ac:dyDescent="0.25">
      <c r="A177" s="2" t="s">
        <v>254</v>
      </c>
      <c r="B177" s="3">
        <v>46340</v>
      </c>
      <c r="C177" t="s">
        <v>18</v>
      </c>
      <c r="D177" t="s">
        <v>16</v>
      </c>
      <c r="I177" t="str">
        <f t="shared" si="14"/>
        <v/>
      </c>
      <c r="J177" t="str">
        <f t="shared" si="15"/>
        <v/>
      </c>
      <c r="K177" t="str">
        <f t="shared" si="16"/>
        <v/>
      </c>
      <c r="L177" t="str">
        <f t="shared" si="17"/>
        <v/>
      </c>
      <c r="M177" t="str">
        <f t="shared" si="18"/>
        <v/>
      </c>
      <c r="N177" t="str">
        <f t="shared" si="19"/>
        <v/>
      </c>
      <c r="O177" t="str">
        <f t="shared" si="20"/>
        <v/>
      </c>
      <c r="P177">
        <f>COUNTIF(Homematches[Match ID],Homematches[[#This Row],[Match ID]])</f>
        <v>1</v>
      </c>
    </row>
    <row r="178" spans="1:16" x14ac:dyDescent="0.25">
      <c r="A178" s="2" t="s">
        <v>255</v>
      </c>
      <c r="B178" s="3">
        <v>46340</v>
      </c>
      <c r="C178" t="s">
        <v>19</v>
      </c>
      <c r="D178" t="s">
        <v>12</v>
      </c>
      <c r="I178" t="str">
        <f t="shared" si="14"/>
        <v/>
      </c>
      <c r="J178" t="str">
        <f t="shared" si="15"/>
        <v/>
      </c>
      <c r="K178" t="str">
        <f t="shared" si="16"/>
        <v/>
      </c>
      <c r="L178" t="str">
        <f t="shared" si="17"/>
        <v/>
      </c>
      <c r="M178" t="str">
        <f t="shared" si="18"/>
        <v/>
      </c>
      <c r="N178" t="str">
        <f t="shared" si="19"/>
        <v/>
      </c>
      <c r="O178" t="str">
        <f t="shared" si="20"/>
        <v/>
      </c>
      <c r="P178">
        <f>COUNTIF(Homematches[Match ID],Homematches[[#This Row],[Match ID]])</f>
        <v>1</v>
      </c>
    </row>
    <row r="179" spans="1:16" x14ac:dyDescent="0.25">
      <c r="A179" s="2" t="s">
        <v>256</v>
      </c>
      <c r="B179" s="3">
        <v>46340</v>
      </c>
      <c r="C179" t="s">
        <v>20</v>
      </c>
      <c r="D179" t="s">
        <v>17</v>
      </c>
      <c r="I179" t="str">
        <f t="shared" si="14"/>
        <v/>
      </c>
      <c r="J179" t="str">
        <f t="shared" si="15"/>
        <v/>
      </c>
      <c r="K179" t="str">
        <f t="shared" si="16"/>
        <v/>
      </c>
      <c r="L179" t="str">
        <f t="shared" si="17"/>
        <v/>
      </c>
      <c r="M179" t="str">
        <f t="shared" si="18"/>
        <v/>
      </c>
      <c r="N179" t="str">
        <f t="shared" si="19"/>
        <v/>
      </c>
      <c r="O179" t="str">
        <f t="shared" si="20"/>
        <v/>
      </c>
      <c r="P179">
        <f>COUNTIF(Homematches[Match ID],Homematches[[#This Row],[Match ID]])</f>
        <v>1</v>
      </c>
    </row>
    <row r="180" spans="1:16" x14ac:dyDescent="0.25">
      <c r="A180" s="2" t="s">
        <v>257</v>
      </c>
      <c r="B180" s="3">
        <v>46340</v>
      </c>
      <c r="C180" t="s">
        <v>21</v>
      </c>
      <c r="D180" t="s">
        <v>1</v>
      </c>
      <c r="I180" t="str">
        <f t="shared" si="14"/>
        <v/>
      </c>
      <c r="J180" t="str">
        <f t="shared" si="15"/>
        <v/>
      </c>
      <c r="K180" t="str">
        <f t="shared" si="16"/>
        <v/>
      </c>
      <c r="L180" t="str">
        <f t="shared" si="17"/>
        <v/>
      </c>
      <c r="M180" t="str">
        <f t="shared" si="18"/>
        <v/>
      </c>
      <c r="N180" t="str">
        <f t="shared" si="19"/>
        <v/>
      </c>
      <c r="O180" t="str">
        <f t="shared" si="20"/>
        <v/>
      </c>
      <c r="P180">
        <f>COUNTIF(Homematches[Match ID],Homematches[[#This Row],[Match ID]])</f>
        <v>1</v>
      </c>
    </row>
    <row r="181" spans="1:16" x14ac:dyDescent="0.25">
      <c r="A181" s="2" t="s">
        <v>258</v>
      </c>
      <c r="B181" s="3">
        <v>46340</v>
      </c>
      <c r="C181" t="s">
        <v>22</v>
      </c>
      <c r="D181" t="s">
        <v>8</v>
      </c>
      <c r="I181" t="str">
        <f t="shared" si="14"/>
        <v/>
      </c>
      <c r="J181" t="str">
        <f t="shared" si="15"/>
        <v/>
      </c>
      <c r="K181" t="str">
        <f t="shared" si="16"/>
        <v/>
      </c>
      <c r="L181" t="str">
        <f t="shared" si="17"/>
        <v/>
      </c>
      <c r="M181" t="str">
        <f t="shared" si="18"/>
        <v/>
      </c>
      <c r="N181" t="str">
        <f t="shared" si="19"/>
        <v/>
      </c>
      <c r="O181" t="str">
        <f t="shared" si="20"/>
        <v/>
      </c>
      <c r="P181">
        <f>COUNTIF(Homematches[Match ID],Homematches[[#This Row],[Match ID]])</f>
        <v>1</v>
      </c>
    </row>
    <row r="182" spans="1:16" x14ac:dyDescent="0.25">
      <c r="A182" s="2" t="s">
        <v>259</v>
      </c>
      <c r="B182" s="3">
        <v>46346</v>
      </c>
      <c r="C182" t="s">
        <v>1</v>
      </c>
      <c r="D182" t="s">
        <v>18</v>
      </c>
      <c r="I182" t="str">
        <f t="shared" si="14"/>
        <v/>
      </c>
      <c r="J182" t="str">
        <f t="shared" si="15"/>
        <v/>
      </c>
      <c r="K182" t="str">
        <f t="shared" si="16"/>
        <v/>
      </c>
      <c r="L182" t="str">
        <f t="shared" si="17"/>
        <v/>
      </c>
      <c r="M182" t="str">
        <f t="shared" si="18"/>
        <v/>
      </c>
      <c r="N182" t="str">
        <f t="shared" si="19"/>
        <v/>
      </c>
      <c r="O182" t="str">
        <f t="shared" si="20"/>
        <v/>
      </c>
      <c r="P182">
        <f>COUNTIF(Homematches[Match ID],Homematches[[#This Row],[Match ID]])</f>
        <v>1</v>
      </c>
    </row>
    <row r="183" spans="1:16" x14ac:dyDescent="0.25">
      <c r="A183" s="2" t="s">
        <v>260</v>
      </c>
      <c r="B183" s="3">
        <v>46347</v>
      </c>
      <c r="C183" t="s">
        <v>2</v>
      </c>
      <c r="D183" t="s">
        <v>21</v>
      </c>
      <c r="I183" t="str">
        <f t="shared" si="14"/>
        <v/>
      </c>
      <c r="J183" t="str">
        <f t="shared" si="15"/>
        <v/>
      </c>
      <c r="K183" t="str">
        <f t="shared" si="16"/>
        <v/>
      </c>
      <c r="L183" t="str">
        <f t="shared" si="17"/>
        <v/>
      </c>
      <c r="M183" t="str">
        <f t="shared" si="18"/>
        <v/>
      </c>
      <c r="N183" t="str">
        <f t="shared" si="19"/>
        <v/>
      </c>
      <c r="O183" t="str">
        <f t="shared" si="20"/>
        <v/>
      </c>
      <c r="P183">
        <f>COUNTIF(Homematches[Match ID],Homematches[[#This Row],[Match ID]])</f>
        <v>1</v>
      </c>
    </row>
    <row r="184" spans="1:16" x14ac:dyDescent="0.25">
      <c r="A184" s="2" t="s">
        <v>261</v>
      </c>
      <c r="B184" s="3">
        <v>46347</v>
      </c>
      <c r="C184" t="s">
        <v>3</v>
      </c>
      <c r="D184" t="s">
        <v>7</v>
      </c>
      <c r="I184" t="str">
        <f t="shared" si="14"/>
        <v/>
      </c>
      <c r="J184" t="str">
        <f t="shared" si="15"/>
        <v/>
      </c>
      <c r="K184" t="str">
        <f t="shared" si="16"/>
        <v/>
      </c>
      <c r="L184" t="str">
        <f t="shared" si="17"/>
        <v/>
      </c>
      <c r="M184" t="str">
        <f t="shared" si="18"/>
        <v/>
      </c>
      <c r="N184" t="str">
        <f t="shared" si="19"/>
        <v/>
      </c>
      <c r="O184" t="str">
        <f t="shared" si="20"/>
        <v/>
      </c>
      <c r="P184">
        <f>COUNTIF(Homematches[Match ID],Homematches[[#This Row],[Match ID]])</f>
        <v>1</v>
      </c>
    </row>
    <row r="185" spans="1:16" x14ac:dyDescent="0.25">
      <c r="A185" s="2" t="s">
        <v>262</v>
      </c>
      <c r="B185" s="3">
        <v>46347</v>
      </c>
      <c r="C185" t="s">
        <v>5</v>
      </c>
      <c r="D185" t="s">
        <v>11</v>
      </c>
      <c r="I185" t="str">
        <f t="shared" si="14"/>
        <v/>
      </c>
      <c r="J185" t="str">
        <f t="shared" si="15"/>
        <v/>
      </c>
      <c r="K185" t="str">
        <f t="shared" si="16"/>
        <v/>
      </c>
      <c r="L185" t="str">
        <f t="shared" si="17"/>
        <v/>
      </c>
      <c r="M185" t="str">
        <f t="shared" si="18"/>
        <v/>
      </c>
      <c r="N185" t="str">
        <f t="shared" si="19"/>
        <v/>
      </c>
      <c r="O185" t="str">
        <f t="shared" si="20"/>
        <v/>
      </c>
      <c r="P185">
        <f>COUNTIF(Homematches[Match ID],Homematches[[#This Row],[Match ID]])</f>
        <v>1</v>
      </c>
    </row>
    <row r="186" spans="1:16" x14ac:dyDescent="0.25">
      <c r="A186" s="2" t="s">
        <v>263</v>
      </c>
      <c r="B186" s="3">
        <v>46347</v>
      </c>
      <c r="C186" t="s">
        <v>6</v>
      </c>
      <c r="D186" t="s">
        <v>20</v>
      </c>
      <c r="I186" t="str">
        <f t="shared" si="14"/>
        <v/>
      </c>
      <c r="J186" t="str">
        <f t="shared" si="15"/>
        <v/>
      </c>
      <c r="K186" t="str">
        <f t="shared" si="16"/>
        <v/>
      </c>
      <c r="L186" t="str">
        <f t="shared" si="17"/>
        <v/>
      </c>
      <c r="M186" t="str">
        <f t="shared" si="18"/>
        <v/>
      </c>
      <c r="N186" t="str">
        <f t="shared" si="19"/>
        <v/>
      </c>
      <c r="O186" t="str">
        <f t="shared" si="20"/>
        <v/>
      </c>
      <c r="P186">
        <f>COUNTIF(Homematches[Match ID],Homematches[[#This Row],[Match ID]])</f>
        <v>1</v>
      </c>
    </row>
    <row r="187" spans="1:16" x14ac:dyDescent="0.25">
      <c r="A187" s="2" t="s">
        <v>264</v>
      </c>
      <c r="B187" s="3">
        <v>46347</v>
      </c>
      <c r="C187" t="s">
        <v>8</v>
      </c>
      <c r="D187" t="s">
        <v>9</v>
      </c>
      <c r="I187" t="str">
        <f t="shared" si="14"/>
        <v/>
      </c>
      <c r="J187" t="str">
        <f t="shared" si="15"/>
        <v/>
      </c>
      <c r="K187" t="str">
        <f t="shared" si="16"/>
        <v/>
      </c>
      <c r="L187" t="str">
        <f t="shared" si="17"/>
        <v/>
      </c>
      <c r="M187" t="str">
        <f t="shared" si="18"/>
        <v/>
      </c>
      <c r="N187" t="str">
        <f t="shared" si="19"/>
        <v/>
      </c>
      <c r="O187" t="str">
        <f t="shared" si="20"/>
        <v/>
      </c>
      <c r="P187">
        <f>COUNTIF(Homematches[Match ID],Homematches[[#This Row],[Match ID]])</f>
        <v>1</v>
      </c>
    </row>
    <row r="188" spans="1:16" x14ac:dyDescent="0.25">
      <c r="A188" s="2" t="s">
        <v>265</v>
      </c>
      <c r="B188" s="3">
        <v>46347</v>
      </c>
      <c r="C188" t="s">
        <v>10</v>
      </c>
      <c r="D188" t="s">
        <v>0</v>
      </c>
      <c r="I188" t="str">
        <f t="shared" si="14"/>
        <v/>
      </c>
      <c r="J188" t="str">
        <f t="shared" si="15"/>
        <v/>
      </c>
      <c r="K188" t="str">
        <f t="shared" si="16"/>
        <v/>
      </c>
      <c r="L188" t="str">
        <f t="shared" si="17"/>
        <v/>
      </c>
      <c r="M188" t="str">
        <f t="shared" si="18"/>
        <v/>
      </c>
      <c r="N188" t="str">
        <f t="shared" si="19"/>
        <v/>
      </c>
      <c r="O188" t="str">
        <f t="shared" si="20"/>
        <v/>
      </c>
      <c r="P188">
        <f>COUNTIF(Homematches[Match ID],Homematches[[#This Row],[Match ID]])</f>
        <v>1</v>
      </c>
    </row>
    <row r="189" spans="1:16" x14ac:dyDescent="0.25">
      <c r="A189" s="2" t="s">
        <v>266</v>
      </c>
      <c r="B189" s="3">
        <v>46347</v>
      </c>
      <c r="C189" t="s">
        <v>12</v>
      </c>
      <c r="D189" t="s">
        <v>33</v>
      </c>
      <c r="I189" t="str">
        <f t="shared" si="14"/>
        <v/>
      </c>
      <c r="J189" t="str">
        <f t="shared" si="15"/>
        <v/>
      </c>
      <c r="K189" t="str">
        <f t="shared" si="16"/>
        <v/>
      </c>
      <c r="L189" t="str">
        <f t="shared" si="17"/>
        <v/>
      </c>
      <c r="M189" t="str">
        <f t="shared" si="18"/>
        <v/>
      </c>
      <c r="N189" t="str">
        <f t="shared" si="19"/>
        <v/>
      </c>
      <c r="O189" t="str">
        <f t="shared" si="20"/>
        <v/>
      </c>
      <c r="P189">
        <f>COUNTIF(Homematches[Match ID],Homematches[[#This Row],[Match ID]])</f>
        <v>1</v>
      </c>
    </row>
    <row r="190" spans="1:16" x14ac:dyDescent="0.25">
      <c r="A190" s="2" t="s">
        <v>267</v>
      </c>
      <c r="B190" s="3">
        <v>46347</v>
      </c>
      <c r="C190" t="s">
        <v>13</v>
      </c>
      <c r="D190" t="s">
        <v>19</v>
      </c>
      <c r="I190" t="str">
        <f t="shared" si="14"/>
        <v/>
      </c>
      <c r="J190" t="str">
        <f t="shared" si="15"/>
        <v/>
      </c>
      <c r="K190" t="str">
        <f t="shared" si="16"/>
        <v/>
      </c>
      <c r="L190" t="str">
        <f t="shared" si="17"/>
        <v/>
      </c>
      <c r="M190" t="str">
        <f t="shared" si="18"/>
        <v/>
      </c>
      <c r="N190" t="str">
        <f t="shared" si="19"/>
        <v/>
      </c>
      <c r="O190" t="str">
        <f t="shared" si="20"/>
        <v/>
      </c>
      <c r="P190">
        <f>COUNTIF(Homematches[Match ID],Homematches[[#This Row],[Match ID]])</f>
        <v>1</v>
      </c>
    </row>
    <row r="191" spans="1:16" x14ac:dyDescent="0.25">
      <c r="A191" s="2" t="s">
        <v>268</v>
      </c>
      <c r="B191" s="3">
        <v>46347</v>
      </c>
      <c r="C191" t="s">
        <v>14</v>
      </c>
      <c r="D191" t="s">
        <v>22</v>
      </c>
      <c r="I191" t="str">
        <f t="shared" si="14"/>
        <v/>
      </c>
      <c r="J191" t="str">
        <f t="shared" si="15"/>
        <v/>
      </c>
      <c r="K191" t="str">
        <f t="shared" si="16"/>
        <v/>
      </c>
      <c r="L191" t="str">
        <f t="shared" si="17"/>
        <v/>
      </c>
      <c r="M191" t="str">
        <f t="shared" si="18"/>
        <v/>
      </c>
      <c r="N191" t="str">
        <f t="shared" si="19"/>
        <v/>
      </c>
      <c r="O191" t="str">
        <f t="shared" si="20"/>
        <v/>
      </c>
      <c r="P191">
        <f>COUNTIF(Homematches[Match ID],Homematches[[#This Row],[Match ID]])</f>
        <v>1</v>
      </c>
    </row>
    <row r="192" spans="1:16" x14ac:dyDescent="0.25">
      <c r="A192" s="2" t="s">
        <v>269</v>
      </c>
      <c r="B192" s="3">
        <v>46347</v>
      </c>
      <c r="C192" t="s">
        <v>16</v>
      </c>
      <c r="D192" t="s">
        <v>15</v>
      </c>
      <c r="I192" t="str">
        <f t="shared" si="14"/>
        <v/>
      </c>
      <c r="J192" t="str">
        <f t="shared" si="15"/>
        <v/>
      </c>
      <c r="K192" t="str">
        <f t="shared" si="16"/>
        <v/>
      </c>
      <c r="L192" t="str">
        <f t="shared" si="17"/>
        <v/>
      </c>
      <c r="M192" t="str">
        <f t="shared" si="18"/>
        <v/>
      </c>
      <c r="N192" t="str">
        <f t="shared" si="19"/>
        <v/>
      </c>
      <c r="O192" t="str">
        <f t="shared" si="20"/>
        <v/>
      </c>
      <c r="P192">
        <f>COUNTIF(Homematches[Match ID],Homematches[[#This Row],[Match ID]])</f>
        <v>1</v>
      </c>
    </row>
    <row r="193" spans="1:16" x14ac:dyDescent="0.25">
      <c r="A193" s="2" t="s">
        <v>270</v>
      </c>
      <c r="B193" s="3">
        <v>46347</v>
      </c>
      <c r="C193" t="s">
        <v>17</v>
      </c>
      <c r="D193" t="s">
        <v>4</v>
      </c>
      <c r="I193" t="str">
        <f t="shared" si="14"/>
        <v/>
      </c>
      <c r="J193" t="str">
        <f t="shared" si="15"/>
        <v/>
      </c>
      <c r="K193" t="str">
        <f t="shared" si="16"/>
        <v/>
      </c>
      <c r="L193" t="str">
        <f t="shared" si="17"/>
        <v/>
      </c>
      <c r="M193" t="str">
        <f t="shared" si="18"/>
        <v/>
      </c>
      <c r="N193" t="str">
        <f t="shared" si="19"/>
        <v/>
      </c>
      <c r="O193" t="str">
        <f t="shared" si="20"/>
        <v/>
      </c>
      <c r="P193">
        <f>COUNTIF(Homematches[Match ID],Homematches[[#This Row],[Match ID]])</f>
        <v>1</v>
      </c>
    </row>
    <row r="194" spans="1:16" x14ac:dyDescent="0.25">
      <c r="A194" s="2" t="s">
        <v>271</v>
      </c>
      <c r="B194" s="3">
        <v>46352</v>
      </c>
      <c r="C194" t="s">
        <v>7</v>
      </c>
      <c r="D194" t="s">
        <v>8</v>
      </c>
      <c r="I194" t="str">
        <f t="shared" ref="I194:I257" si="21">IF(E194="","",E194-F194)</f>
        <v/>
      </c>
      <c r="J194" t="str">
        <f t="shared" ref="J194:J257" si="22">IF(G194="","",G194-H194)</f>
        <v/>
      </c>
      <c r="K194" t="str">
        <f t="shared" ref="K194:K257" si="23">IF(E194="","",E194+F194)</f>
        <v/>
      </c>
      <c r="L194" t="str">
        <f t="shared" ref="L194:L257" si="24">IF(G194="","",G194+H194)</f>
        <v/>
      </c>
      <c r="M194" t="str">
        <f t="shared" ref="M194:M257" si="25">IF(G194="","",G194-E194)</f>
        <v/>
      </c>
      <c r="N194" t="str">
        <f t="shared" ref="N194:N257" si="26">IF(H194="","",H194-F194)</f>
        <v/>
      </c>
      <c r="O194" t="str">
        <f t="shared" ref="O194:O257" si="27">IF(G194="","",IF(G194&gt;H194,"Home Win",IF(G194&lt;H194,"Away Win","Draw")))</f>
        <v/>
      </c>
      <c r="P194">
        <f>COUNTIF(Homematches[Match ID],Homematches[[#This Row],[Match ID]])</f>
        <v>1</v>
      </c>
    </row>
    <row r="195" spans="1:16" x14ac:dyDescent="0.25">
      <c r="A195" s="2" t="s">
        <v>272</v>
      </c>
      <c r="B195" s="3">
        <v>46354</v>
      </c>
      <c r="C195" t="s">
        <v>0</v>
      </c>
      <c r="D195" t="s">
        <v>1</v>
      </c>
      <c r="I195" t="str">
        <f t="shared" si="21"/>
        <v/>
      </c>
      <c r="J195" t="str">
        <f t="shared" si="22"/>
        <v/>
      </c>
      <c r="K195" t="str">
        <f t="shared" si="23"/>
        <v/>
      </c>
      <c r="L195" t="str">
        <f t="shared" si="24"/>
        <v/>
      </c>
      <c r="M195" t="str">
        <f t="shared" si="25"/>
        <v/>
      </c>
      <c r="N195" t="str">
        <f t="shared" si="26"/>
        <v/>
      </c>
      <c r="O195" t="str">
        <f t="shared" si="27"/>
        <v/>
      </c>
      <c r="P195">
        <f>COUNTIF(Homematches[Match ID],Homematches[[#This Row],[Match ID]])</f>
        <v>1</v>
      </c>
    </row>
    <row r="196" spans="1:16" x14ac:dyDescent="0.25">
      <c r="A196" s="2" t="s">
        <v>273</v>
      </c>
      <c r="B196" s="3">
        <v>46354</v>
      </c>
      <c r="C196" t="s">
        <v>4</v>
      </c>
      <c r="D196" t="s">
        <v>5</v>
      </c>
      <c r="I196" t="str">
        <f t="shared" si="21"/>
        <v/>
      </c>
      <c r="J196" t="str">
        <f t="shared" si="22"/>
        <v/>
      </c>
      <c r="K196" t="str">
        <f t="shared" si="23"/>
        <v/>
      </c>
      <c r="L196" t="str">
        <f t="shared" si="24"/>
        <v/>
      </c>
      <c r="M196" t="str">
        <f t="shared" si="25"/>
        <v/>
      </c>
      <c r="N196" t="str">
        <f t="shared" si="26"/>
        <v/>
      </c>
      <c r="O196" t="str">
        <f t="shared" si="27"/>
        <v/>
      </c>
      <c r="P196">
        <f>COUNTIF(Homematches[Match ID],Homematches[[#This Row],[Match ID]])</f>
        <v>1</v>
      </c>
    </row>
    <row r="197" spans="1:16" x14ac:dyDescent="0.25">
      <c r="A197" s="2" t="s">
        <v>274</v>
      </c>
      <c r="B197" s="3">
        <v>46354</v>
      </c>
      <c r="C197" t="s">
        <v>9</v>
      </c>
      <c r="D197" t="s">
        <v>12</v>
      </c>
      <c r="I197" t="str">
        <f t="shared" si="21"/>
        <v/>
      </c>
      <c r="J197" t="str">
        <f t="shared" si="22"/>
        <v/>
      </c>
      <c r="K197" t="str">
        <f t="shared" si="23"/>
        <v/>
      </c>
      <c r="L197" t="str">
        <f t="shared" si="24"/>
        <v/>
      </c>
      <c r="M197" t="str">
        <f t="shared" si="25"/>
        <v/>
      </c>
      <c r="N197" t="str">
        <f t="shared" si="26"/>
        <v/>
      </c>
      <c r="O197" t="str">
        <f t="shared" si="27"/>
        <v/>
      </c>
      <c r="P197">
        <f>COUNTIF(Homematches[Match ID],Homematches[[#This Row],[Match ID]])</f>
        <v>1</v>
      </c>
    </row>
    <row r="198" spans="1:16" x14ac:dyDescent="0.25">
      <c r="A198" s="2" t="s">
        <v>275</v>
      </c>
      <c r="B198" s="3">
        <v>46354</v>
      </c>
      <c r="C198" t="s">
        <v>11</v>
      </c>
      <c r="D198" t="s">
        <v>14</v>
      </c>
      <c r="I198" t="str">
        <f t="shared" si="21"/>
        <v/>
      </c>
      <c r="J198" t="str">
        <f t="shared" si="22"/>
        <v/>
      </c>
      <c r="K198" t="str">
        <f t="shared" si="23"/>
        <v/>
      </c>
      <c r="L198" t="str">
        <f t="shared" si="24"/>
        <v/>
      </c>
      <c r="M198" t="str">
        <f t="shared" si="25"/>
        <v/>
      </c>
      <c r="N198" t="str">
        <f t="shared" si="26"/>
        <v/>
      </c>
      <c r="O198" t="str">
        <f t="shared" si="27"/>
        <v/>
      </c>
      <c r="P198">
        <f>COUNTIF(Homematches[Match ID],Homematches[[#This Row],[Match ID]])</f>
        <v>1</v>
      </c>
    </row>
    <row r="199" spans="1:16" x14ac:dyDescent="0.25">
      <c r="A199" s="2" t="s">
        <v>276</v>
      </c>
      <c r="B199" s="3">
        <v>46354</v>
      </c>
      <c r="C199" t="s">
        <v>33</v>
      </c>
      <c r="D199" t="s">
        <v>13</v>
      </c>
      <c r="I199" t="str">
        <f t="shared" si="21"/>
        <v/>
      </c>
      <c r="J199" t="str">
        <f t="shared" si="22"/>
        <v/>
      </c>
      <c r="K199" t="str">
        <f t="shared" si="23"/>
        <v/>
      </c>
      <c r="L199" t="str">
        <f t="shared" si="24"/>
        <v/>
      </c>
      <c r="M199" t="str">
        <f t="shared" si="25"/>
        <v/>
      </c>
      <c r="N199" t="str">
        <f t="shared" si="26"/>
        <v/>
      </c>
      <c r="O199" t="str">
        <f t="shared" si="27"/>
        <v/>
      </c>
      <c r="P199">
        <f>COUNTIF(Homematches[Match ID],Homematches[[#This Row],[Match ID]])</f>
        <v>1</v>
      </c>
    </row>
    <row r="200" spans="1:16" x14ac:dyDescent="0.25">
      <c r="A200" s="2" t="s">
        <v>277</v>
      </c>
      <c r="B200" s="3">
        <v>46354</v>
      </c>
      <c r="C200" t="s">
        <v>15</v>
      </c>
      <c r="D200" t="s">
        <v>6</v>
      </c>
      <c r="I200" t="str">
        <f t="shared" si="21"/>
        <v/>
      </c>
      <c r="J200" t="str">
        <f t="shared" si="22"/>
        <v/>
      </c>
      <c r="K200" t="str">
        <f t="shared" si="23"/>
        <v/>
      </c>
      <c r="L200" t="str">
        <f t="shared" si="24"/>
        <v/>
      </c>
      <c r="M200" t="str">
        <f t="shared" si="25"/>
        <v/>
      </c>
      <c r="N200" t="str">
        <f t="shared" si="26"/>
        <v/>
      </c>
      <c r="O200" t="str">
        <f t="shared" si="27"/>
        <v/>
      </c>
      <c r="P200">
        <f>COUNTIF(Homematches[Match ID],Homematches[[#This Row],[Match ID]])</f>
        <v>1</v>
      </c>
    </row>
    <row r="201" spans="1:16" x14ac:dyDescent="0.25">
      <c r="A201" s="2" t="s">
        <v>278</v>
      </c>
      <c r="B201" s="3">
        <v>46354</v>
      </c>
      <c r="C201" t="s">
        <v>18</v>
      </c>
      <c r="D201" t="s">
        <v>17</v>
      </c>
      <c r="I201" t="str">
        <f t="shared" si="21"/>
        <v/>
      </c>
      <c r="J201" t="str">
        <f t="shared" si="22"/>
        <v/>
      </c>
      <c r="K201" t="str">
        <f t="shared" si="23"/>
        <v/>
      </c>
      <c r="L201" t="str">
        <f t="shared" si="24"/>
        <v/>
      </c>
      <c r="M201" t="str">
        <f t="shared" si="25"/>
        <v/>
      </c>
      <c r="N201" t="str">
        <f t="shared" si="26"/>
        <v/>
      </c>
      <c r="O201" t="str">
        <f t="shared" si="27"/>
        <v/>
      </c>
      <c r="P201">
        <f>COUNTIF(Homematches[Match ID],Homematches[[#This Row],[Match ID]])</f>
        <v>1</v>
      </c>
    </row>
    <row r="202" spans="1:16" x14ac:dyDescent="0.25">
      <c r="A202" s="2" t="s">
        <v>279</v>
      </c>
      <c r="B202" s="3">
        <v>46354</v>
      </c>
      <c r="C202" t="s">
        <v>19</v>
      </c>
      <c r="D202" t="s">
        <v>2</v>
      </c>
      <c r="I202" t="str">
        <f t="shared" si="21"/>
        <v/>
      </c>
      <c r="J202" t="str">
        <f t="shared" si="22"/>
        <v/>
      </c>
      <c r="K202" t="str">
        <f t="shared" si="23"/>
        <v/>
      </c>
      <c r="L202" t="str">
        <f t="shared" si="24"/>
        <v/>
      </c>
      <c r="M202" t="str">
        <f t="shared" si="25"/>
        <v/>
      </c>
      <c r="N202" t="str">
        <f t="shared" si="26"/>
        <v/>
      </c>
      <c r="O202" t="str">
        <f t="shared" si="27"/>
        <v/>
      </c>
      <c r="P202">
        <f>COUNTIF(Homematches[Match ID],Homematches[[#This Row],[Match ID]])</f>
        <v>1</v>
      </c>
    </row>
    <row r="203" spans="1:16" x14ac:dyDescent="0.25">
      <c r="A203" s="2" t="s">
        <v>280</v>
      </c>
      <c r="B203" s="3">
        <v>46354</v>
      </c>
      <c r="C203" t="s">
        <v>20</v>
      </c>
      <c r="D203" t="s">
        <v>10</v>
      </c>
      <c r="I203" t="str">
        <f t="shared" si="21"/>
        <v/>
      </c>
      <c r="J203" t="str">
        <f t="shared" si="22"/>
        <v/>
      </c>
      <c r="K203" t="str">
        <f t="shared" si="23"/>
        <v/>
      </c>
      <c r="L203" t="str">
        <f t="shared" si="24"/>
        <v/>
      </c>
      <c r="M203" t="str">
        <f t="shared" si="25"/>
        <v/>
      </c>
      <c r="N203" t="str">
        <f t="shared" si="26"/>
        <v/>
      </c>
      <c r="O203" t="str">
        <f t="shared" si="27"/>
        <v/>
      </c>
      <c r="P203">
        <f>COUNTIF(Homematches[Match ID],Homematches[[#This Row],[Match ID]])</f>
        <v>1</v>
      </c>
    </row>
    <row r="204" spans="1:16" x14ac:dyDescent="0.25">
      <c r="A204" s="2" t="s">
        <v>281</v>
      </c>
      <c r="B204" s="3">
        <v>46354</v>
      </c>
      <c r="C204" t="s">
        <v>21</v>
      </c>
      <c r="D204" t="s">
        <v>16</v>
      </c>
      <c r="I204" t="str">
        <f t="shared" si="21"/>
        <v/>
      </c>
      <c r="J204" t="str">
        <f t="shared" si="22"/>
        <v/>
      </c>
      <c r="K204" t="str">
        <f t="shared" si="23"/>
        <v/>
      </c>
      <c r="L204" t="str">
        <f t="shared" si="24"/>
        <v/>
      </c>
      <c r="M204" t="str">
        <f t="shared" si="25"/>
        <v/>
      </c>
      <c r="N204" t="str">
        <f t="shared" si="26"/>
        <v/>
      </c>
      <c r="O204" t="str">
        <f t="shared" si="27"/>
        <v/>
      </c>
      <c r="P204">
        <f>COUNTIF(Homematches[Match ID],Homematches[[#This Row],[Match ID]])</f>
        <v>1</v>
      </c>
    </row>
    <row r="205" spans="1:16" x14ac:dyDescent="0.25">
      <c r="A205" s="2" t="s">
        <v>282</v>
      </c>
      <c r="B205" s="3">
        <v>46354</v>
      </c>
      <c r="C205" t="s">
        <v>22</v>
      </c>
      <c r="D205" t="s">
        <v>3</v>
      </c>
      <c r="I205" t="str">
        <f t="shared" si="21"/>
        <v/>
      </c>
      <c r="J205" t="str">
        <f t="shared" si="22"/>
        <v/>
      </c>
      <c r="K205" t="str">
        <f t="shared" si="23"/>
        <v/>
      </c>
      <c r="L205" t="str">
        <f t="shared" si="24"/>
        <v/>
      </c>
      <c r="M205" t="str">
        <f t="shared" si="25"/>
        <v/>
      </c>
      <c r="N205" t="str">
        <f t="shared" si="26"/>
        <v/>
      </c>
      <c r="O205" t="str">
        <f t="shared" si="27"/>
        <v/>
      </c>
      <c r="P205">
        <f>COUNTIF(Homematches[Match ID],Homematches[[#This Row],[Match ID]])</f>
        <v>1</v>
      </c>
    </row>
    <row r="206" spans="1:16" x14ac:dyDescent="0.25">
      <c r="A206" s="2" t="s">
        <v>283</v>
      </c>
      <c r="B206" s="3">
        <v>46357</v>
      </c>
      <c r="C206" t="s">
        <v>1</v>
      </c>
      <c r="D206" t="s">
        <v>22</v>
      </c>
      <c r="I206" t="str">
        <f t="shared" si="21"/>
        <v/>
      </c>
      <c r="J206" t="str">
        <f t="shared" si="22"/>
        <v/>
      </c>
      <c r="K206" t="str">
        <f t="shared" si="23"/>
        <v/>
      </c>
      <c r="L206" t="str">
        <f t="shared" si="24"/>
        <v/>
      </c>
      <c r="M206" t="str">
        <f t="shared" si="25"/>
        <v/>
      </c>
      <c r="N206" t="str">
        <f t="shared" si="26"/>
        <v/>
      </c>
      <c r="O206" t="str">
        <f t="shared" si="27"/>
        <v/>
      </c>
      <c r="P206">
        <f>COUNTIF(Homematches[Match ID],Homematches[[#This Row],[Match ID]])</f>
        <v>1</v>
      </c>
    </row>
    <row r="207" spans="1:16" x14ac:dyDescent="0.25">
      <c r="A207" s="2" t="s">
        <v>284</v>
      </c>
      <c r="B207" s="3">
        <v>46357</v>
      </c>
      <c r="C207" t="s">
        <v>2</v>
      </c>
      <c r="D207" t="s">
        <v>11</v>
      </c>
      <c r="I207" t="str">
        <f t="shared" si="21"/>
        <v/>
      </c>
      <c r="J207" t="str">
        <f t="shared" si="22"/>
        <v/>
      </c>
      <c r="K207" t="str">
        <f t="shared" si="23"/>
        <v/>
      </c>
      <c r="L207" t="str">
        <f t="shared" si="24"/>
        <v/>
      </c>
      <c r="M207" t="str">
        <f t="shared" si="25"/>
        <v/>
      </c>
      <c r="N207" t="str">
        <f t="shared" si="26"/>
        <v/>
      </c>
      <c r="O207" t="str">
        <f t="shared" si="27"/>
        <v/>
      </c>
      <c r="P207">
        <f>COUNTIF(Homematches[Match ID],Homematches[[#This Row],[Match ID]])</f>
        <v>1</v>
      </c>
    </row>
    <row r="208" spans="1:16" x14ac:dyDescent="0.25">
      <c r="A208" s="2" t="s">
        <v>285</v>
      </c>
      <c r="B208" s="3">
        <v>46357</v>
      </c>
      <c r="C208" t="s">
        <v>3</v>
      </c>
      <c r="D208" t="s">
        <v>33</v>
      </c>
      <c r="I208" t="str">
        <f t="shared" si="21"/>
        <v/>
      </c>
      <c r="J208" t="str">
        <f t="shared" si="22"/>
        <v/>
      </c>
      <c r="K208" t="str">
        <f t="shared" si="23"/>
        <v/>
      </c>
      <c r="L208" t="str">
        <f t="shared" si="24"/>
        <v/>
      </c>
      <c r="M208" t="str">
        <f t="shared" si="25"/>
        <v/>
      </c>
      <c r="N208" t="str">
        <f t="shared" si="26"/>
        <v/>
      </c>
      <c r="O208" t="str">
        <f t="shared" si="27"/>
        <v/>
      </c>
      <c r="P208">
        <f>COUNTIF(Homematches[Match ID],Homematches[[#This Row],[Match ID]])</f>
        <v>1</v>
      </c>
    </row>
    <row r="209" spans="1:16" x14ac:dyDescent="0.25">
      <c r="A209" s="2" t="s">
        <v>286</v>
      </c>
      <c r="B209" s="3">
        <v>46357</v>
      </c>
      <c r="C209" t="s">
        <v>5</v>
      </c>
      <c r="D209" t="s">
        <v>21</v>
      </c>
      <c r="I209" t="str">
        <f t="shared" si="21"/>
        <v/>
      </c>
      <c r="J209" t="str">
        <f t="shared" si="22"/>
        <v/>
      </c>
      <c r="K209" t="str">
        <f t="shared" si="23"/>
        <v/>
      </c>
      <c r="L209" t="str">
        <f t="shared" si="24"/>
        <v/>
      </c>
      <c r="M209" t="str">
        <f t="shared" si="25"/>
        <v/>
      </c>
      <c r="N209" t="str">
        <f t="shared" si="26"/>
        <v/>
      </c>
      <c r="O209" t="str">
        <f t="shared" si="27"/>
        <v/>
      </c>
      <c r="P209">
        <f>COUNTIF(Homematches[Match ID],Homematches[[#This Row],[Match ID]])</f>
        <v>1</v>
      </c>
    </row>
    <row r="210" spans="1:16" x14ac:dyDescent="0.25">
      <c r="A210" s="2" t="s">
        <v>287</v>
      </c>
      <c r="B210" s="3">
        <v>46357</v>
      </c>
      <c r="C210" t="s">
        <v>6</v>
      </c>
      <c r="D210" t="s">
        <v>9</v>
      </c>
      <c r="I210" t="str">
        <f t="shared" si="21"/>
        <v/>
      </c>
      <c r="J210" t="str">
        <f t="shared" si="22"/>
        <v/>
      </c>
      <c r="K210" t="str">
        <f t="shared" si="23"/>
        <v/>
      </c>
      <c r="L210" t="str">
        <f t="shared" si="24"/>
        <v/>
      </c>
      <c r="M210" t="str">
        <f t="shared" si="25"/>
        <v/>
      </c>
      <c r="N210" t="str">
        <f t="shared" si="26"/>
        <v/>
      </c>
      <c r="O210" t="str">
        <f t="shared" si="27"/>
        <v/>
      </c>
      <c r="P210">
        <f>COUNTIF(Homematches[Match ID],Homematches[[#This Row],[Match ID]])</f>
        <v>1</v>
      </c>
    </row>
    <row r="211" spans="1:16" x14ac:dyDescent="0.25">
      <c r="A211" s="2" t="s">
        <v>288</v>
      </c>
      <c r="B211" s="3">
        <v>46357</v>
      </c>
      <c r="C211" t="s">
        <v>8</v>
      </c>
      <c r="D211" t="s">
        <v>19</v>
      </c>
      <c r="I211" t="str">
        <f t="shared" si="21"/>
        <v/>
      </c>
      <c r="J211" t="str">
        <f t="shared" si="22"/>
        <v/>
      </c>
      <c r="K211" t="str">
        <f t="shared" si="23"/>
        <v/>
      </c>
      <c r="L211" t="str">
        <f t="shared" si="24"/>
        <v/>
      </c>
      <c r="M211" t="str">
        <f t="shared" si="25"/>
        <v/>
      </c>
      <c r="N211" t="str">
        <f t="shared" si="26"/>
        <v/>
      </c>
      <c r="O211" t="str">
        <f t="shared" si="27"/>
        <v/>
      </c>
      <c r="P211">
        <f>COUNTIF(Homematches[Match ID],Homematches[[#This Row],[Match ID]])</f>
        <v>1</v>
      </c>
    </row>
    <row r="212" spans="1:16" x14ac:dyDescent="0.25">
      <c r="A212" s="2" t="s">
        <v>289</v>
      </c>
      <c r="B212" s="3">
        <v>46357</v>
      </c>
      <c r="C212" t="s">
        <v>10</v>
      </c>
      <c r="D212" t="s">
        <v>15</v>
      </c>
      <c r="I212" t="str">
        <f t="shared" si="21"/>
        <v/>
      </c>
      <c r="J212" t="str">
        <f t="shared" si="22"/>
        <v/>
      </c>
      <c r="K212" t="str">
        <f t="shared" si="23"/>
        <v/>
      </c>
      <c r="L212" t="str">
        <f t="shared" si="24"/>
        <v/>
      </c>
      <c r="M212" t="str">
        <f t="shared" si="25"/>
        <v/>
      </c>
      <c r="N212" t="str">
        <f t="shared" si="26"/>
        <v/>
      </c>
      <c r="O212" t="str">
        <f t="shared" si="27"/>
        <v/>
      </c>
      <c r="P212">
        <f>COUNTIF(Homematches[Match ID],Homematches[[#This Row],[Match ID]])</f>
        <v>1</v>
      </c>
    </row>
    <row r="213" spans="1:16" x14ac:dyDescent="0.25">
      <c r="A213" s="2" t="s">
        <v>290</v>
      </c>
      <c r="B213" s="3">
        <v>46357</v>
      </c>
      <c r="C213" t="s">
        <v>12</v>
      </c>
      <c r="D213" t="s">
        <v>20</v>
      </c>
      <c r="I213" t="str">
        <f t="shared" si="21"/>
        <v/>
      </c>
      <c r="J213" t="str">
        <f t="shared" si="22"/>
        <v/>
      </c>
      <c r="K213" t="str">
        <f t="shared" si="23"/>
        <v/>
      </c>
      <c r="L213" t="str">
        <f t="shared" si="24"/>
        <v/>
      </c>
      <c r="M213" t="str">
        <f t="shared" si="25"/>
        <v/>
      </c>
      <c r="N213" t="str">
        <f t="shared" si="26"/>
        <v/>
      </c>
      <c r="O213" t="str">
        <f t="shared" si="27"/>
        <v/>
      </c>
      <c r="P213">
        <f>COUNTIF(Homematches[Match ID],Homematches[[#This Row],[Match ID]])</f>
        <v>1</v>
      </c>
    </row>
    <row r="214" spans="1:16" x14ac:dyDescent="0.25">
      <c r="A214" s="2" t="s">
        <v>291</v>
      </c>
      <c r="B214" s="3">
        <v>46357</v>
      </c>
      <c r="C214" t="s">
        <v>13</v>
      </c>
      <c r="D214" t="s">
        <v>0</v>
      </c>
      <c r="I214" t="str">
        <f t="shared" si="21"/>
        <v/>
      </c>
      <c r="J214" t="str">
        <f t="shared" si="22"/>
        <v/>
      </c>
      <c r="K214" t="str">
        <f t="shared" si="23"/>
        <v/>
      </c>
      <c r="L214" t="str">
        <f t="shared" si="24"/>
        <v/>
      </c>
      <c r="M214" t="str">
        <f t="shared" si="25"/>
        <v/>
      </c>
      <c r="N214" t="str">
        <f t="shared" si="26"/>
        <v/>
      </c>
      <c r="O214" t="str">
        <f t="shared" si="27"/>
        <v/>
      </c>
      <c r="P214">
        <f>COUNTIF(Homematches[Match ID],Homematches[[#This Row],[Match ID]])</f>
        <v>1</v>
      </c>
    </row>
    <row r="215" spans="1:16" x14ac:dyDescent="0.25">
      <c r="A215" s="2" t="s">
        <v>292</v>
      </c>
      <c r="B215" s="3">
        <v>46357</v>
      </c>
      <c r="C215" t="s">
        <v>14</v>
      </c>
      <c r="D215" t="s">
        <v>18</v>
      </c>
      <c r="I215" t="str">
        <f t="shared" si="21"/>
        <v/>
      </c>
      <c r="J215" t="str">
        <f t="shared" si="22"/>
        <v/>
      </c>
      <c r="K215" t="str">
        <f t="shared" si="23"/>
        <v/>
      </c>
      <c r="L215" t="str">
        <f t="shared" si="24"/>
        <v/>
      </c>
      <c r="M215" t="str">
        <f t="shared" si="25"/>
        <v/>
      </c>
      <c r="N215" t="str">
        <f t="shared" si="26"/>
        <v/>
      </c>
      <c r="O215" t="str">
        <f t="shared" si="27"/>
        <v/>
      </c>
      <c r="P215">
        <f>COUNTIF(Homematches[Match ID],Homematches[[#This Row],[Match ID]])</f>
        <v>1</v>
      </c>
    </row>
    <row r="216" spans="1:16" x14ac:dyDescent="0.25">
      <c r="A216" s="2" t="s">
        <v>293</v>
      </c>
      <c r="B216" s="3">
        <v>46357</v>
      </c>
      <c r="C216" t="s">
        <v>16</v>
      </c>
      <c r="D216" t="s">
        <v>4</v>
      </c>
      <c r="I216" t="str">
        <f t="shared" si="21"/>
        <v/>
      </c>
      <c r="J216" t="str">
        <f t="shared" si="22"/>
        <v/>
      </c>
      <c r="K216" t="str">
        <f t="shared" si="23"/>
        <v/>
      </c>
      <c r="L216" t="str">
        <f t="shared" si="24"/>
        <v/>
      </c>
      <c r="M216" t="str">
        <f t="shared" si="25"/>
        <v/>
      </c>
      <c r="N216" t="str">
        <f t="shared" si="26"/>
        <v/>
      </c>
      <c r="O216" t="str">
        <f t="shared" si="27"/>
        <v/>
      </c>
      <c r="P216">
        <f>COUNTIF(Homematches[Match ID],Homematches[[#This Row],[Match ID]])</f>
        <v>1</v>
      </c>
    </row>
    <row r="217" spans="1:16" x14ac:dyDescent="0.25">
      <c r="A217" s="2" t="s">
        <v>294</v>
      </c>
      <c r="B217" s="3">
        <v>46357</v>
      </c>
      <c r="C217" t="s">
        <v>17</v>
      </c>
      <c r="D217" t="s">
        <v>7</v>
      </c>
      <c r="I217" t="str">
        <f t="shared" si="21"/>
        <v/>
      </c>
      <c r="J217" t="str">
        <f t="shared" si="22"/>
        <v/>
      </c>
      <c r="K217" t="str">
        <f t="shared" si="23"/>
        <v/>
      </c>
      <c r="L217" t="str">
        <f t="shared" si="24"/>
        <v/>
      </c>
      <c r="M217" t="str">
        <f t="shared" si="25"/>
        <v/>
      </c>
      <c r="N217" t="str">
        <f t="shared" si="26"/>
        <v/>
      </c>
      <c r="O217" t="str">
        <f t="shared" si="27"/>
        <v/>
      </c>
      <c r="P217">
        <f>COUNTIF(Homematches[Match ID],Homematches[[#This Row],[Match ID]])</f>
        <v>1</v>
      </c>
    </row>
    <row r="218" spans="1:16" x14ac:dyDescent="0.25">
      <c r="A218" s="2" t="s">
        <v>295</v>
      </c>
      <c r="B218" s="3">
        <v>46366</v>
      </c>
      <c r="C218" t="s">
        <v>9</v>
      </c>
      <c r="D218" t="s">
        <v>18</v>
      </c>
      <c r="I218" t="str">
        <f t="shared" si="21"/>
        <v/>
      </c>
      <c r="J218" t="str">
        <f t="shared" si="22"/>
        <v/>
      </c>
      <c r="K218" t="str">
        <f t="shared" si="23"/>
        <v/>
      </c>
      <c r="L218" t="str">
        <f t="shared" si="24"/>
        <v/>
      </c>
      <c r="M218" t="str">
        <f t="shared" si="25"/>
        <v/>
      </c>
      <c r="N218" t="str">
        <f t="shared" si="26"/>
        <v/>
      </c>
      <c r="O218" t="str">
        <f t="shared" si="27"/>
        <v/>
      </c>
      <c r="P218">
        <f>COUNTIF(Homematches[Match ID],Homematches[[#This Row],[Match ID]])</f>
        <v>1</v>
      </c>
    </row>
    <row r="219" spans="1:16" x14ac:dyDescent="0.25">
      <c r="A219" s="2" t="s">
        <v>296</v>
      </c>
      <c r="B219" s="3">
        <v>46368</v>
      </c>
      <c r="C219" t="s">
        <v>3</v>
      </c>
      <c r="D219" t="s">
        <v>0</v>
      </c>
      <c r="I219" t="str">
        <f t="shared" si="21"/>
        <v/>
      </c>
      <c r="J219" t="str">
        <f t="shared" si="22"/>
        <v/>
      </c>
      <c r="K219" t="str">
        <f t="shared" si="23"/>
        <v/>
      </c>
      <c r="L219" t="str">
        <f t="shared" si="24"/>
        <v/>
      </c>
      <c r="M219" t="str">
        <f t="shared" si="25"/>
        <v/>
      </c>
      <c r="N219" t="str">
        <f t="shared" si="26"/>
        <v/>
      </c>
      <c r="O219" t="str">
        <f t="shared" si="27"/>
        <v/>
      </c>
      <c r="P219">
        <f>COUNTIF(Homematches[Match ID],Homematches[[#This Row],[Match ID]])</f>
        <v>1</v>
      </c>
    </row>
    <row r="220" spans="1:16" x14ac:dyDescent="0.25">
      <c r="A220" s="2" t="s">
        <v>297</v>
      </c>
      <c r="B220" s="3">
        <v>46368</v>
      </c>
      <c r="C220" t="s">
        <v>5</v>
      </c>
      <c r="D220" t="s">
        <v>17</v>
      </c>
      <c r="I220" t="str">
        <f t="shared" si="21"/>
        <v/>
      </c>
      <c r="J220" t="str">
        <f t="shared" si="22"/>
        <v/>
      </c>
      <c r="K220" t="str">
        <f t="shared" si="23"/>
        <v/>
      </c>
      <c r="L220" t="str">
        <f t="shared" si="24"/>
        <v/>
      </c>
      <c r="M220" t="str">
        <f t="shared" si="25"/>
        <v/>
      </c>
      <c r="N220" t="str">
        <f t="shared" si="26"/>
        <v/>
      </c>
      <c r="O220" t="str">
        <f t="shared" si="27"/>
        <v/>
      </c>
      <c r="P220">
        <f>COUNTIF(Homematches[Match ID],Homematches[[#This Row],[Match ID]])</f>
        <v>1</v>
      </c>
    </row>
    <row r="221" spans="1:16" x14ac:dyDescent="0.25">
      <c r="A221" s="2" t="s">
        <v>298</v>
      </c>
      <c r="B221" s="3">
        <v>46368</v>
      </c>
      <c r="C221" t="s">
        <v>7</v>
      </c>
      <c r="D221" t="s">
        <v>4</v>
      </c>
      <c r="I221" t="str">
        <f t="shared" si="21"/>
        <v/>
      </c>
      <c r="J221" t="str">
        <f t="shared" si="22"/>
        <v/>
      </c>
      <c r="K221" t="str">
        <f t="shared" si="23"/>
        <v/>
      </c>
      <c r="L221" t="str">
        <f t="shared" si="24"/>
        <v/>
      </c>
      <c r="M221" t="str">
        <f t="shared" si="25"/>
        <v/>
      </c>
      <c r="N221" t="str">
        <f t="shared" si="26"/>
        <v/>
      </c>
      <c r="O221" t="str">
        <f t="shared" si="27"/>
        <v/>
      </c>
      <c r="P221">
        <f>COUNTIF(Homematches[Match ID],Homematches[[#This Row],[Match ID]])</f>
        <v>1</v>
      </c>
    </row>
    <row r="222" spans="1:16" x14ac:dyDescent="0.25">
      <c r="A222" s="2" t="s">
        <v>299</v>
      </c>
      <c r="B222" s="3">
        <v>46368</v>
      </c>
      <c r="C222" t="s">
        <v>8</v>
      </c>
      <c r="D222" t="s">
        <v>10</v>
      </c>
      <c r="I222" t="str">
        <f t="shared" si="21"/>
        <v/>
      </c>
      <c r="J222" t="str">
        <f t="shared" si="22"/>
        <v/>
      </c>
      <c r="K222" t="str">
        <f t="shared" si="23"/>
        <v/>
      </c>
      <c r="L222" t="str">
        <f t="shared" si="24"/>
        <v/>
      </c>
      <c r="M222" t="str">
        <f t="shared" si="25"/>
        <v/>
      </c>
      <c r="N222" t="str">
        <f t="shared" si="26"/>
        <v/>
      </c>
      <c r="O222" t="str">
        <f t="shared" si="27"/>
        <v/>
      </c>
      <c r="P222">
        <f>COUNTIF(Homematches[Match ID],Homematches[[#This Row],[Match ID]])</f>
        <v>1</v>
      </c>
    </row>
    <row r="223" spans="1:16" x14ac:dyDescent="0.25">
      <c r="A223" s="2" t="s">
        <v>300</v>
      </c>
      <c r="B223" s="3">
        <v>46368</v>
      </c>
      <c r="C223" t="s">
        <v>11</v>
      </c>
      <c r="D223" t="s">
        <v>21</v>
      </c>
      <c r="I223" t="str">
        <f t="shared" si="21"/>
        <v/>
      </c>
      <c r="J223" t="str">
        <f t="shared" si="22"/>
        <v/>
      </c>
      <c r="K223" t="str">
        <f t="shared" si="23"/>
        <v/>
      </c>
      <c r="L223" t="str">
        <f t="shared" si="24"/>
        <v/>
      </c>
      <c r="M223" t="str">
        <f t="shared" si="25"/>
        <v/>
      </c>
      <c r="N223" t="str">
        <f t="shared" si="26"/>
        <v/>
      </c>
      <c r="O223" t="str">
        <f t="shared" si="27"/>
        <v/>
      </c>
      <c r="P223">
        <f>COUNTIF(Homematches[Match ID],Homematches[[#This Row],[Match ID]])</f>
        <v>1</v>
      </c>
    </row>
    <row r="224" spans="1:16" x14ac:dyDescent="0.25">
      <c r="A224" s="2" t="s">
        <v>301</v>
      </c>
      <c r="B224" s="3">
        <v>46368</v>
      </c>
      <c r="C224" t="s">
        <v>12</v>
      </c>
      <c r="D224" t="s">
        <v>22</v>
      </c>
      <c r="I224" t="str">
        <f t="shared" si="21"/>
        <v/>
      </c>
      <c r="J224" t="str">
        <f t="shared" si="22"/>
        <v/>
      </c>
      <c r="K224" t="str">
        <f t="shared" si="23"/>
        <v/>
      </c>
      <c r="L224" t="str">
        <f t="shared" si="24"/>
        <v/>
      </c>
      <c r="M224" t="str">
        <f t="shared" si="25"/>
        <v/>
      </c>
      <c r="N224" t="str">
        <f t="shared" si="26"/>
        <v/>
      </c>
      <c r="O224" t="str">
        <f t="shared" si="27"/>
        <v/>
      </c>
      <c r="P224">
        <f>COUNTIF(Homematches[Match ID],Homematches[[#This Row],[Match ID]])</f>
        <v>1</v>
      </c>
    </row>
    <row r="225" spans="1:16" x14ac:dyDescent="0.25">
      <c r="A225" s="2" t="s">
        <v>302</v>
      </c>
      <c r="B225" s="3">
        <v>46368</v>
      </c>
      <c r="C225" t="s">
        <v>33</v>
      </c>
      <c r="D225" t="s">
        <v>6</v>
      </c>
      <c r="I225" t="str">
        <f t="shared" si="21"/>
        <v/>
      </c>
      <c r="J225" t="str">
        <f t="shared" si="22"/>
        <v/>
      </c>
      <c r="K225" t="str">
        <f t="shared" si="23"/>
        <v/>
      </c>
      <c r="L225" t="str">
        <f t="shared" si="24"/>
        <v/>
      </c>
      <c r="M225" t="str">
        <f t="shared" si="25"/>
        <v/>
      </c>
      <c r="N225" t="str">
        <f t="shared" si="26"/>
        <v/>
      </c>
      <c r="O225" t="str">
        <f t="shared" si="27"/>
        <v/>
      </c>
      <c r="P225">
        <f>COUNTIF(Homematches[Match ID],Homematches[[#This Row],[Match ID]])</f>
        <v>1</v>
      </c>
    </row>
    <row r="226" spans="1:16" x14ac:dyDescent="0.25">
      <c r="A226" s="2" t="s">
        <v>303</v>
      </c>
      <c r="B226" s="3">
        <v>46368</v>
      </c>
      <c r="C226" t="s">
        <v>13</v>
      </c>
      <c r="D226" t="s">
        <v>16</v>
      </c>
      <c r="I226" t="str">
        <f t="shared" si="21"/>
        <v/>
      </c>
      <c r="J226" t="str">
        <f t="shared" si="22"/>
        <v/>
      </c>
      <c r="K226" t="str">
        <f t="shared" si="23"/>
        <v/>
      </c>
      <c r="L226" t="str">
        <f t="shared" si="24"/>
        <v/>
      </c>
      <c r="M226" t="str">
        <f t="shared" si="25"/>
        <v/>
      </c>
      <c r="N226" t="str">
        <f t="shared" si="26"/>
        <v/>
      </c>
      <c r="O226" t="str">
        <f t="shared" si="27"/>
        <v/>
      </c>
      <c r="P226">
        <f>COUNTIF(Homematches[Match ID],Homematches[[#This Row],[Match ID]])</f>
        <v>1</v>
      </c>
    </row>
    <row r="227" spans="1:16" x14ac:dyDescent="0.25">
      <c r="A227" s="2" t="s">
        <v>304</v>
      </c>
      <c r="B227" s="3">
        <v>46368</v>
      </c>
      <c r="C227" t="s">
        <v>14</v>
      </c>
      <c r="D227" t="s">
        <v>2</v>
      </c>
      <c r="I227" t="str">
        <f t="shared" si="21"/>
        <v/>
      </c>
      <c r="J227" t="str">
        <f t="shared" si="22"/>
        <v/>
      </c>
      <c r="K227" t="str">
        <f t="shared" si="23"/>
        <v/>
      </c>
      <c r="L227" t="str">
        <f t="shared" si="24"/>
        <v/>
      </c>
      <c r="M227" t="str">
        <f t="shared" si="25"/>
        <v/>
      </c>
      <c r="N227" t="str">
        <f t="shared" si="26"/>
        <v/>
      </c>
      <c r="O227" t="str">
        <f t="shared" si="27"/>
        <v/>
      </c>
      <c r="P227">
        <f>COUNTIF(Homematches[Match ID],Homematches[[#This Row],[Match ID]])</f>
        <v>1</v>
      </c>
    </row>
    <row r="228" spans="1:16" x14ac:dyDescent="0.25">
      <c r="A228" s="2" t="s">
        <v>305</v>
      </c>
      <c r="B228" s="3">
        <v>46368</v>
      </c>
      <c r="C228" t="s">
        <v>15</v>
      </c>
      <c r="D228" t="s">
        <v>1</v>
      </c>
      <c r="I228" t="str">
        <f t="shared" si="21"/>
        <v/>
      </c>
      <c r="J228" t="str">
        <f t="shared" si="22"/>
        <v/>
      </c>
      <c r="K228" t="str">
        <f t="shared" si="23"/>
        <v/>
      </c>
      <c r="L228" t="str">
        <f t="shared" si="24"/>
        <v/>
      </c>
      <c r="M228" t="str">
        <f t="shared" si="25"/>
        <v/>
      </c>
      <c r="N228" t="str">
        <f t="shared" si="26"/>
        <v/>
      </c>
      <c r="O228" t="str">
        <f t="shared" si="27"/>
        <v/>
      </c>
      <c r="P228">
        <f>COUNTIF(Homematches[Match ID],Homematches[[#This Row],[Match ID]])</f>
        <v>1</v>
      </c>
    </row>
    <row r="229" spans="1:16" x14ac:dyDescent="0.25">
      <c r="A229" s="2" t="s">
        <v>306</v>
      </c>
      <c r="B229" s="3">
        <v>46368</v>
      </c>
      <c r="C229" t="s">
        <v>19</v>
      </c>
      <c r="D229" t="s">
        <v>20</v>
      </c>
      <c r="I229" t="str">
        <f t="shared" si="21"/>
        <v/>
      </c>
      <c r="J229" t="str">
        <f t="shared" si="22"/>
        <v/>
      </c>
      <c r="K229" t="str">
        <f t="shared" si="23"/>
        <v/>
      </c>
      <c r="L229" t="str">
        <f t="shared" si="24"/>
        <v/>
      </c>
      <c r="M229" t="str">
        <f t="shared" si="25"/>
        <v/>
      </c>
      <c r="N229" t="str">
        <f t="shared" si="26"/>
        <v/>
      </c>
      <c r="O229" t="str">
        <f t="shared" si="27"/>
        <v/>
      </c>
      <c r="P229">
        <f>COUNTIF(Homematches[Match ID],Homematches[[#This Row],[Match ID]])</f>
        <v>1</v>
      </c>
    </row>
    <row r="230" spans="1:16" x14ac:dyDescent="0.25">
      <c r="A230" s="2" t="s">
        <v>307</v>
      </c>
      <c r="B230" s="3">
        <v>46374</v>
      </c>
      <c r="C230" t="s">
        <v>6</v>
      </c>
      <c r="D230" t="s">
        <v>19</v>
      </c>
      <c r="I230" t="str">
        <f t="shared" si="21"/>
        <v/>
      </c>
      <c r="J230" t="str">
        <f t="shared" si="22"/>
        <v/>
      </c>
      <c r="K230" t="str">
        <f t="shared" si="23"/>
        <v/>
      </c>
      <c r="L230" t="str">
        <f t="shared" si="24"/>
        <v/>
      </c>
      <c r="M230" t="str">
        <f t="shared" si="25"/>
        <v/>
      </c>
      <c r="N230" t="str">
        <f t="shared" si="26"/>
        <v/>
      </c>
      <c r="O230" t="str">
        <f t="shared" si="27"/>
        <v/>
      </c>
      <c r="P230">
        <f>COUNTIF(Homematches[Match ID],Homematches[[#This Row],[Match ID]])</f>
        <v>1</v>
      </c>
    </row>
    <row r="231" spans="1:16" x14ac:dyDescent="0.25">
      <c r="A231" s="2" t="s">
        <v>308</v>
      </c>
      <c r="B231" s="3">
        <v>46375</v>
      </c>
      <c r="C231" t="s">
        <v>0</v>
      </c>
      <c r="D231" t="s">
        <v>14</v>
      </c>
      <c r="I231" t="str">
        <f t="shared" si="21"/>
        <v/>
      </c>
      <c r="J231" t="str">
        <f t="shared" si="22"/>
        <v/>
      </c>
      <c r="K231" t="str">
        <f t="shared" si="23"/>
        <v/>
      </c>
      <c r="L231" t="str">
        <f t="shared" si="24"/>
        <v/>
      </c>
      <c r="M231" t="str">
        <f t="shared" si="25"/>
        <v/>
      </c>
      <c r="N231" t="str">
        <f t="shared" si="26"/>
        <v/>
      </c>
      <c r="O231" t="str">
        <f t="shared" si="27"/>
        <v/>
      </c>
      <c r="P231">
        <f>COUNTIF(Homematches[Match ID],Homematches[[#This Row],[Match ID]])</f>
        <v>1</v>
      </c>
    </row>
    <row r="232" spans="1:16" x14ac:dyDescent="0.25">
      <c r="A232" s="2" t="s">
        <v>309</v>
      </c>
      <c r="B232" s="3">
        <v>46375</v>
      </c>
      <c r="C232" t="s">
        <v>1</v>
      </c>
      <c r="D232" t="s">
        <v>8</v>
      </c>
      <c r="I232" t="str">
        <f t="shared" si="21"/>
        <v/>
      </c>
      <c r="J232" t="str">
        <f t="shared" si="22"/>
        <v/>
      </c>
      <c r="K232" t="str">
        <f t="shared" si="23"/>
        <v/>
      </c>
      <c r="L232" t="str">
        <f t="shared" si="24"/>
        <v/>
      </c>
      <c r="M232" t="str">
        <f t="shared" si="25"/>
        <v/>
      </c>
      <c r="N232" t="str">
        <f t="shared" si="26"/>
        <v/>
      </c>
      <c r="O232" t="str">
        <f t="shared" si="27"/>
        <v/>
      </c>
      <c r="P232">
        <f>COUNTIF(Homematches[Match ID],Homematches[[#This Row],[Match ID]])</f>
        <v>1</v>
      </c>
    </row>
    <row r="233" spans="1:16" x14ac:dyDescent="0.25">
      <c r="A233" s="2" t="s">
        <v>310</v>
      </c>
      <c r="B233" s="3">
        <v>46375</v>
      </c>
      <c r="C233" t="s">
        <v>2</v>
      </c>
      <c r="D233" t="s">
        <v>5</v>
      </c>
      <c r="I233" t="str">
        <f t="shared" si="21"/>
        <v/>
      </c>
      <c r="J233" t="str">
        <f t="shared" si="22"/>
        <v/>
      </c>
      <c r="K233" t="str">
        <f t="shared" si="23"/>
        <v/>
      </c>
      <c r="L233" t="str">
        <f t="shared" si="24"/>
        <v/>
      </c>
      <c r="M233" t="str">
        <f t="shared" si="25"/>
        <v/>
      </c>
      <c r="N233" t="str">
        <f t="shared" si="26"/>
        <v/>
      </c>
      <c r="O233" t="str">
        <f t="shared" si="27"/>
        <v/>
      </c>
      <c r="P233">
        <f>COUNTIF(Homematches[Match ID],Homematches[[#This Row],[Match ID]])</f>
        <v>1</v>
      </c>
    </row>
    <row r="234" spans="1:16" x14ac:dyDescent="0.25">
      <c r="A234" s="2" t="s">
        <v>311</v>
      </c>
      <c r="B234" s="3">
        <v>46375</v>
      </c>
      <c r="C234" t="s">
        <v>4</v>
      </c>
      <c r="D234" t="s">
        <v>3</v>
      </c>
      <c r="I234" t="str">
        <f t="shared" si="21"/>
        <v/>
      </c>
      <c r="J234" t="str">
        <f t="shared" si="22"/>
        <v/>
      </c>
      <c r="K234" t="str">
        <f t="shared" si="23"/>
        <v/>
      </c>
      <c r="L234" t="str">
        <f t="shared" si="24"/>
        <v/>
      </c>
      <c r="M234" t="str">
        <f t="shared" si="25"/>
        <v/>
      </c>
      <c r="N234" t="str">
        <f t="shared" si="26"/>
        <v/>
      </c>
      <c r="O234" t="str">
        <f t="shared" si="27"/>
        <v/>
      </c>
      <c r="P234">
        <f>COUNTIF(Homematches[Match ID],Homematches[[#This Row],[Match ID]])</f>
        <v>1</v>
      </c>
    </row>
    <row r="235" spans="1:16" x14ac:dyDescent="0.25">
      <c r="A235" s="2" t="s">
        <v>312</v>
      </c>
      <c r="B235" s="3">
        <v>46375</v>
      </c>
      <c r="C235" t="s">
        <v>10</v>
      </c>
      <c r="D235" t="s">
        <v>13</v>
      </c>
      <c r="I235" t="str">
        <f t="shared" si="21"/>
        <v/>
      </c>
      <c r="J235" t="str">
        <f t="shared" si="22"/>
        <v/>
      </c>
      <c r="K235" t="str">
        <f t="shared" si="23"/>
        <v/>
      </c>
      <c r="L235" t="str">
        <f t="shared" si="24"/>
        <v/>
      </c>
      <c r="M235" t="str">
        <f t="shared" si="25"/>
        <v/>
      </c>
      <c r="N235" t="str">
        <f t="shared" si="26"/>
        <v/>
      </c>
      <c r="O235" t="str">
        <f t="shared" si="27"/>
        <v/>
      </c>
      <c r="P235">
        <f>COUNTIF(Homematches[Match ID],Homematches[[#This Row],[Match ID]])</f>
        <v>1</v>
      </c>
    </row>
    <row r="236" spans="1:16" x14ac:dyDescent="0.25">
      <c r="A236" s="2" t="s">
        <v>313</v>
      </c>
      <c r="B236" s="3">
        <v>46375</v>
      </c>
      <c r="C236" t="s">
        <v>16</v>
      </c>
      <c r="D236" t="s">
        <v>12</v>
      </c>
      <c r="I236" t="str">
        <f t="shared" si="21"/>
        <v/>
      </c>
      <c r="J236" t="str">
        <f t="shared" si="22"/>
        <v/>
      </c>
      <c r="K236" t="str">
        <f t="shared" si="23"/>
        <v/>
      </c>
      <c r="L236" t="str">
        <f t="shared" si="24"/>
        <v/>
      </c>
      <c r="M236" t="str">
        <f t="shared" si="25"/>
        <v/>
      </c>
      <c r="N236" t="str">
        <f t="shared" si="26"/>
        <v/>
      </c>
      <c r="O236" t="str">
        <f t="shared" si="27"/>
        <v/>
      </c>
      <c r="P236">
        <f>COUNTIF(Homematches[Match ID],Homematches[[#This Row],[Match ID]])</f>
        <v>1</v>
      </c>
    </row>
    <row r="237" spans="1:16" x14ac:dyDescent="0.25">
      <c r="A237" s="2" t="s">
        <v>314</v>
      </c>
      <c r="B237" s="3">
        <v>46375</v>
      </c>
      <c r="C237" t="s">
        <v>17</v>
      </c>
      <c r="D237" t="s">
        <v>9</v>
      </c>
      <c r="I237" t="str">
        <f t="shared" si="21"/>
        <v/>
      </c>
      <c r="J237" t="str">
        <f t="shared" si="22"/>
        <v/>
      </c>
      <c r="K237" t="str">
        <f t="shared" si="23"/>
        <v/>
      </c>
      <c r="L237" t="str">
        <f t="shared" si="24"/>
        <v/>
      </c>
      <c r="M237" t="str">
        <f t="shared" si="25"/>
        <v/>
      </c>
      <c r="N237" t="str">
        <f t="shared" si="26"/>
        <v/>
      </c>
      <c r="O237" t="str">
        <f t="shared" si="27"/>
        <v/>
      </c>
      <c r="P237">
        <f>COUNTIF(Homematches[Match ID],Homematches[[#This Row],[Match ID]])</f>
        <v>1</v>
      </c>
    </row>
    <row r="238" spans="1:16" x14ac:dyDescent="0.25">
      <c r="A238" s="2" t="s">
        <v>315</v>
      </c>
      <c r="B238" s="3">
        <v>46375</v>
      </c>
      <c r="C238" t="s">
        <v>18</v>
      </c>
      <c r="D238" t="s">
        <v>11</v>
      </c>
      <c r="I238" t="str">
        <f t="shared" si="21"/>
        <v/>
      </c>
      <c r="J238" t="str">
        <f t="shared" si="22"/>
        <v/>
      </c>
      <c r="K238" t="str">
        <f t="shared" si="23"/>
        <v/>
      </c>
      <c r="L238" t="str">
        <f t="shared" si="24"/>
        <v/>
      </c>
      <c r="M238" t="str">
        <f t="shared" si="25"/>
        <v/>
      </c>
      <c r="N238" t="str">
        <f t="shared" si="26"/>
        <v/>
      </c>
      <c r="O238" t="str">
        <f t="shared" si="27"/>
        <v/>
      </c>
      <c r="P238">
        <f>COUNTIF(Homematches[Match ID],Homematches[[#This Row],[Match ID]])</f>
        <v>1</v>
      </c>
    </row>
    <row r="239" spans="1:16" x14ac:dyDescent="0.25">
      <c r="A239" s="2" t="s">
        <v>316</v>
      </c>
      <c r="B239" s="3">
        <v>46375</v>
      </c>
      <c r="C239" t="s">
        <v>20</v>
      </c>
      <c r="D239" t="s">
        <v>33</v>
      </c>
      <c r="I239" t="str">
        <f t="shared" si="21"/>
        <v/>
      </c>
      <c r="J239" t="str">
        <f t="shared" si="22"/>
        <v/>
      </c>
      <c r="K239" t="str">
        <f t="shared" si="23"/>
        <v/>
      </c>
      <c r="L239" t="str">
        <f t="shared" si="24"/>
        <v/>
      </c>
      <c r="M239" t="str">
        <f t="shared" si="25"/>
        <v/>
      </c>
      <c r="N239" t="str">
        <f t="shared" si="26"/>
        <v/>
      </c>
      <c r="O239" t="str">
        <f t="shared" si="27"/>
        <v/>
      </c>
      <c r="P239">
        <f>COUNTIF(Homematches[Match ID],Homematches[[#This Row],[Match ID]])</f>
        <v>1</v>
      </c>
    </row>
    <row r="240" spans="1:16" x14ac:dyDescent="0.25">
      <c r="A240" s="2" t="s">
        <v>317</v>
      </c>
      <c r="B240" s="3">
        <v>46375</v>
      </c>
      <c r="C240" t="s">
        <v>21</v>
      </c>
      <c r="D240" t="s">
        <v>15</v>
      </c>
      <c r="I240" t="str">
        <f t="shared" si="21"/>
        <v/>
      </c>
      <c r="J240" t="str">
        <f t="shared" si="22"/>
        <v/>
      </c>
      <c r="K240" t="str">
        <f t="shared" si="23"/>
        <v/>
      </c>
      <c r="L240" t="str">
        <f t="shared" si="24"/>
        <v/>
      </c>
      <c r="M240" t="str">
        <f t="shared" si="25"/>
        <v/>
      </c>
      <c r="N240" t="str">
        <f t="shared" si="26"/>
        <v/>
      </c>
      <c r="O240" t="str">
        <f t="shared" si="27"/>
        <v/>
      </c>
      <c r="P240">
        <f>COUNTIF(Homematches[Match ID],Homematches[[#This Row],[Match ID]])</f>
        <v>1</v>
      </c>
    </row>
    <row r="241" spans="1:16" x14ac:dyDescent="0.25">
      <c r="A241" s="2" t="s">
        <v>318</v>
      </c>
      <c r="B241" s="3">
        <v>46375</v>
      </c>
      <c r="C241" t="s">
        <v>22</v>
      </c>
      <c r="D241" t="s">
        <v>7</v>
      </c>
      <c r="I241" t="str">
        <f t="shared" si="21"/>
        <v/>
      </c>
      <c r="J241" t="str">
        <f t="shared" si="22"/>
        <v/>
      </c>
      <c r="K241" t="str">
        <f t="shared" si="23"/>
        <v/>
      </c>
      <c r="L241" t="str">
        <f t="shared" si="24"/>
        <v/>
      </c>
      <c r="M241" t="str">
        <f t="shared" si="25"/>
        <v/>
      </c>
      <c r="N241" t="str">
        <f t="shared" si="26"/>
        <v/>
      </c>
      <c r="O241" t="str">
        <f t="shared" si="27"/>
        <v/>
      </c>
      <c r="P241">
        <f>COUNTIF(Homematches[Match ID],Homematches[[#This Row],[Match ID]])</f>
        <v>1</v>
      </c>
    </row>
    <row r="242" spans="1:16" x14ac:dyDescent="0.25">
      <c r="A242" s="2" t="s">
        <v>319</v>
      </c>
      <c r="B242" s="3">
        <v>46382</v>
      </c>
      <c r="C242" t="s">
        <v>3</v>
      </c>
      <c r="D242" t="s">
        <v>20</v>
      </c>
      <c r="I242" t="str">
        <f t="shared" si="21"/>
        <v/>
      </c>
      <c r="J242" t="str">
        <f t="shared" si="22"/>
        <v/>
      </c>
      <c r="K242" t="str">
        <f t="shared" si="23"/>
        <v/>
      </c>
      <c r="L242" t="str">
        <f t="shared" si="24"/>
        <v/>
      </c>
      <c r="M242" t="str">
        <f t="shared" si="25"/>
        <v/>
      </c>
      <c r="N242" t="str">
        <f t="shared" si="26"/>
        <v/>
      </c>
      <c r="O242" t="str">
        <f t="shared" si="27"/>
        <v/>
      </c>
      <c r="P242">
        <f>COUNTIF(Homematches[Match ID],Homematches[[#This Row],[Match ID]])</f>
        <v>1</v>
      </c>
    </row>
    <row r="243" spans="1:16" x14ac:dyDescent="0.25">
      <c r="A243" s="2" t="s">
        <v>320</v>
      </c>
      <c r="B243" s="3">
        <v>46382</v>
      </c>
      <c r="C243" t="s">
        <v>5</v>
      </c>
      <c r="D243" t="s">
        <v>18</v>
      </c>
      <c r="I243" t="str">
        <f t="shared" si="21"/>
        <v/>
      </c>
      <c r="J243" t="str">
        <f t="shared" si="22"/>
        <v/>
      </c>
      <c r="K243" t="str">
        <f t="shared" si="23"/>
        <v/>
      </c>
      <c r="L243" t="str">
        <f t="shared" si="24"/>
        <v/>
      </c>
      <c r="M243" t="str">
        <f t="shared" si="25"/>
        <v/>
      </c>
      <c r="N243" t="str">
        <f t="shared" si="26"/>
        <v/>
      </c>
      <c r="O243" t="str">
        <f t="shared" si="27"/>
        <v/>
      </c>
      <c r="P243">
        <f>COUNTIF(Homematches[Match ID],Homematches[[#This Row],[Match ID]])</f>
        <v>1</v>
      </c>
    </row>
    <row r="244" spans="1:16" x14ac:dyDescent="0.25">
      <c r="A244" s="2" t="s">
        <v>321</v>
      </c>
      <c r="B244" s="3">
        <v>46382</v>
      </c>
      <c r="C244" t="s">
        <v>7</v>
      </c>
      <c r="D244" t="s">
        <v>21</v>
      </c>
      <c r="I244" t="str">
        <f t="shared" si="21"/>
        <v/>
      </c>
      <c r="J244" t="str">
        <f t="shared" si="22"/>
        <v/>
      </c>
      <c r="K244" t="str">
        <f t="shared" si="23"/>
        <v/>
      </c>
      <c r="L244" t="str">
        <f t="shared" si="24"/>
        <v/>
      </c>
      <c r="M244" t="str">
        <f t="shared" si="25"/>
        <v/>
      </c>
      <c r="N244" t="str">
        <f t="shared" si="26"/>
        <v/>
      </c>
      <c r="O244" t="str">
        <f t="shared" si="27"/>
        <v/>
      </c>
      <c r="P244">
        <f>COUNTIF(Homematches[Match ID],Homematches[[#This Row],[Match ID]])</f>
        <v>1</v>
      </c>
    </row>
    <row r="245" spans="1:16" x14ac:dyDescent="0.25">
      <c r="A245" s="2" t="s">
        <v>322</v>
      </c>
      <c r="B245" s="3">
        <v>46382</v>
      </c>
      <c r="C245" t="s">
        <v>8</v>
      </c>
      <c r="D245" t="s">
        <v>2</v>
      </c>
      <c r="I245" t="str">
        <f t="shared" si="21"/>
        <v/>
      </c>
      <c r="J245" t="str">
        <f t="shared" si="22"/>
        <v/>
      </c>
      <c r="K245" t="str">
        <f t="shared" si="23"/>
        <v/>
      </c>
      <c r="L245" t="str">
        <f t="shared" si="24"/>
        <v/>
      </c>
      <c r="M245" t="str">
        <f t="shared" si="25"/>
        <v/>
      </c>
      <c r="N245" t="str">
        <f t="shared" si="26"/>
        <v/>
      </c>
      <c r="O245" t="str">
        <f t="shared" si="27"/>
        <v/>
      </c>
      <c r="P245">
        <f>COUNTIF(Homematches[Match ID],Homematches[[#This Row],[Match ID]])</f>
        <v>1</v>
      </c>
    </row>
    <row r="246" spans="1:16" x14ac:dyDescent="0.25">
      <c r="A246" s="2" t="s">
        <v>323</v>
      </c>
      <c r="B246" s="3">
        <v>46382</v>
      </c>
      <c r="C246" t="s">
        <v>9</v>
      </c>
      <c r="D246" t="s">
        <v>0</v>
      </c>
      <c r="I246" t="str">
        <f t="shared" si="21"/>
        <v/>
      </c>
      <c r="J246" t="str">
        <f t="shared" si="22"/>
        <v/>
      </c>
      <c r="K246" t="str">
        <f t="shared" si="23"/>
        <v/>
      </c>
      <c r="L246" t="str">
        <f t="shared" si="24"/>
        <v/>
      </c>
      <c r="M246" t="str">
        <f t="shared" si="25"/>
        <v/>
      </c>
      <c r="N246" t="str">
        <f t="shared" si="26"/>
        <v/>
      </c>
      <c r="O246" t="str">
        <f t="shared" si="27"/>
        <v/>
      </c>
      <c r="P246">
        <f>COUNTIF(Homematches[Match ID],Homematches[[#This Row],[Match ID]])</f>
        <v>1</v>
      </c>
    </row>
    <row r="247" spans="1:16" x14ac:dyDescent="0.25">
      <c r="A247" s="2" t="s">
        <v>324</v>
      </c>
      <c r="B247" s="3">
        <v>46382</v>
      </c>
      <c r="C247" t="s">
        <v>11</v>
      </c>
      <c r="D247" t="s">
        <v>4</v>
      </c>
      <c r="I247" t="str">
        <f t="shared" si="21"/>
        <v/>
      </c>
      <c r="J247" t="str">
        <f t="shared" si="22"/>
        <v/>
      </c>
      <c r="K247" t="str">
        <f t="shared" si="23"/>
        <v/>
      </c>
      <c r="L247" t="str">
        <f t="shared" si="24"/>
        <v/>
      </c>
      <c r="M247" t="str">
        <f t="shared" si="25"/>
        <v/>
      </c>
      <c r="N247" t="str">
        <f t="shared" si="26"/>
        <v/>
      </c>
      <c r="O247" t="str">
        <f t="shared" si="27"/>
        <v/>
      </c>
      <c r="P247">
        <f>COUNTIF(Homematches[Match ID],Homematches[[#This Row],[Match ID]])</f>
        <v>1</v>
      </c>
    </row>
    <row r="248" spans="1:16" x14ac:dyDescent="0.25">
      <c r="A248" s="2" t="s">
        <v>325</v>
      </c>
      <c r="B248" s="3">
        <v>46382</v>
      </c>
      <c r="C248" t="s">
        <v>12</v>
      </c>
      <c r="D248" t="s">
        <v>1</v>
      </c>
      <c r="I248" t="str">
        <f t="shared" si="21"/>
        <v/>
      </c>
      <c r="J248" t="str">
        <f t="shared" si="22"/>
        <v/>
      </c>
      <c r="K248" t="str">
        <f t="shared" si="23"/>
        <v/>
      </c>
      <c r="L248" t="str">
        <f t="shared" si="24"/>
        <v/>
      </c>
      <c r="M248" t="str">
        <f t="shared" si="25"/>
        <v/>
      </c>
      <c r="N248" t="str">
        <f t="shared" si="26"/>
        <v/>
      </c>
      <c r="O248" t="str">
        <f t="shared" si="27"/>
        <v/>
      </c>
      <c r="P248">
        <f>COUNTIF(Homematches[Match ID],Homematches[[#This Row],[Match ID]])</f>
        <v>1</v>
      </c>
    </row>
    <row r="249" spans="1:16" x14ac:dyDescent="0.25">
      <c r="A249" s="2" t="s">
        <v>326</v>
      </c>
      <c r="B249" s="3">
        <v>46382</v>
      </c>
      <c r="C249" t="s">
        <v>33</v>
      </c>
      <c r="D249" t="s">
        <v>10</v>
      </c>
      <c r="I249" t="str">
        <f t="shared" si="21"/>
        <v/>
      </c>
      <c r="J249" t="str">
        <f t="shared" si="22"/>
        <v/>
      </c>
      <c r="K249" t="str">
        <f t="shared" si="23"/>
        <v/>
      </c>
      <c r="L249" t="str">
        <f t="shared" si="24"/>
        <v/>
      </c>
      <c r="M249" t="str">
        <f t="shared" si="25"/>
        <v/>
      </c>
      <c r="N249" t="str">
        <f t="shared" si="26"/>
        <v/>
      </c>
      <c r="O249" t="str">
        <f t="shared" si="27"/>
        <v/>
      </c>
      <c r="P249">
        <f>COUNTIF(Homematches[Match ID],Homematches[[#This Row],[Match ID]])</f>
        <v>1</v>
      </c>
    </row>
    <row r="250" spans="1:16" x14ac:dyDescent="0.25">
      <c r="A250" s="2" t="s">
        <v>327</v>
      </c>
      <c r="B250" s="3">
        <v>46382</v>
      </c>
      <c r="C250" t="s">
        <v>13</v>
      </c>
      <c r="D250" t="s">
        <v>6</v>
      </c>
      <c r="I250" t="str">
        <f t="shared" si="21"/>
        <v/>
      </c>
      <c r="J250" t="str">
        <f t="shared" si="22"/>
        <v/>
      </c>
      <c r="K250" t="str">
        <f t="shared" si="23"/>
        <v/>
      </c>
      <c r="L250" t="str">
        <f t="shared" si="24"/>
        <v/>
      </c>
      <c r="M250" t="str">
        <f t="shared" si="25"/>
        <v/>
      </c>
      <c r="N250" t="str">
        <f t="shared" si="26"/>
        <v/>
      </c>
      <c r="O250" t="str">
        <f t="shared" si="27"/>
        <v/>
      </c>
      <c r="P250">
        <f>COUNTIF(Homematches[Match ID],Homematches[[#This Row],[Match ID]])</f>
        <v>1</v>
      </c>
    </row>
    <row r="251" spans="1:16" x14ac:dyDescent="0.25">
      <c r="A251" s="2" t="s">
        <v>328</v>
      </c>
      <c r="B251" s="3">
        <v>46382</v>
      </c>
      <c r="C251" t="s">
        <v>14</v>
      </c>
      <c r="D251" t="s">
        <v>16</v>
      </c>
      <c r="I251" t="str">
        <f t="shared" si="21"/>
        <v/>
      </c>
      <c r="J251" t="str">
        <f t="shared" si="22"/>
        <v/>
      </c>
      <c r="K251" t="str">
        <f t="shared" si="23"/>
        <v/>
      </c>
      <c r="L251" t="str">
        <f t="shared" si="24"/>
        <v/>
      </c>
      <c r="M251" t="str">
        <f t="shared" si="25"/>
        <v/>
      </c>
      <c r="N251" t="str">
        <f t="shared" si="26"/>
        <v/>
      </c>
      <c r="O251" t="str">
        <f t="shared" si="27"/>
        <v/>
      </c>
      <c r="P251">
        <f>COUNTIF(Homematches[Match ID],Homematches[[#This Row],[Match ID]])</f>
        <v>1</v>
      </c>
    </row>
    <row r="252" spans="1:16" x14ac:dyDescent="0.25">
      <c r="A252" s="2" t="s">
        <v>329</v>
      </c>
      <c r="B252" s="3">
        <v>46382</v>
      </c>
      <c r="C252" t="s">
        <v>15</v>
      </c>
      <c r="D252" t="s">
        <v>22</v>
      </c>
      <c r="I252" t="str">
        <f t="shared" si="21"/>
        <v/>
      </c>
      <c r="J252" t="str">
        <f t="shared" si="22"/>
        <v/>
      </c>
      <c r="K252" t="str">
        <f t="shared" si="23"/>
        <v/>
      </c>
      <c r="L252" t="str">
        <f t="shared" si="24"/>
        <v/>
      </c>
      <c r="M252" t="str">
        <f t="shared" si="25"/>
        <v/>
      </c>
      <c r="N252" t="str">
        <f t="shared" si="26"/>
        <v/>
      </c>
      <c r="O252" t="str">
        <f t="shared" si="27"/>
        <v/>
      </c>
      <c r="P252">
        <f>COUNTIF(Homematches[Match ID],Homematches[[#This Row],[Match ID]])</f>
        <v>1</v>
      </c>
    </row>
    <row r="253" spans="1:16" x14ac:dyDescent="0.25">
      <c r="A253" s="2" t="s">
        <v>330</v>
      </c>
      <c r="B253" s="3">
        <v>46382</v>
      </c>
      <c r="C253" t="s">
        <v>19</v>
      </c>
      <c r="D253" t="s">
        <v>17</v>
      </c>
      <c r="I253" t="str">
        <f t="shared" si="21"/>
        <v/>
      </c>
      <c r="J253" t="str">
        <f t="shared" si="22"/>
        <v/>
      </c>
      <c r="K253" t="str">
        <f t="shared" si="23"/>
        <v/>
      </c>
      <c r="L253" t="str">
        <f t="shared" si="24"/>
        <v/>
      </c>
      <c r="M253" t="str">
        <f t="shared" si="25"/>
        <v/>
      </c>
      <c r="N253" t="str">
        <f t="shared" si="26"/>
        <v/>
      </c>
      <c r="O253" t="str">
        <f t="shared" si="27"/>
        <v/>
      </c>
      <c r="P253">
        <f>COUNTIF(Homematches[Match ID],Homematches[[#This Row],[Match ID]])</f>
        <v>1</v>
      </c>
    </row>
    <row r="254" spans="1:16" x14ac:dyDescent="0.25">
      <c r="A254" s="2" t="s">
        <v>331</v>
      </c>
      <c r="B254" s="3">
        <v>46385</v>
      </c>
      <c r="C254" t="s">
        <v>0</v>
      </c>
      <c r="D254" t="s">
        <v>11</v>
      </c>
      <c r="I254" t="str">
        <f t="shared" si="21"/>
        <v/>
      </c>
      <c r="J254" t="str">
        <f t="shared" si="22"/>
        <v/>
      </c>
      <c r="K254" t="str">
        <f t="shared" si="23"/>
        <v/>
      </c>
      <c r="L254" t="str">
        <f t="shared" si="24"/>
        <v/>
      </c>
      <c r="M254" t="str">
        <f t="shared" si="25"/>
        <v/>
      </c>
      <c r="N254" t="str">
        <f t="shared" si="26"/>
        <v/>
      </c>
      <c r="O254" t="str">
        <f t="shared" si="27"/>
        <v/>
      </c>
      <c r="P254">
        <f>COUNTIF(Homematches[Match ID],Homematches[[#This Row],[Match ID]])</f>
        <v>1</v>
      </c>
    </row>
    <row r="255" spans="1:16" x14ac:dyDescent="0.25">
      <c r="A255" s="2" t="s">
        <v>332</v>
      </c>
      <c r="B255" s="3">
        <v>46385</v>
      </c>
      <c r="C255" t="s">
        <v>1</v>
      </c>
      <c r="D255" t="s">
        <v>5</v>
      </c>
      <c r="I255" t="str">
        <f t="shared" si="21"/>
        <v/>
      </c>
      <c r="J255" t="str">
        <f t="shared" si="22"/>
        <v/>
      </c>
      <c r="K255" t="str">
        <f t="shared" si="23"/>
        <v/>
      </c>
      <c r="L255" t="str">
        <f t="shared" si="24"/>
        <v/>
      </c>
      <c r="M255" t="str">
        <f t="shared" si="25"/>
        <v/>
      </c>
      <c r="N255" t="str">
        <f t="shared" si="26"/>
        <v/>
      </c>
      <c r="O255" t="str">
        <f t="shared" si="27"/>
        <v/>
      </c>
      <c r="P255">
        <f>COUNTIF(Homematches[Match ID],Homematches[[#This Row],[Match ID]])</f>
        <v>1</v>
      </c>
    </row>
    <row r="256" spans="1:16" x14ac:dyDescent="0.25">
      <c r="A256" s="2" t="s">
        <v>333</v>
      </c>
      <c r="B256" s="3">
        <v>46385</v>
      </c>
      <c r="C256" t="s">
        <v>2</v>
      </c>
      <c r="D256" t="s">
        <v>3</v>
      </c>
      <c r="I256" t="str">
        <f t="shared" si="21"/>
        <v/>
      </c>
      <c r="J256" t="str">
        <f t="shared" si="22"/>
        <v/>
      </c>
      <c r="K256" t="str">
        <f t="shared" si="23"/>
        <v/>
      </c>
      <c r="L256" t="str">
        <f t="shared" si="24"/>
        <v/>
      </c>
      <c r="M256" t="str">
        <f t="shared" si="25"/>
        <v/>
      </c>
      <c r="N256" t="str">
        <f t="shared" si="26"/>
        <v/>
      </c>
      <c r="O256" t="str">
        <f t="shared" si="27"/>
        <v/>
      </c>
      <c r="P256">
        <f>COUNTIF(Homematches[Match ID],Homematches[[#This Row],[Match ID]])</f>
        <v>1</v>
      </c>
    </row>
    <row r="257" spans="1:16" x14ac:dyDescent="0.25">
      <c r="A257" s="2" t="s">
        <v>334</v>
      </c>
      <c r="B257" s="3">
        <v>46385</v>
      </c>
      <c r="C257" t="s">
        <v>4</v>
      </c>
      <c r="D257" t="s">
        <v>14</v>
      </c>
      <c r="I257" t="str">
        <f t="shared" si="21"/>
        <v/>
      </c>
      <c r="J257" t="str">
        <f t="shared" si="22"/>
        <v/>
      </c>
      <c r="K257" t="str">
        <f t="shared" si="23"/>
        <v/>
      </c>
      <c r="L257" t="str">
        <f t="shared" si="24"/>
        <v/>
      </c>
      <c r="M257" t="str">
        <f t="shared" si="25"/>
        <v/>
      </c>
      <c r="N257" t="str">
        <f t="shared" si="26"/>
        <v/>
      </c>
      <c r="O257" t="str">
        <f t="shared" si="27"/>
        <v/>
      </c>
      <c r="P257">
        <f>COUNTIF(Homematches[Match ID],Homematches[[#This Row],[Match ID]])</f>
        <v>1</v>
      </c>
    </row>
    <row r="258" spans="1:16" x14ac:dyDescent="0.25">
      <c r="A258" s="2" t="s">
        <v>335</v>
      </c>
      <c r="B258" s="3">
        <v>46385</v>
      </c>
      <c r="C258" t="s">
        <v>6</v>
      </c>
      <c r="D258" t="s">
        <v>7</v>
      </c>
      <c r="I258" t="str">
        <f t="shared" ref="I258:I321" si="28">IF(E258="","",E258-F258)</f>
        <v/>
      </c>
      <c r="J258" t="str">
        <f t="shared" ref="J258:J321" si="29">IF(G258="","",G258-H258)</f>
        <v/>
      </c>
      <c r="K258" t="str">
        <f t="shared" ref="K258:K321" si="30">IF(E258="","",E258+F258)</f>
        <v/>
      </c>
      <c r="L258" t="str">
        <f t="shared" ref="L258:L321" si="31">IF(G258="","",G258+H258)</f>
        <v/>
      </c>
      <c r="M258" t="str">
        <f t="shared" ref="M258:M321" si="32">IF(G258="","",G258-E258)</f>
        <v/>
      </c>
      <c r="N258" t="str">
        <f t="shared" ref="N258:N321" si="33">IF(H258="","",H258-F258)</f>
        <v/>
      </c>
      <c r="O258" t="str">
        <f t="shared" ref="O258:O321" si="34">IF(G258="","",IF(G258&gt;H258,"Home Win",IF(G258&lt;H258,"Away Win","Draw")))</f>
        <v/>
      </c>
      <c r="P258">
        <f>COUNTIF(Homematches[Match ID],Homematches[[#This Row],[Match ID]])</f>
        <v>1</v>
      </c>
    </row>
    <row r="259" spans="1:16" x14ac:dyDescent="0.25">
      <c r="A259" s="2" t="s">
        <v>336</v>
      </c>
      <c r="B259" s="3">
        <v>46385</v>
      </c>
      <c r="C259" t="s">
        <v>10</v>
      </c>
      <c r="D259" t="s">
        <v>9</v>
      </c>
      <c r="I259" t="str">
        <f t="shared" si="28"/>
        <v/>
      </c>
      <c r="J259" t="str">
        <f t="shared" si="29"/>
        <v/>
      </c>
      <c r="K259" t="str">
        <f t="shared" si="30"/>
        <v/>
      </c>
      <c r="L259" t="str">
        <f t="shared" si="31"/>
        <v/>
      </c>
      <c r="M259" t="str">
        <f t="shared" si="32"/>
        <v/>
      </c>
      <c r="N259" t="str">
        <f t="shared" si="33"/>
        <v/>
      </c>
      <c r="O259" t="str">
        <f t="shared" si="34"/>
        <v/>
      </c>
      <c r="P259">
        <f>COUNTIF(Homematches[Match ID],Homematches[[#This Row],[Match ID]])</f>
        <v>1</v>
      </c>
    </row>
    <row r="260" spans="1:16" x14ac:dyDescent="0.25">
      <c r="A260" s="2" t="s">
        <v>337</v>
      </c>
      <c r="B260" s="3">
        <v>46385</v>
      </c>
      <c r="C260" t="s">
        <v>16</v>
      </c>
      <c r="D260" t="s">
        <v>33</v>
      </c>
      <c r="I260" t="str">
        <f t="shared" si="28"/>
        <v/>
      </c>
      <c r="J260" t="str">
        <f t="shared" si="29"/>
        <v/>
      </c>
      <c r="K260" t="str">
        <f t="shared" si="30"/>
        <v/>
      </c>
      <c r="L260" t="str">
        <f t="shared" si="31"/>
        <v/>
      </c>
      <c r="M260" t="str">
        <f t="shared" si="32"/>
        <v/>
      </c>
      <c r="N260" t="str">
        <f t="shared" si="33"/>
        <v/>
      </c>
      <c r="O260" t="str">
        <f t="shared" si="34"/>
        <v/>
      </c>
      <c r="P260">
        <f>COUNTIF(Homematches[Match ID],Homematches[[#This Row],[Match ID]])</f>
        <v>1</v>
      </c>
    </row>
    <row r="261" spans="1:16" x14ac:dyDescent="0.25">
      <c r="A261" s="2" t="s">
        <v>338</v>
      </c>
      <c r="B261" s="3">
        <v>46385</v>
      </c>
      <c r="C261" t="s">
        <v>17</v>
      </c>
      <c r="D261" t="s">
        <v>15</v>
      </c>
      <c r="I261" t="str">
        <f t="shared" si="28"/>
        <v/>
      </c>
      <c r="J261" t="str">
        <f t="shared" si="29"/>
        <v/>
      </c>
      <c r="K261" t="str">
        <f t="shared" si="30"/>
        <v/>
      </c>
      <c r="L261" t="str">
        <f t="shared" si="31"/>
        <v/>
      </c>
      <c r="M261" t="str">
        <f t="shared" si="32"/>
        <v/>
      </c>
      <c r="N261" t="str">
        <f t="shared" si="33"/>
        <v/>
      </c>
      <c r="O261" t="str">
        <f t="shared" si="34"/>
        <v/>
      </c>
      <c r="P261">
        <f>COUNTIF(Homematches[Match ID],Homematches[[#This Row],[Match ID]])</f>
        <v>1</v>
      </c>
    </row>
    <row r="262" spans="1:16" x14ac:dyDescent="0.25">
      <c r="A262" s="2" t="s">
        <v>339</v>
      </c>
      <c r="B262" s="3">
        <v>46385</v>
      </c>
      <c r="C262" t="s">
        <v>18</v>
      </c>
      <c r="D262" t="s">
        <v>12</v>
      </c>
      <c r="I262" t="str">
        <f t="shared" si="28"/>
        <v/>
      </c>
      <c r="J262" t="str">
        <f t="shared" si="29"/>
        <v/>
      </c>
      <c r="K262" t="str">
        <f t="shared" si="30"/>
        <v/>
      </c>
      <c r="L262" t="str">
        <f t="shared" si="31"/>
        <v/>
      </c>
      <c r="M262" t="str">
        <f t="shared" si="32"/>
        <v/>
      </c>
      <c r="N262" t="str">
        <f t="shared" si="33"/>
        <v/>
      </c>
      <c r="O262" t="str">
        <f t="shared" si="34"/>
        <v/>
      </c>
      <c r="P262">
        <f>COUNTIF(Homematches[Match ID],Homematches[[#This Row],[Match ID]])</f>
        <v>1</v>
      </c>
    </row>
    <row r="263" spans="1:16" x14ac:dyDescent="0.25">
      <c r="A263" s="2" t="s">
        <v>340</v>
      </c>
      <c r="B263" s="3">
        <v>46385</v>
      </c>
      <c r="C263" t="s">
        <v>20</v>
      </c>
      <c r="D263" t="s">
        <v>8</v>
      </c>
      <c r="I263" t="str">
        <f t="shared" si="28"/>
        <v/>
      </c>
      <c r="J263" t="str">
        <f t="shared" si="29"/>
        <v/>
      </c>
      <c r="K263" t="str">
        <f t="shared" si="30"/>
        <v/>
      </c>
      <c r="L263" t="str">
        <f t="shared" si="31"/>
        <v/>
      </c>
      <c r="M263" t="str">
        <f t="shared" si="32"/>
        <v/>
      </c>
      <c r="N263" t="str">
        <f t="shared" si="33"/>
        <v/>
      </c>
      <c r="O263" t="str">
        <f t="shared" si="34"/>
        <v/>
      </c>
      <c r="P263">
        <f>COUNTIF(Homematches[Match ID],Homematches[[#This Row],[Match ID]])</f>
        <v>1</v>
      </c>
    </row>
    <row r="264" spans="1:16" x14ac:dyDescent="0.25">
      <c r="A264" s="2" t="s">
        <v>341</v>
      </c>
      <c r="B264" s="3">
        <v>46385</v>
      </c>
      <c r="C264" t="s">
        <v>21</v>
      </c>
      <c r="D264" t="s">
        <v>13</v>
      </c>
      <c r="I264" t="str">
        <f t="shared" si="28"/>
        <v/>
      </c>
      <c r="J264" t="str">
        <f t="shared" si="29"/>
        <v/>
      </c>
      <c r="K264" t="str">
        <f t="shared" si="30"/>
        <v/>
      </c>
      <c r="L264" t="str">
        <f t="shared" si="31"/>
        <v/>
      </c>
      <c r="M264" t="str">
        <f t="shared" si="32"/>
        <v/>
      </c>
      <c r="N264" t="str">
        <f t="shared" si="33"/>
        <v/>
      </c>
      <c r="O264" t="str">
        <f t="shared" si="34"/>
        <v/>
      </c>
      <c r="P264">
        <f>COUNTIF(Homematches[Match ID],Homematches[[#This Row],[Match ID]])</f>
        <v>1</v>
      </c>
    </row>
    <row r="265" spans="1:16" x14ac:dyDescent="0.25">
      <c r="A265" s="2" t="s">
        <v>342</v>
      </c>
      <c r="B265" s="3">
        <v>46385</v>
      </c>
      <c r="C265" t="s">
        <v>22</v>
      </c>
      <c r="D265" t="s">
        <v>19</v>
      </c>
      <c r="I265" t="str">
        <f t="shared" si="28"/>
        <v/>
      </c>
      <c r="J265" t="str">
        <f t="shared" si="29"/>
        <v/>
      </c>
      <c r="K265" t="str">
        <f t="shared" si="30"/>
        <v/>
      </c>
      <c r="L265" t="str">
        <f t="shared" si="31"/>
        <v/>
      </c>
      <c r="M265" t="str">
        <f t="shared" si="32"/>
        <v/>
      </c>
      <c r="N265" t="str">
        <f t="shared" si="33"/>
        <v/>
      </c>
      <c r="O265" t="str">
        <f t="shared" si="34"/>
        <v/>
      </c>
      <c r="P265">
        <f>COUNTIF(Homematches[Match ID],Homematches[[#This Row],[Match ID]])</f>
        <v>1</v>
      </c>
    </row>
    <row r="266" spans="1:16" x14ac:dyDescent="0.25">
      <c r="A266" s="2" t="s">
        <v>343</v>
      </c>
      <c r="B266" s="3">
        <v>46388</v>
      </c>
      <c r="C266" t="s">
        <v>0</v>
      </c>
      <c r="D266" t="s">
        <v>15</v>
      </c>
      <c r="I266" t="str">
        <f t="shared" si="28"/>
        <v/>
      </c>
      <c r="J266" t="str">
        <f t="shared" si="29"/>
        <v/>
      </c>
      <c r="K266" t="str">
        <f t="shared" si="30"/>
        <v/>
      </c>
      <c r="L266" t="str">
        <f t="shared" si="31"/>
        <v/>
      </c>
      <c r="M266" t="str">
        <f t="shared" si="32"/>
        <v/>
      </c>
      <c r="N266" t="str">
        <f t="shared" si="33"/>
        <v/>
      </c>
      <c r="O266" t="str">
        <f t="shared" si="34"/>
        <v/>
      </c>
      <c r="P266">
        <f>COUNTIF(Homematches[Match ID],Homematches[[#This Row],[Match ID]])</f>
        <v>1</v>
      </c>
    </row>
    <row r="267" spans="1:16" x14ac:dyDescent="0.25">
      <c r="A267" s="2" t="s">
        <v>344</v>
      </c>
      <c r="B267" s="3">
        <v>46388</v>
      </c>
      <c r="C267" t="s">
        <v>1</v>
      </c>
      <c r="D267" t="s">
        <v>13</v>
      </c>
      <c r="I267" t="str">
        <f t="shared" si="28"/>
        <v/>
      </c>
      <c r="J267" t="str">
        <f t="shared" si="29"/>
        <v/>
      </c>
      <c r="K267" t="str">
        <f t="shared" si="30"/>
        <v/>
      </c>
      <c r="L267" t="str">
        <f t="shared" si="31"/>
        <v/>
      </c>
      <c r="M267" t="str">
        <f t="shared" si="32"/>
        <v/>
      </c>
      <c r="N267" t="str">
        <f t="shared" si="33"/>
        <v/>
      </c>
      <c r="O267" t="str">
        <f t="shared" si="34"/>
        <v/>
      </c>
      <c r="P267">
        <f>COUNTIF(Homematches[Match ID],Homematches[[#This Row],[Match ID]])</f>
        <v>1</v>
      </c>
    </row>
    <row r="268" spans="1:16" x14ac:dyDescent="0.25">
      <c r="A268" s="2" t="s">
        <v>345</v>
      </c>
      <c r="B268" s="3">
        <v>46388</v>
      </c>
      <c r="C268" t="s">
        <v>2</v>
      </c>
      <c r="D268" t="s">
        <v>7</v>
      </c>
      <c r="I268" t="str">
        <f t="shared" si="28"/>
        <v/>
      </c>
      <c r="J268" t="str">
        <f t="shared" si="29"/>
        <v/>
      </c>
      <c r="K268" t="str">
        <f t="shared" si="30"/>
        <v/>
      </c>
      <c r="L268" t="str">
        <f t="shared" si="31"/>
        <v/>
      </c>
      <c r="M268" t="str">
        <f t="shared" si="32"/>
        <v/>
      </c>
      <c r="N268" t="str">
        <f t="shared" si="33"/>
        <v/>
      </c>
      <c r="O268" t="str">
        <f t="shared" si="34"/>
        <v/>
      </c>
      <c r="P268">
        <f>COUNTIF(Homematches[Match ID],Homematches[[#This Row],[Match ID]])</f>
        <v>1</v>
      </c>
    </row>
    <row r="269" spans="1:16" x14ac:dyDescent="0.25">
      <c r="A269" s="2" t="s">
        <v>346</v>
      </c>
      <c r="B269" s="3">
        <v>46388</v>
      </c>
      <c r="C269" t="s">
        <v>4</v>
      </c>
      <c r="D269" t="s">
        <v>19</v>
      </c>
      <c r="I269" t="str">
        <f t="shared" si="28"/>
        <v/>
      </c>
      <c r="J269" t="str">
        <f t="shared" si="29"/>
        <v/>
      </c>
      <c r="K269" t="str">
        <f t="shared" si="30"/>
        <v/>
      </c>
      <c r="L269" t="str">
        <f t="shared" si="31"/>
        <v/>
      </c>
      <c r="M269" t="str">
        <f t="shared" si="32"/>
        <v/>
      </c>
      <c r="N269" t="str">
        <f t="shared" si="33"/>
        <v/>
      </c>
      <c r="O269" t="str">
        <f t="shared" si="34"/>
        <v/>
      </c>
      <c r="P269">
        <f>COUNTIF(Homematches[Match ID],Homematches[[#This Row],[Match ID]])</f>
        <v>1</v>
      </c>
    </row>
    <row r="270" spans="1:16" x14ac:dyDescent="0.25">
      <c r="A270" s="2" t="s">
        <v>347</v>
      </c>
      <c r="B270" s="3">
        <v>46388</v>
      </c>
      <c r="C270" t="s">
        <v>10</v>
      </c>
      <c r="D270" t="s">
        <v>14</v>
      </c>
      <c r="I270" t="str">
        <f t="shared" si="28"/>
        <v/>
      </c>
      <c r="J270" t="str">
        <f t="shared" si="29"/>
        <v/>
      </c>
      <c r="K270" t="str">
        <f t="shared" si="30"/>
        <v/>
      </c>
      <c r="L270" t="str">
        <f t="shared" si="31"/>
        <v/>
      </c>
      <c r="M270" t="str">
        <f t="shared" si="32"/>
        <v/>
      </c>
      <c r="N270" t="str">
        <f t="shared" si="33"/>
        <v/>
      </c>
      <c r="O270" t="str">
        <f t="shared" si="34"/>
        <v/>
      </c>
      <c r="P270">
        <f>COUNTIF(Homematches[Match ID],Homematches[[#This Row],[Match ID]])</f>
        <v>1</v>
      </c>
    </row>
    <row r="271" spans="1:16" x14ac:dyDescent="0.25">
      <c r="A271" s="2" t="s">
        <v>348</v>
      </c>
      <c r="B271" s="3">
        <v>46388</v>
      </c>
      <c r="C271" t="s">
        <v>17</v>
      </c>
      <c r="D271" t="s">
        <v>33</v>
      </c>
      <c r="I271" t="str">
        <f t="shared" si="28"/>
        <v/>
      </c>
      <c r="J271" t="str">
        <f t="shared" si="29"/>
        <v/>
      </c>
      <c r="K271" t="str">
        <f t="shared" si="30"/>
        <v/>
      </c>
      <c r="L271" t="str">
        <f t="shared" si="31"/>
        <v/>
      </c>
      <c r="M271" t="str">
        <f t="shared" si="32"/>
        <v/>
      </c>
      <c r="N271" t="str">
        <f t="shared" si="33"/>
        <v/>
      </c>
      <c r="O271" t="str">
        <f t="shared" si="34"/>
        <v/>
      </c>
      <c r="P271">
        <f>COUNTIF(Homematches[Match ID],Homematches[[#This Row],[Match ID]])</f>
        <v>1</v>
      </c>
    </row>
    <row r="272" spans="1:16" x14ac:dyDescent="0.25">
      <c r="A272" s="2" t="s">
        <v>349</v>
      </c>
      <c r="B272" s="3">
        <v>46388</v>
      </c>
      <c r="C272" t="s">
        <v>18</v>
      </c>
      <c r="D272" t="s">
        <v>8</v>
      </c>
      <c r="I272" t="str">
        <f t="shared" si="28"/>
        <v/>
      </c>
      <c r="J272" t="str">
        <f t="shared" si="29"/>
        <v/>
      </c>
      <c r="K272" t="str">
        <f t="shared" si="30"/>
        <v/>
      </c>
      <c r="L272" t="str">
        <f t="shared" si="31"/>
        <v/>
      </c>
      <c r="M272" t="str">
        <f t="shared" si="32"/>
        <v/>
      </c>
      <c r="N272" t="str">
        <f t="shared" si="33"/>
        <v/>
      </c>
      <c r="O272" t="str">
        <f t="shared" si="34"/>
        <v/>
      </c>
      <c r="P272">
        <f>COUNTIF(Homematches[Match ID],Homematches[[#This Row],[Match ID]])</f>
        <v>1</v>
      </c>
    </row>
    <row r="273" spans="1:16" x14ac:dyDescent="0.25">
      <c r="A273" s="2" t="s">
        <v>350</v>
      </c>
      <c r="B273" s="3">
        <v>46388</v>
      </c>
      <c r="C273" t="s">
        <v>21</v>
      </c>
      <c r="D273" t="s">
        <v>3</v>
      </c>
      <c r="I273" t="str">
        <f t="shared" si="28"/>
        <v/>
      </c>
      <c r="J273" t="str">
        <f t="shared" si="29"/>
        <v/>
      </c>
      <c r="K273" t="str">
        <f t="shared" si="30"/>
        <v/>
      </c>
      <c r="L273" t="str">
        <f t="shared" si="31"/>
        <v/>
      </c>
      <c r="M273" t="str">
        <f t="shared" si="32"/>
        <v/>
      </c>
      <c r="N273" t="str">
        <f t="shared" si="33"/>
        <v/>
      </c>
      <c r="O273" t="str">
        <f t="shared" si="34"/>
        <v/>
      </c>
      <c r="P273">
        <f>COUNTIF(Homematches[Match ID],Homematches[[#This Row],[Match ID]])</f>
        <v>1</v>
      </c>
    </row>
    <row r="274" spans="1:16" x14ac:dyDescent="0.25">
      <c r="A274" s="2" t="s">
        <v>351</v>
      </c>
      <c r="B274" s="3">
        <v>46388</v>
      </c>
      <c r="C274" t="s">
        <v>22</v>
      </c>
      <c r="D274" t="s">
        <v>9</v>
      </c>
      <c r="I274" t="str">
        <f t="shared" si="28"/>
        <v/>
      </c>
      <c r="J274" t="str">
        <f t="shared" si="29"/>
        <v/>
      </c>
      <c r="K274" t="str">
        <f t="shared" si="30"/>
        <v/>
      </c>
      <c r="L274" t="str">
        <f t="shared" si="31"/>
        <v/>
      </c>
      <c r="M274" t="str">
        <f t="shared" si="32"/>
        <v/>
      </c>
      <c r="N274" t="str">
        <f t="shared" si="33"/>
        <v/>
      </c>
      <c r="O274" t="str">
        <f t="shared" si="34"/>
        <v/>
      </c>
      <c r="P274">
        <f>COUNTIF(Homematches[Match ID],Homematches[[#This Row],[Match ID]])</f>
        <v>1</v>
      </c>
    </row>
    <row r="275" spans="1:16" x14ac:dyDescent="0.25">
      <c r="A275" s="2" t="s">
        <v>352</v>
      </c>
      <c r="B275" s="3">
        <v>46389</v>
      </c>
      <c r="C275" t="s">
        <v>6</v>
      </c>
      <c r="D275" t="s">
        <v>12</v>
      </c>
      <c r="I275" t="str">
        <f t="shared" si="28"/>
        <v/>
      </c>
      <c r="J275" t="str">
        <f t="shared" si="29"/>
        <v/>
      </c>
      <c r="K275" t="str">
        <f t="shared" si="30"/>
        <v/>
      </c>
      <c r="L275" t="str">
        <f t="shared" si="31"/>
        <v/>
      </c>
      <c r="M275" t="str">
        <f t="shared" si="32"/>
        <v/>
      </c>
      <c r="N275" t="str">
        <f t="shared" si="33"/>
        <v/>
      </c>
      <c r="O275" t="str">
        <f t="shared" si="34"/>
        <v/>
      </c>
      <c r="P275">
        <f>COUNTIF(Homematches[Match ID],Homematches[[#This Row],[Match ID]])</f>
        <v>1</v>
      </c>
    </row>
    <row r="276" spans="1:16" x14ac:dyDescent="0.25">
      <c r="A276" s="2" t="s">
        <v>353</v>
      </c>
      <c r="B276" s="3">
        <v>46389</v>
      </c>
      <c r="C276" t="s">
        <v>16</v>
      </c>
      <c r="D276" t="s">
        <v>11</v>
      </c>
      <c r="I276" t="str">
        <f t="shared" si="28"/>
        <v/>
      </c>
      <c r="J276" t="str">
        <f t="shared" si="29"/>
        <v/>
      </c>
      <c r="K276" t="str">
        <f t="shared" si="30"/>
        <v/>
      </c>
      <c r="L276" t="str">
        <f t="shared" si="31"/>
        <v/>
      </c>
      <c r="M276" t="str">
        <f t="shared" si="32"/>
        <v/>
      </c>
      <c r="N276" t="str">
        <f t="shared" si="33"/>
        <v/>
      </c>
      <c r="O276" t="str">
        <f t="shared" si="34"/>
        <v/>
      </c>
      <c r="P276">
        <f>COUNTIF(Homematches[Match ID],Homematches[[#This Row],[Match ID]])</f>
        <v>1</v>
      </c>
    </row>
    <row r="277" spans="1:16" x14ac:dyDescent="0.25">
      <c r="A277" s="2" t="s">
        <v>354</v>
      </c>
      <c r="B277" s="3">
        <v>46389</v>
      </c>
      <c r="C277" t="s">
        <v>20</v>
      </c>
      <c r="D277" t="s">
        <v>5</v>
      </c>
      <c r="I277" t="str">
        <f t="shared" si="28"/>
        <v/>
      </c>
      <c r="J277" t="str">
        <f t="shared" si="29"/>
        <v/>
      </c>
      <c r="K277" t="str">
        <f t="shared" si="30"/>
        <v/>
      </c>
      <c r="L277" t="str">
        <f t="shared" si="31"/>
        <v/>
      </c>
      <c r="M277" t="str">
        <f t="shared" si="32"/>
        <v/>
      </c>
      <c r="N277" t="str">
        <f t="shared" si="33"/>
        <v/>
      </c>
      <c r="O277" t="str">
        <f t="shared" si="34"/>
        <v/>
      </c>
      <c r="P277">
        <f>COUNTIF(Homematches[Match ID],Homematches[[#This Row],[Match ID]])</f>
        <v>1</v>
      </c>
    </row>
    <row r="278" spans="1:16" x14ac:dyDescent="0.25">
      <c r="A278" s="2" t="s">
        <v>355</v>
      </c>
      <c r="B278" s="3">
        <v>46395</v>
      </c>
      <c r="C278" t="s">
        <v>5</v>
      </c>
      <c r="D278" t="s">
        <v>2</v>
      </c>
      <c r="I278" t="str">
        <f t="shared" si="28"/>
        <v/>
      </c>
      <c r="J278" t="str">
        <f t="shared" si="29"/>
        <v/>
      </c>
      <c r="K278" t="str">
        <f t="shared" si="30"/>
        <v/>
      </c>
      <c r="L278" t="str">
        <f t="shared" si="31"/>
        <v/>
      </c>
      <c r="M278" t="str">
        <f t="shared" si="32"/>
        <v/>
      </c>
      <c r="N278" t="str">
        <f t="shared" si="33"/>
        <v/>
      </c>
      <c r="O278" t="str">
        <f t="shared" si="34"/>
        <v/>
      </c>
      <c r="P278">
        <f>COUNTIF(Homematches[Match ID],Homematches[[#This Row],[Match ID]])</f>
        <v>1</v>
      </c>
    </row>
    <row r="279" spans="1:16" x14ac:dyDescent="0.25">
      <c r="A279" s="2" t="s">
        <v>356</v>
      </c>
      <c r="B279" s="3">
        <v>46396</v>
      </c>
      <c r="C279" t="s">
        <v>3</v>
      </c>
      <c r="D279" t="s">
        <v>4</v>
      </c>
      <c r="I279" t="str">
        <f t="shared" si="28"/>
        <v/>
      </c>
      <c r="J279" t="str">
        <f t="shared" si="29"/>
        <v/>
      </c>
      <c r="K279" t="str">
        <f t="shared" si="30"/>
        <v/>
      </c>
      <c r="L279" t="str">
        <f t="shared" si="31"/>
        <v/>
      </c>
      <c r="M279" t="str">
        <f t="shared" si="32"/>
        <v/>
      </c>
      <c r="N279" t="str">
        <f t="shared" si="33"/>
        <v/>
      </c>
      <c r="O279" t="str">
        <f t="shared" si="34"/>
        <v/>
      </c>
      <c r="P279">
        <f>COUNTIF(Homematches[Match ID],Homematches[[#This Row],[Match ID]])</f>
        <v>1</v>
      </c>
    </row>
    <row r="280" spans="1:16" x14ac:dyDescent="0.25">
      <c r="A280" s="2" t="s">
        <v>357</v>
      </c>
      <c r="B280" s="3">
        <v>46396</v>
      </c>
      <c r="C280" t="s">
        <v>7</v>
      </c>
      <c r="D280" t="s">
        <v>22</v>
      </c>
      <c r="I280" t="str">
        <f t="shared" si="28"/>
        <v/>
      </c>
      <c r="J280" t="str">
        <f t="shared" si="29"/>
        <v/>
      </c>
      <c r="K280" t="str">
        <f t="shared" si="30"/>
        <v/>
      </c>
      <c r="L280" t="str">
        <f t="shared" si="31"/>
        <v/>
      </c>
      <c r="M280" t="str">
        <f t="shared" si="32"/>
        <v/>
      </c>
      <c r="N280" t="str">
        <f t="shared" si="33"/>
        <v/>
      </c>
      <c r="O280" t="str">
        <f t="shared" si="34"/>
        <v/>
      </c>
      <c r="P280">
        <f>COUNTIF(Homematches[Match ID],Homematches[[#This Row],[Match ID]])</f>
        <v>1</v>
      </c>
    </row>
    <row r="281" spans="1:16" x14ac:dyDescent="0.25">
      <c r="A281" s="2" t="s">
        <v>358</v>
      </c>
      <c r="B281" s="3">
        <v>46396</v>
      </c>
      <c r="C281" t="s">
        <v>8</v>
      </c>
      <c r="D281" t="s">
        <v>1</v>
      </c>
      <c r="I281" t="str">
        <f t="shared" si="28"/>
        <v/>
      </c>
      <c r="J281" t="str">
        <f t="shared" si="29"/>
        <v/>
      </c>
      <c r="K281" t="str">
        <f t="shared" si="30"/>
        <v/>
      </c>
      <c r="L281" t="str">
        <f t="shared" si="31"/>
        <v/>
      </c>
      <c r="M281" t="str">
        <f t="shared" si="32"/>
        <v/>
      </c>
      <c r="N281" t="str">
        <f t="shared" si="33"/>
        <v/>
      </c>
      <c r="O281" t="str">
        <f t="shared" si="34"/>
        <v/>
      </c>
      <c r="P281">
        <f>COUNTIF(Homematches[Match ID],Homematches[[#This Row],[Match ID]])</f>
        <v>1</v>
      </c>
    </row>
    <row r="282" spans="1:16" x14ac:dyDescent="0.25">
      <c r="A282" s="2" t="s">
        <v>359</v>
      </c>
      <c r="B282" s="3">
        <v>46396</v>
      </c>
      <c r="C282" t="s">
        <v>9</v>
      </c>
      <c r="D282" t="s">
        <v>17</v>
      </c>
      <c r="I282" t="str">
        <f t="shared" si="28"/>
        <v/>
      </c>
      <c r="J282" t="str">
        <f t="shared" si="29"/>
        <v/>
      </c>
      <c r="K282" t="str">
        <f t="shared" si="30"/>
        <v/>
      </c>
      <c r="L282" t="str">
        <f t="shared" si="31"/>
        <v/>
      </c>
      <c r="M282" t="str">
        <f t="shared" si="32"/>
        <v/>
      </c>
      <c r="N282" t="str">
        <f t="shared" si="33"/>
        <v/>
      </c>
      <c r="O282" t="str">
        <f t="shared" si="34"/>
        <v/>
      </c>
      <c r="P282">
        <f>COUNTIF(Homematches[Match ID],Homematches[[#This Row],[Match ID]])</f>
        <v>1</v>
      </c>
    </row>
    <row r="283" spans="1:16" x14ac:dyDescent="0.25">
      <c r="A283" s="2" t="s">
        <v>360</v>
      </c>
      <c r="B283" s="3">
        <v>46396</v>
      </c>
      <c r="C283" t="s">
        <v>11</v>
      </c>
      <c r="D283" t="s">
        <v>18</v>
      </c>
      <c r="I283" t="str">
        <f t="shared" si="28"/>
        <v/>
      </c>
      <c r="J283" t="str">
        <f t="shared" si="29"/>
        <v/>
      </c>
      <c r="K283" t="str">
        <f t="shared" si="30"/>
        <v/>
      </c>
      <c r="L283" t="str">
        <f t="shared" si="31"/>
        <v/>
      </c>
      <c r="M283" t="str">
        <f t="shared" si="32"/>
        <v/>
      </c>
      <c r="N283" t="str">
        <f t="shared" si="33"/>
        <v/>
      </c>
      <c r="O283" t="str">
        <f t="shared" si="34"/>
        <v/>
      </c>
      <c r="P283">
        <f>COUNTIF(Homematches[Match ID],Homematches[[#This Row],[Match ID]])</f>
        <v>1</v>
      </c>
    </row>
    <row r="284" spans="1:16" x14ac:dyDescent="0.25">
      <c r="A284" s="2" t="s">
        <v>361</v>
      </c>
      <c r="B284" s="3">
        <v>46396</v>
      </c>
      <c r="C284" t="s">
        <v>12</v>
      </c>
      <c r="D284" t="s">
        <v>16</v>
      </c>
      <c r="I284" t="str">
        <f t="shared" si="28"/>
        <v/>
      </c>
      <c r="J284" t="str">
        <f t="shared" si="29"/>
        <v/>
      </c>
      <c r="K284" t="str">
        <f t="shared" si="30"/>
        <v/>
      </c>
      <c r="L284" t="str">
        <f t="shared" si="31"/>
        <v/>
      </c>
      <c r="M284" t="str">
        <f t="shared" si="32"/>
        <v/>
      </c>
      <c r="N284" t="str">
        <f t="shared" si="33"/>
        <v/>
      </c>
      <c r="O284" t="str">
        <f t="shared" si="34"/>
        <v/>
      </c>
      <c r="P284">
        <f>COUNTIF(Homematches[Match ID],Homematches[[#This Row],[Match ID]])</f>
        <v>1</v>
      </c>
    </row>
    <row r="285" spans="1:16" x14ac:dyDescent="0.25">
      <c r="A285" s="2" t="s">
        <v>362</v>
      </c>
      <c r="B285" s="3">
        <v>46396</v>
      </c>
      <c r="C285" t="s">
        <v>33</v>
      </c>
      <c r="D285" t="s">
        <v>20</v>
      </c>
      <c r="I285" t="str">
        <f t="shared" si="28"/>
        <v/>
      </c>
      <c r="J285" t="str">
        <f t="shared" si="29"/>
        <v/>
      </c>
      <c r="K285" t="str">
        <f t="shared" si="30"/>
        <v/>
      </c>
      <c r="L285" t="str">
        <f t="shared" si="31"/>
        <v/>
      </c>
      <c r="M285" t="str">
        <f t="shared" si="32"/>
        <v/>
      </c>
      <c r="N285" t="str">
        <f t="shared" si="33"/>
        <v/>
      </c>
      <c r="O285" t="str">
        <f t="shared" si="34"/>
        <v/>
      </c>
      <c r="P285">
        <f>COUNTIF(Homematches[Match ID],Homematches[[#This Row],[Match ID]])</f>
        <v>1</v>
      </c>
    </row>
    <row r="286" spans="1:16" x14ac:dyDescent="0.25">
      <c r="A286" s="2" t="s">
        <v>363</v>
      </c>
      <c r="B286" s="3">
        <v>46396</v>
      </c>
      <c r="C286" t="s">
        <v>13</v>
      </c>
      <c r="D286" t="s">
        <v>10</v>
      </c>
      <c r="I286" t="str">
        <f t="shared" si="28"/>
        <v/>
      </c>
      <c r="J286" t="str">
        <f t="shared" si="29"/>
        <v/>
      </c>
      <c r="K286" t="str">
        <f t="shared" si="30"/>
        <v/>
      </c>
      <c r="L286" t="str">
        <f t="shared" si="31"/>
        <v/>
      </c>
      <c r="M286" t="str">
        <f t="shared" si="32"/>
        <v/>
      </c>
      <c r="N286" t="str">
        <f t="shared" si="33"/>
        <v/>
      </c>
      <c r="O286" t="str">
        <f t="shared" si="34"/>
        <v/>
      </c>
      <c r="P286">
        <f>COUNTIF(Homematches[Match ID],Homematches[[#This Row],[Match ID]])</f>
        <v>1</v>
      </c>
    </row>
    <row r="287" spans="1:16" x14ac:dyDescent="0.25">
      <c r="A287" s="2" t="s">
        <v>364</v>
      </c>
      <c r="B287" s="3">
        <v>46396</v>
      </c>
      <c r="C287" t="s">
        <v>14</v>
      </c>
      <c r="D287" t="s">
        <v>0</v>
      </c>
      <c r="I287" t="str">
        <f t="shared" si="28"/>
        <v/>
      </c>
      <c r="J287" t="str">
        <f t="shared" si="29"/>
        <v/>
      </c>
      <c r="K287" t="str">
        <f t="shared" si="30"/>
        <v/>
      </c>
      <c r="L287" t="str">
        <f t="shared" si="31"/>
        <v/>
      </c>
      <c r="M287" t="str">
        <f t="shared" si="32"/>
        <v/>
      </c>
      <c r="N287" t="str">
        <f t="shared" si="33"/>
        <v/>
      </c>
      <c r="O287" t="str">
        <f t="shared" si="34"/>
        <v/>
      </c>
      <c r="P287">
        <f>COUNTIF(Homematches[Match ID],Homematches[[#This Row],[Match ID]])</f>
        <v>1</v>
      </c>
    </row>
    <row r="288" spans="1:16" x14ac:dyDescent="0.25">
      <c r="A288" s="2" t="s">
        <v>365</v>
      </c>
      <c r="B288" s="3">
        <v>46396</v>
      </c>
      <c r="C288" t="s">
        <v>15</v>
      </c>
      <c r="D288" t="s">
        <v>21</v>
      </c>
      <c r="I288" t="str">
        <f t="shared" si="28"/>
        <v/>
      </c>
      <c r="J288" t="str">
        <f t="shared" si="29"/>
        <v/>
      </c>
      <c r="K288" t="str">
        <f t="shared" si="30"/>
        <v/>
      </c>
      <c r="L288" t="str">
        <f t="shared" si="31"/>
        <v/>
      </c>
      <c r="M288" t="str">
        <f t="shared" si="32"/>
        <v/>
      </c>
      <c r="N288" t="str">
        <f t="shared" si="33"/>
        <v/>
      </c>
      <c r="O288" t="str">
        <f t="shared" si="34"/>
        <v/>
      </c>
      <c r="P288">
        <f>COUNTIF(Homematches[Match ID],Homematches[[#This Row],[Match ID]])</f>
        <v>1</v>
      </c>
    </row>
    <row r="289" spans="1:16" x14ac:dyDescent="0.25">
      <c r="A289" s="2" t="s">
        <v>366</v>
      </c>
      <c r="B289" s="3">
        <v>46396</v>
      </c>
      <c r="C289" t="s">
        <v>19</v>
      </c>
      <c r="D289" t="s">
        <v>6</v>
      </c>
      <c r="I289" t="str">
        <f t="shared" si="28"/>
        <v/>
      </c>
      <c r="J289" t="str">
        <f t="shared" si="29"/>
        <v/>
      </c>
      <c r="K289" t="str">
        <f t="shared" si="30"/>
        <v/>
      </c>
      <c r="L289" t="str">
        <f t="shared" si="31"/>
        <v/>
      </c>
      <c r="M289" t="str">
        <f t="shared" si="32"/>
        <v/>
      </c>
      <c r="N289" t="str">
        <f t="shared" si="33"/>
        <v/>
      </c>
      <c r="O289" t="str">
        <f t="shared" si="34"/>
        <v/>
      </c>
      <c r="P289">
        <f>COUNTIF(Homematches[Match ID],Homematches[[#This Row],[Match ID]])</f>
        <v>1</v>
      </c>
    </row>
    <row r="290" spans="1:16" x14ac:dyDescent="0.25">
      <c r="A290" s="2" t="s">
        <v>367</v>
      </c>
      <c r="B290" s="3">
        <v>46403</v>
      </c>
      <c r="C290" t="s">
        <v>0</v>
      </c>
      <c r="D290" t="s">
        <v>18</v>
      </c>
      <c r="I290" t="str">
        <f t="shared" si="28"/>
        <v/>
      </c>
      <c r="J290" t="str">
        <f t="shared" si="29"/>
        <v/>
      </c>
      <c r="K290" t="str">
        <f t="shared" si="30"/>
        <v/>
      </c>
      <c r="L290" t="str">
        <f t="shared" si="31"/>
        <v/>
      </c>
      <c r="M290" t="str">
        <f t="shared" si="32"/>
        <v/>
      </c>
      <c r="N290" t="str">
        <f t="shared" si="33"/>
        <v/>
      </c>
      <c r="O290" t="str">
        <f t="shared" si="34"/>
        <v/>
      </c>
      <c r="P290">
        <f>COUNTIF(Homematches[Match ID],Homematches[[#This Row],[Match ID]])</f>
        <v>1</v>
      </c>
    </row>
    <row r="291" spans="1:16" x14ac:dyDescent="0.25">
      <c r="A291" s="2" t="s">
        <v>368</v>
      </c>
      <c r="B291" s="3">
        <v>46403</v>
      </c>
      <c r="C291" t="s">
        <v>2</v>
      </c>
      <c r="D291" t="s">
        <v>10</v>
      </c>
      <c r="I291" t="str">
        <f t="shared" si="28"/>
        <v/>
      </c>
      <c r="J291" t="str">
        <f t="shared" si="29"/>
        <v/>
      </c>
      <c r="K291" t="str">
        <f t="shared" si="30"/>
        <v/>
      </c>
      <c r="L291" t="str">
        <f t="shared" si="31"/>
        <v/>
      </c>
      <c r="M291" t="str">
        <f t="shared" si="32"/>
        <v/>
      </c>
      <c r="N291" t="str">
        <f t="shared" si="33"/>
        <v/>
      </c>
      <c r="O291" t="str">
        <f t="shared" si="34"/>
        <v/>
      </c>
      <c r="P291">
        <f>COUNTIF(Homematches[Match ID],Homematches[[#This Row],[Match ID]])</f>
        <v>1</v>
      </c>
    </row>
    <row r="292" spans="1:16" x14ac:dyDescent="0.25">
      <c r="A292" s="2" t="s">
        <v>369</v>
      </c>
      <c r="B292" s="3">
        <v>46403</v>
      </c>
      <c r="C292" t="s">
        <v>4</v>
      </c>
      <c r="D292" t="s">
        <v>20</v>
      </c>
      <c r="I292" t="str">
        <f t="shared" si="28"/>
        <v/>
      </c>
      <c r="J292" t="str">
        <f t="shared" si="29"/>
        <v/>
      </c>
      <c r="K292" t="str">
        <f t="shared" si="30"/>
        <v/>
      </c>
      <c r="L292" t="str">
        <f t="shared" si="31"/>
        <v/>
      </c>
      <c r="M292" t="str">
        <f t="shared" si="32"/>
        <v/>
      </c>
      <c r="N292" t="str">
        <f t="shared" si="33"/>
        <v/>
      </c>
      <c r="O292" t="str">
        <f t="shared" si="34"/>
        <v/>
      </c>
      <c r="P292">
        <f>COUNTIF(Homematches[Match ID],Homematches[[#This Row],[Match ID]])</f>
        <v>1</v>
      </c>
    </row>
    <row r="293" spans="1:16" x14ac:dyDescent="0.25">
      <c r="A293" s="2" t="s">
        <v>370</v>
      </c>
      <c r="B293" s="3">
        <v>46403</v>
      </c>
      <c r="C293" t="s">
        <v>5</v>
      </c>
      <c r="D293" t="s">
        <v>15</v>
      </c>
      <c r="I293" t="str">
        <f t="shared" si="28"/>
        <v/>
      </c>
      <c r="J293" t="str">
        <f t="shared" si="29"/>
        <v/>
      </c>
      <c r="K293" t="str">
        <f t="shared" si="30"/>
        <v/>
      </c>
      <c r="L293" t="str">
        <f t="shared" si="31"/>
        <v/>
      </c>
      <c r="M293" t="str">
        <f t="shared" si="32"/>
        <v/>
      </c>
      <c r="N293" t="str">
        <f t="shared" si="33"/>
        <v/>
      </c>
      <c r="O293" t="str">
        <f t="shared" si="34"/>
        <v/>
      </c>
      <c r="P293">
        <f>COUNTIF(Homematches[Match ID],Homematches[[#This Row],[Match ID]])</f>
        <v>1</v>
      </c>
    </row>
    <row r="294" spans="1:16" x14ac:dyDescent="0.25">
      <c r="A294" s="2" t="s">
        <v>371</v>
      </c>
      <c r="B294" s="3">
        <v>46403</v>
      </c>
      <c r="C294" t="s">
        <v>6</v>
      </c>
      <c r="D294" t="s">
        <v>1</v>
      </c>
      <c r="I294" t="str">
        <f t="shared" si="28"/>
        <v/>
      </c>
      <c r="J294" t="str">
        <f t="shared" si="29"/>
        <v/>
      </c>
      <c r="K294" t="str">
        <f t="shared" si="30"/>
        <v/>
      </c>
      <c r="L294" t="str">
        <f t="shared" si="31"/>
        <v/>
      </c>
      <c r="M294" t="str">
        <f t="shared" si="32"/>
        <v/>
      </c>
      <c r="N294" t="str">
        <f t="shared" si="33"/>
        <v/>
      </c>
      <c r="O294" t="str">
        <f t="shared" si="34"/>
        <v/>
      </c>
      <c r="P294">
        <f>COUNTIF(Homematches[Match ID],Homematches[[#This Row],[Match ID]])</f>
        <v>1</v>
      </c>
    </row>
    <row r="295" spans="1:16" x14ac:dyDescent="0.25">
      <c r="A295" s="2" t="s">
        <v>372</v>
      </c>
      <c r="B295" s="3">
        <v>46403</v>
      </c>
      <c r="C295" t="s">
        <v>7</v>
      </c>
      <c r="D295" t="s">
        <v>9</v>
      </c>
      <c r="I295" t="str">
        <f t="shared" si="28"/>
        <v/>
      </c>
      <c r="J295" t="str">
        <f t="shared" si="29"/>
        <v/>
      </c>
      <c r="K295" t="str">
        <f t="shared" si="30"/>
        <v/>
      </c>
      <c r="L295" t="str">
        <f t="shared" si="31"/>
        <v/>
      </c>
      <c r="M295" t="str">
        <f t="shared" si="32"/>
        <v/>
      </c>
      <c r="N295" t="str">
        <f t="shared" si="33"/>
        <v/>
      </c>
      <c r="O295" t="str">
        <f t="shared" si="34"/>
        <v/>
      </c>
      <c r="P295">
        <f>COUNTIF(Homematches[Match ID],Homematches[[#This Row],[Match ID]])</f>
        <v>1</v>
      </c>
    </row>
    <row r="296" spans="1:16" x14ac:dyDescent="0.25">
      <c r="A296" s="2" t="s">
        <v>373</v>
      </c>
      <c r="B296" s="3">
        <v>46403</v>
      </c>
      <c r="C296" t="s">
        <v>8</v>
      </c>
      <c r="D296" t="s">
        <v>16</v>
      </c>
      <c r="I296" t="str">
        <f t="shared" si="28"/>
        <v/>
      </c>
      <c r="J296" t="str">
        <f t="shared" si="29"/>
        <v/>
      </c>
      <c r="K296" t="str">
        <f t="shared" si="30"/>
        <v/>
      </c>
      <c r="L296" t="str">
        <f t="shared" si="31"/>
        <v/>
      </c>
      <c r="M296" t="str">
        <f t="shared" si="32"/>
        <v/>
      </c>
      <c r="N296" t="str">
        <f t="shared" si="33"/>
        <v/>
      </c>
      <c r="O296" t="str">
        <f t="shared" si="34"/>
        <v/>
      </c>
      <c r="P296">
        <f>COUNTIF(Homematches[Match ID],Homematches[[#This Row],[Match ID]])</f>
        <v>1</v>
      </c>
    </row>
    <row r="297" spans="1:16" x14ac:dyDescent="0.25">
      <c r="A297" s="2" t="s">
        <v>374</v>
      </c>
      <c r="B297" s="3">
        <v>46403</v>
      </c>
      <c r="C297" t="s">
        <v>11</v>
      </c>
      <c r="D297" t="s">
        <v>33</v>
      </c>
      <c r="I297" t="str">
        <f t="shared" si="28"/>
        <v/>
      </c>
      <c r="J297" t="str">
        <f t="shared" si="29"/>
        <v/>
      </c>
      <c r="K297" t="str">
        <f t="shared" si="30"/>
        <v/>
      </c>
      <c r="L297" t="str">
        <f t="shared" si="31"/>
        <v/>
      </c>
      <c r="M297" t="str">
        <f t="shared" si="32"/>
        <v/>
      </c>
      <c r="N297" t="str">
        <f t="shared" si="33"/>
        <v/>
      </c>
      <c r="O297" t="str">
        <f t="shared" si="34"/>
        <v/>
      </c>
      <c r="P297">
        <f>COUNTIF(Homematches[Match ID],Homematches[[#This Row],[Match ID]])</f>
        <v>1</v>
      </c>
    </row>
    <row r="298" spans="1:16" x14ac:dyDescent="0.25">
      <c r="A298" s="2" t="s">
        <v>375</v>
      </c>
      <c r="B298" s="3">
        <v>46403</v>
      </c>
      <c r="C298" t="s">
        <v>13</v>
      </c>
      <c r="D298" t="s">
        <v>22</v>
      </c>
      <c r="I298" t="str">
        <f t="shared" si="28"/>
        <v/>
      </c>
      <c r="J298" t="str">
        <f t="shared" si="29"/>
        <v/>
      </c>
      <c r="K298" t="str">
        <f t="shared" si="30"/>
        <v/>
      </c>
      <c r="L298" t="str">
        <f t="shared" si="31"/>
        <v/>
      </c>
      <c r="M298" t="str">
        <f t="shared" si="32"/>
        <v/>
      </c>
      <c r="N298" t="str">
        <f t="shared" si="33"/>
        <v/>
      </c>
      <c r="O298" t="str">
        <f t="shared" si="34"/>
        <v/>
      </c>
      <c r="P298">
        <f>COUNTIF(Homematches[Match ID],Homematches[[#This Row],[Match ID]])</f>
        <v>1</v>
      </c>
    </row>
    <row r="299" spans="1:16" x14ac:dyDescent="0.25">
      <c r="A299" s="2" t="s">
        <v>376</v>
      </c>
      <c r="B299" s="3">
        <v>46403</v>
      </c>
      <c r="C299" t="s">
        <v>14</v>
      </c>
      <c r="D299" t="s">
        <v>12</v>
      </c>
      <c r="I299" t="str">
        <f t="shared" si="28"/>
        <v/>
      </c>
      <c r="J299" t="str">
        <f t="shared" si="29"/>
        <v/>
      </c>
      <c r="K299" t="str">
        <f t="shared" si="30"/>
        <v/>
      </c>
      <c r="L299" t="str">
        <f t="shared" si="31"/>
        <v/>
      </c>
      <c r="M299" t="str">
        <f t="shared" si="32"/>
        <v/>
      </c>
      <c r="N299" t="str">
        <f t="shared" si="33"/>
        <v/>
      </c>
      <c r="O299" t="str">
        <f t="shared" si="34"/>
        <v/>
      </c>
      <c r="P299">
        <f>COUNTIF(Homematches[Match ID],Homematches[[#This Row],[Match ID]])</f>
        <v>1</v>
      </c>
    </row>
    <row r="300" spans="1:16" x14ac:dyDescent="0.25">
      <c r="A300" s="2" t="s">
        <v>377</v>
      </c>
      <c r="B300" s="3">
        <v>46403</v>
      </c>
      <c r="C300" t="s">
        <v>17</v>
      </c>
      <c r="D300" t="s">
        <v>21</v>
      </c>
      <c r="I300" t="str">
        <f t="shared" si="28"/>
        <v/>
      </c>
      <c r="J300" t="str">
        <f t="shared" si="29"/>
        <v/>
      </c>
      <c r="K300" t="str">
        <f t="shared" si="30"/>
        <v/>
      </c>
      <c r="L300" t="str">
        <f t="shared" si="31"/>
        <v/>
      </c>
      <c r="M300" t="str">
        <f t="shared" si="32"/>
        <v/>
      </c>
      <c r="N300" t="str">
        <f t="shared" si="33"/>
        <v/>
      </c>
      <c r="O300" t="str">
        <f t="shared" si="34"/>
        <v/>
      </c>
      <c r="P300">
        <f>COUNTIF(Homematches[Match ID],Homematches[[#This Row],[Match ID]])</f>
        <v>1</v>
      </c>
    </row>
    <row r="301" spans="1:16" x14ac:dyDescent="0.25">
      <c r="A301" s="2" t="s">
        <v>378</v>
      </c>
      <c r="B301" s="3">
        <v>46403</v>
      </c>
      <c r="C301" t="s">
        <v>19</v>
      </c>
      <c r="D301" t="s">
        <v>3</v>
      </c>
      <c r="I301" t="str">
        <f t="shared" si="28"/>
        <v/>
      </c>
      <c r="J301" t="str">
        <f t="shared" si="29"/>
        <v/>
      </c>
      <c r="K301" t="str">
        <f t="shared" si="30"/>
        <v/>
      </c>
      <c r="L301" t="str">
        <f t="shared" si="31"/>
        <v/>
      </c>
      <c r="M301" t="str">
        <f t="shared" si="32"/>
        <v/>
      </c>
      <c r="N301" t="str">
        <f t="shared" si="33"/>
        <v/>
      </c>
      <c r="O301" t="str">
        <f t="shared" si="34"/>
        <v/>
      </c>
      <c r="P301">
        <f>COUNTIF(Homematches[Match ID],Homematches[[#This Row],[Match ID]])</f>
        <v>1</v>
      </c>
    </row>
    <row r="302" spans="1:16" x14ac:dyDescent="0.25">
      <c r="A302" s="2" t="s">
        <v>379</v>
      </c>
      <c r="B302" s="3">
        <v>46406</v>
      </c>
      <c r="C302" t="s">
        <v>1</v>
      </c>
      <c r="D302" t="s">
        <v>11</v>
      </c>
      <c r="I302" t="str">
        <f t="shared" si="28"/>
        <v/>
      </c>
      <c r="J302" t="str">
        <f t="shared" si="29"/>
        <v/>
      </c>
      <c r="K302" t="str">
        <f t="shared" si="30"/>
        <v/>
      </c>
      <c r="L302" t="str">
        <f t="shared" si="31"/>
        <v/>
      </c>
      <c r="M302" t="str">
        <f t="shared" si="32"/>
        <v/>
      </c>
      <c r="N302" t="str">
        <f t="shared" si="33"/>
        <v/>
      </c>
      <c r="O302" t="str">
        <f t="shared" si="34"/>
        <v/>
      </c>
      <c r="P302">
        <f>COUNTIF(Homematches[Match ID],Homematches[[#This Row],[Match ID]])</f>
        <v>1</v>
      </c>
    </row>
    <row r="303" spans="1:16" x14ac:dyDescent="0.25">
      <c r="A303" s="2" t="s">
        <v>380</v>
      </c>
      <c r="B303" s="3">
        <v>46406</v>
      </c>
      <c r="C303" t="s">
        <v>3</v>
      </c>
      <c r="D303" t="s">
        <v>5</v>
      </c>
      <c r="I303" t="str">
        <f t="shared" si="28"/>
        <v/>
      </c>
      <c r="J303" t="str">
        <f t="shared" si="29"/>
        <v/>
      </c>
      <c r="K303" t="str">
        <f t="shared" si="30"/>
        <v/>
      </c>
      <c r="L303" t="str">
        <f t="shared" si="31"/>
        <v/>
      </c>
      <c r="M303" t="str">
        <f t="shared" si="32"/>
        <v/>
      </c>
      <c r="N303" t="str">
        <f t="shared" si="33"/>
        <v/>
      </c>
      <c r="O303" t="str">
        <f t="shared" si="34"/>
        <v/>
      </c>
      <c r="P303">
        <f>COUNTIF(Homematches[Match ID],Homematches[[#This Row],[Match ID]])</f>
        <v>1</v>
      </c>
    </row>
    <row r="304" spans="1:16" x14ac:dyDescent="0.25">
      <c r="A304" s="2" t="s">
        <v>381</v>
      </c>
      <c r="B304" s="3">
        <v>46406</v>
      </c>
      <c r="C304" t="s">
        <v>9</v>
      </c>
      <c r="D304" t="s">
        <v>4</v>
      </c>
      <c r="I304" t="str">
        <f t="shared" si="28"/>
        <v/>
      </c>
      <c r="J304" t="str">
        <f t="shared" si="29"/>
        <v/>
      </c>
      <c r="K304" t="str">
        <f t="shared" si="30"/>
        <v/>
      </c>
      <c r="L304" t="str">
        <f t="shared" si="31"/>
        <v/>
      </c>
      <c r="M304" t="str">
        <f t="shared" si="32"/>
        <v/>
      </c>
      <c r="N304" t="str">
        <f t="shared" si="33"/>
        <v/>
      </c>
      <c r="O304" t="str">
        <f t="shared" si="34"/>
        <v/>
      </c>
      <c r="P304">
        <f>COUNTIF(Homematches[Match ID],Homematches[[#This Row],[Match ID]])</f>
        <v>1</v>
      </c>
    </row>
    <row r="305" spans="1:16" x14ac:dyDescent="0.25">
      <c r="A305" s="2" t="s">
        <v>382</v>
      </c>
      <c r="B305" s="3">
        <v>46406</v>
      </c>
      <c r="C305" t="s">
        <v>10</v>
      </c>
      <c r="D305" t="s">
        <v>17</v>
      </c>
      <c r="I305" t="str">
        <f t="shared" si="28"/>
        <v/>
      </c>
      <c r="J305" t="str">
        <f t="shared" si="29"/>
        <v/>
      </c>
      <c r="K305" t="str">
        <f t="shared" si="30"/>
        <v/>
      </c>
      <c r="L305" t="str">
        <f t="shared" si="31"/>
        <v/>
      </c>
      <c r="M305" t="str">
        <f t="shared" si="32"/>
        <v/>
      </c>
      <c r="N305" t="str">
        <f t="shared" si="33"/>
        <v/>
      </c>
      <c r="O305" t="str">
        <f t="shared" si="34"/>
        <v/>
      </c>
      <c r="P305">
        <f>COUNTIF(Homematches[Match ID],Homematches[[#This Row],[Match ID]])</f>
        <v>1</v>
      </c>
    </row>
    <row r="306" spans="1:16" x14ac:dyDescent="0.25">
      <c r="A306" s="2" t="s">
        <v>383</v>
      </c>
      <c r="B306" s="3">
        <v>46406</v>
      </c>
      <c r="C306" t="s">
        <v>12</v>
      </c>
      <c r="D306" t="s">
        <v>0</v>
      </c>
      <c r="I306" t="str">
        <f t="shared" si="28"/>
        <v/>
      </c>
      <c r="J306" t="str">
        <f t="shared" si="29"/>
        <v/>
      </c>
      <c r="K306" t="str">
        <f t="shared" si="30"/>
        <v/>
      </c>
      <c r="L306" t="str">
        <f t="shared" si="31"/>
        <v/>
      </c>
      <c r="M306" t="str">
        <f t="shared" si="32"/>
        <v/>
      </c>
      <c r="N306" t="str">
        <f t="shared" si="33"/>
        <v/>
      </c>
      <c r="O306" t="str">
        <f t="shared" si="34"/>
        <v/>
      </c>
      <c r="P306">
        <f>COUNTIF(Homematches[Match ID],Homematches[[#This Row],[Match ID]])</f>
        <v>1</v>
      </c>
    </row>
    <row r="307" spans="1:16" x14ac:dyDescent="0.25">
      <c r="A307" s="2" t="s">
        <v>384</v>
      </c>
      <c r="B307" s="3">
        <v>46406</v>
      </c>
      <c r="C307" t="s">
        <v>33</v>
      </c>
      <c r="D307" t="s">
        <v>2</v>
      </c>
      <c r="I307" t="str">
        <f t="shared" si="28"/>
        <v/>
      </c>
      <c r="J307" t="str">
        <f t="shared" si="29"/>
        <v/>
      </c>
      <c r="K307" t="str">
        <f t="shared" si="30"/>
        <v/>
      </c>
      <c r="L307" t="str">
        <f t="shared" si="31"/>
        <v/>
      </c>
      <c r="M307" t="str">
        <f t="shared" si="32"/>
        <v/>
      </c>
      <c r="N307" t="str">
        <f t="shared" si="33"/>
        <v/>
      </c>
      <c r="O307" t="str">
        <f t="shared" si="34"/>
        <v/>
      </c>
      <c r="P307">
        <f>COUNTIF(Homematches[Match ID],Homematches[[#This Row],[Match ID]])</f>
        <v>1</v>
      </c>
    </row>
    <row r="308" spans="1:16" x14ac:dyDescent="0.25">
      <c r="A308" s="2" t="s">
        <v>385</v>
      </c>
      <c r="B308" s="3">
        <v>46406</v>
      </c>
      <c r="C308" t="s">
        <v>15</v>
      </c>
      <c r="D308" t="s">
        <v>8</v>
      </c>
      <c r="I308" t="str">
        <f t="shared" si="28"/>
        <v/>
      </c>
      <c r="J308" t="str">
        <f t="shared" si="29"/>
        <v/>
      </c>
      <c r="K308" t="str">
        <f t="shared" si="30"/>
        <v/>
      </c>
      <c r="L308" t="str">
        <f t="shared" si="31"/>
        <v/>
      </c>
      <c r="M308" t="str">
        <f t="shared" si="32"/>
        <v/>
      </c>
      <c r="N308" t="str">
        <f t="shared" si="33"/>
        <v/>
      </c>
      <c r="O308" t="str">
        <f t="shared" si="34"/>
        <v/>
      </c>
      <c r="P308">
        <f>COUNTIF(Homematches[Match ID],Homematches[[#This Row],[Match ID]])</f>
        <v>1</v>
      </c>
    </row>
    <row r="309" spans="1:16" x14ac:dyDescent="0.25">
      <c r="A309" s="2" t="s">
        <v>386</v>
      </c>
      <c r="B309" s="3">
        <v>46406</v>
      </c>
      <c r="C309" t="s">
        <v>16</v>
      </c>
      <c r="D309" t="s">
        <v>19</v>
      </c>
      <c r="I309" t="str">
        <f t="shared" si="28"/>
        <v/>
      </c>
      <c r="J309" t="str">
        <f t="shared" si="29"/>
        <v/>
      </c>
      <c r="K309" t="str">
        <f t="shared" si="30"/>
        <v/>
      </c>
      <c r="L309" t="str">
        <f t="shared" si="31"/>
        <v/>
      </c>
      <c r="M309" t="str">
        <f t="shared" si="32"/>
        <v/>
      </c>
      <c r="N309" t="str">
        <f t="shared" si="33"/>
        <v/>
      </c>
      <c r="O309" t="str">
        <f t="shared" si="34"/>
        <v/>
      </c>
      <c r="P309">
        <f>COUNTIF(Homematches[Match ID],Homematches[[#This Row],[Match ID]])</f>
        <v>1</v>
      </c>
    </row>
    <row r="310" spans="1:16" x14ac:dyDescent="0.25">
      <c r="A310" s="2" t="s">
        <v>387</v>
      </c>
      <c r="B310" s="3">
        <v>46406</v>
      </c>
      <c r="C310" t="s">
        <v>18</v>
      </c>
      <c r="D310" t="s">
        <v>13</v>
      </c>
      <c r="I310" t="str">
        <f t="shared" si="28"/>
        <v/>
      </c>
      <c r="J310" t="str">
        <f t="shared" si="29"/>
        <v/>
      </c>
      <c r="K310" t="str">
        <f t="shared" si="30"/>
        <v/>
      </c>
      <c r="L310" t="str">
        <f t="shared" si="31"/>
        <v/>
      </c>
      <c r="M310" t="str">
        <f t="shared" si="32"/>
        <v/>
      </c>
      <c r="N310" t="str">
        <f t="shared" si="33"/>
        <v/>
      </c>
      <c r="O310" t="str">
        <f t="shared" si="34"/>
        <v/>
      </c>
      <c r="P310">
        <f>COUNTIF(Homematches[Match ID],Homematches[[#This Row],[Match ID]])</f>
        <v>1</v>
      </c>
    </row>
    <row r="311" spans="1:16" x14ac:dyDescent="0.25">
      <c r="A311" s="2" t="s">
        <v>388</v>
      </c>
      <c r="B311" s="3">
        <v>46406</v>
      </c>
      <c r="C311" t="s">
        <v>20</v>
      </c>
      <c r="D311" t="s">
        <v>7</v>
      </c>
      <c r="I311" t="str">
        <f t="shared" si="28"/>
        <v/>
      </c>
      <c r="J311" t="str">
        <f t="shared" si="29"/>
        <v/>
      </c>
      <c r="K311" t="str">
        <f t="shared" si="30"/>
        <v/>
      </c>
      <c r="L311" t="str">
        <f t="shared" si="31"/>
        <v/>
      </c>
      <c r="M311" t="str">
        <f t="shared" si="32"/>
        <v/>
      </c>
      <c r="N311" t="str">
        <f t="shared" si="33"/>
        <v/>
      </c>
      <c r="O311" t="str">
        <f t="shared" si="34"/>
        <v/>
      </c>
      <c r="P311">
        <f>COUNTIF(Homematches[Match ID],Homematches[[#This Row],[Match ID]])</f>
        <v>1</v>
      </c>
    </row>
    <row r="312" spans="1:16" x14ac:dyDescent="0.25">
      <c r="A312" s="2" t="s">
        <v>389</v>
      </c>
      <c r="B312" s="3">
        <v>46406</v>
      </c>
      <c r="C312" t="s">
        <v>21</v>
      </c>
      <c r="D312" t="s">
        <v>14</v>
      </c>
      <c r="I312" t="str">
        <f t="shared" si="28"/>
        <v/>
      </c>
      <c r="J312" t="str">
        <f t="shared" si="29"/>
        <v/>
      </c>
      <c r="K312" t="str">
        <f t="shared" si="30"/>
        <v/>
      </c>
      <c r="L312" t="str">
        <f t="shared" si="31"/>
        <v/>
      </c>
      <c r="M312" t="str">
        <f t="shared" si="32"/>
        <v/>
      </c>
      <c r="N312" t="str">
        <f t="shared" si="33"/>
        <v/>
      </c>
      <c r="O312" t="str">
        <f t="shared" si="34"/>
        <v/>
      </c>
      <c r="P312">
        <f>COUNTIF(Homematches[Match ID],Homematches[[#This Row],[Match ID]])</f>
        <v>1</v>
      </c>
    </row>
    <row r="313" spans="1:16" x14ac:dyDescent="0.25">
      <c r="A313" s="2" t="s">
        <v>390</v>
      </c>
      <c r="B313" s="3">
        <v>46406</v>
      </c>
      <c r="C313" t="s">
        <v>22</v>
      </c>
      <c r="D313" t="s">
        <v>6</v>
      </c>
      <c r="I313" t="str">
        <f t="shared" si="28"/>
        <v/>
      </c>
      <c r="J313" t="str">
        <f t="shared" si="29"/>
        <v/>
      </c>
      <c r="K313" t="str">
        <f t="shared" si="30"/>
        <v/>
      </c>
      <c r="L313" t="str">
        <f t="shared" si="31"/>
        <v/>
      </c>
      <c r="M313" t="str">
        <f t="shared" si="32"/>
        <v/>
      </c>
      <c r="N313" t="str">
        <f t="shared" si="33"/>
        <v/>
      </c>
      <c r="O313" t="str">
        <f t="shared" si="34"/>
        <v/>
      </c>
      <c r="P313">
        <f>COUNTIF(Homematches[Match ID],Homematches[[#This Row],[Match ID]])</f>
        <v>1</v>
      </c>
    </row>
    <row r="314" spans="1:16" x14ac:dyDescent="0.25">
      <c r="A314" s="2" t="s">
        <v>391</v>
      </c>
      <c r="B314" s="3">
        <v>46410</v>
      </c>
      <c r="C314" t="s">
        <v>1</v>
      </c>
      <c r="D314" t="s">
        <v>17</v>
      </c>
      <c r="I314" t="str">
        <f t="shared" si="28"/>
        <v/>
      </c>
      <c r="J314" t="str">
        <f t="shared" si="29"/>
        <v/>
      </c>
      <c r="K314" t="str">
        <f t="shared" si="30"/>
        <v/>
      </c>
      <c r="L314" t="str">
        <f t="shared" si="31"/>
        <v/>
      </c>
      <c r="M314" t="str">
        <f t="shared" si="32"/>
        <v/>
      </c>
      <c r="N314" t="str">
        <f t="shared" si="33"/>
        <v/>
      </c>
      <c r="O314" t="str">
        <f t="shared" si="34"/>
        <v/>
      </c>
      <c r="P314">
        <f>COUNTIF(Homematches[Match ID],Homematches[[#This Row],[Match ID]])</f>
        <v>1</v>
      </c>
    </row>
    <row r="315" spans="1:16" x14ac:dyDescent="0.25">
      <c r="A315" s="2" t="s">
        <v>392</v>
      </c>
      <c r="B315" s="3">
        <v>46410</v>
      </c>
      <c r="C315" t="s">
        <v>3</v>
      </c>
      <c r="D315" t="s">
        <v>14</v>
      </c>
      <c r="I315" t="str">
        <f t="shared" si="28"/>
        <v/>
      </c>
      <c r="J315" t="str">
        <f t="shared" si="29"/>
        <v/>
      </c>
      <c r="K315" t="str">
        <f t="shared" si="30"/>
        <v/>
      </c>
      <c r="L315" t="str">
        <f t="shared" si="31"/>
        <v/>
      </c>
      <c r="M315" t="str">
        <f t="shared" si="32"/>
        <v/>
      </c>
      <c r="N315" t="str">
        <f t="shared" si="33"/>
        <v/>
      </c>
      <c r="O315" t="str">
        <f t="shared" si="34"/>
        <v/>
      </c>
      <c r="P315">
        <f>COUNTIF(Homematches[Match ID],Homematches[[#This Row],[Match ID]])</f>
        <v>1</v>
      </c>
    </row>
    <row r="316" spans="1:16" x14ac:dyDescent="0.25">
      <c r="A316" s="2" t="s">
        <v>393</v>
      </c>
      <c r="B316" s="3">
        <v>46410</v>
      </c>
      <c r="C316" t="s">
        <v>9</v>
      </c>
      <c r="D316" t="s">
        <v>11</v>
      </c>
      <c r="I316" t="str">
        <f t="shared" si="28"/>
        <v/>
      </c>
      <c r="J316" t="str">
        <f t="shared" si="29"/>
        <v/>
      </c>
      <c r="K316" t="str">
        <f t="shared" si="30"/>
        <v/>
      </c>
      <c r="L316" t="str">
        <f t="shared" si="31"/>
        <v/>
      </c>
      <c r="M316" t="str">
        <f t="shared" si="32"/>
        <v/>
      </c>
      <c r="N316" t="str">
        <f t="shared" si="33"/>
        <v/>
      </c>
      <c r="O316" t="str">
        <f t="shared" si="34"/>
        <v/>
      </c>
      <c r="P316">
        <f>COUNTIF(Homematches[Match ID],Homematches[[#This Row],[Match ID]])</f>
        <v>1</v>
      </c>
    </row>
    <row r="317" spans="1:16" x14ac:dyDescent="0.25">
      <c r="A317" s="2" t="s">
        <v>394</v>
      </c>
      <c r="B317" s="3">
        <v>46410</v>
      </c>
      <c r="C317" t="s">
        <v>10</v>
      </c>
      <c r="D317" t="s">
        <v>5</v>
      </c>
      <c r="I317" t="str">
        <f t="shared" si="28"/>
        <v/>
      </c>
      <c r="J317" t="str">
        <f t="shared" si="29"/>
        <v/>
      </c>
      <c r="K317" t="str">
        <f t="shared" si="30"/>
        <v/>
      </c>
      <c r="L317" t="str">
        <f t="shared" si="31"/>
        <v/>
      </c>
      <c r="M317" t="str">
        <f t="shared" si="32"/>
        <v/>
      </c>
      <c r="N317" t="str">
        <f t="shared" si="33"/>
        <v/>
      </c>
      <c r="O317" t="str">
        <f t="shared" si="34"/>
        <v/>
      </c>
      <c r="P317">
        <f>COUNTIF(Homematches[Match ID],Homematches[[#This Row],[Match ID]])</f>
        <v>1</v>
      </c>
    </row>
    <row r="318" spans="1:16" x14ac:dyDescent="0.25">
      <c r="A318" s="2" t="s">
        <v>395</v>
      </c>
      <c r="B318" s="3">
        <v>46410</v>
      </c>
      <c r="C318" t="s">
        <v>12</v>
      </c>
      <c r="D318" t="s">
        <v>2</v>
      </c>
      <c r="I318" t="str">
        <f t="shared" si="28"/>
        <v/>
      </c>
      <c r="J318" t="str">
        <f t="shared" si="29"/>
        <v/>
      </c>
      <c r="K318" t="str">
        <f t="shared" si="30"/>
        <v/>
      </c>
      <c r="L318" t="str">
        <f t="shared" si="31"/>
        <v/>
      </c>
      <c r="M318" t="str">
        <f t="shared" si="32"/>
        <v/>
      </c>
      <c r="N318" t="str">
        <f t="shared" si="33"/>
        <v/>
      </c>
      <c r="O318" t="str">
        <f t="shared" si="34"/>
        <v/>
      </c>
      <c r="P318">
        <f>COUNTIF(Homematches[Match ID],Homematches[[#This Row],[Match ID]])</f>
        <v>1</v>
      </c>
    </row>
    <row r="319" spans="1:16" x14ac:dyDescent="0.25">
      <c r="A319" s="2" t="s">
        <v>396</v>
      </c>
      <c r="B319" s="3">
        <v>46410</v>
      </c>
      <c r="C319" t="s">
        <v>33</v>
      </c>
      <c r="D319" t="s">
        <v>19</v>
      </c>
      <c r="I319" t="str">
        <f t="shared" si="28"/>
        <v/>
      </c>
      <c r="J319" t="str">
        <f t="shared" si="29"/>
        <v/>
      </c>
      <c r="K319" t="str">
        <f t="shared" si="30"/>
        <v/>
      </c>
      <c r="L319" t="str">
        <f t="shared" si="31"/>
        <v/>
      </c>
      <c r="M319" t="str">
        <f t="shared" si="32"/>
        <v/>
      </c>
      <c r="N319" t="str">
        <f t="shared" si="33"/>
        <v/>
      </c>
      <c r="O319" t="str">
        <f t="shared" si="34"/>
        <v/>
      </c>
      <c r="P319">
        <f>COUNTIF(Homematches[Match ID],Homematches[[#This Row],[Match ID]])</f>
        <v>1</v>
      </c>
    </row>
    <row r="320" spans="1:16" x14ac:dyDescent="0.25">
      <c r="A320" s="2" t="s">
        <v>397</v>
      </c>
      <c r="B320" s="3">
        <v>46410</v>
      </c>
      <c r="C320" t="s">
        <v>15</v>
      </c>
      <c r="D320" t="s">
        <v>4</v>
      </c>
      <c r="I320" t="str">
        <f t="shared" si="28"/>
        <v/>
      </c>
      <c r="J320" t="str">
        <f t="shared" si="29"/>
        <v/>
      </c>
      <c r="K320" t="str">
        <f t="shared" si="30"/>
        <v/>
      </c>
      <c r="L320" t="str">
        <f t="shared" si="31"/>
        <v/>
      </c>
      <c r="M320" t="str">
        <f t="shared" si="32"/>
        <v/>
      </c>
      <c r="N320" t="str">
        <f t="shared" si="33"/>
        <v/>
      </c>
      <c r="O320" t="str">
        <f t="shared" si="34"/>
        <v/>
      </c>
      <c r="P320">
        <f>COUNTIF(Homematches[Match ID],Homematches[[#This Row],[Match ID]])</f>
        <v>1</v>
      </c>
    </row>
    <row r="321" spans="1:16" x14ac:dyDescent="0.25">
      <c r="A321" s="2" t="s">
        <v>398</v>
      </c>
      <c r="B321" s="3">
        <v>46410</v>
      </c>
      <c r="C321" t="s">
        <v>16</v>
      </c>
      <c r="D321" t="s">
        <v>6</v>
      </c>
      <c r="I321" t="str">
        <f t="shared" si="28"/>
        <v/>
      </c>
      <c r="J321" t="str">
        <f t="shared" si="29"/>
        <v/>
      </c>
      <c r="K321" t="str">
        <f t="shared" si="30"/>
        <v/>
      </c>
      <c r="L321" t="str">
        <f t="shared" si="31"/>
        <v/>
      </c>
      <c r="M321" t="str">
        <f t="shared" si="32"/>
        <v/>
      </c>
      <c r="N321" t="str">
        <f t="shared" si="33"/>
        <v/>
      </c>
      <c r="O321" t="str">
        <f t="shared" si="34"/>
        <v/>
      </c>
      <c r="P321">
        <f>COUNTIF(Homematches[Match ID],Homematches[[#This Row],[Match ID]])</f>
        <v>1</v>
      </c>
    </row>
    <row r="322" spans="1:16" x14ac:dyDescent="0.25">
      <c r="A322" s="2" t="s">
        <v>399</v>
      </c>
      <c r="B322" s="3">
        <v>46410</v>
      </c>
      <c r="C322" t="s">
        <v>18</v>
      </c>
      <c r="D322" t="s">
        <v>7</v>
      </c>
      <c r="I322" t="str">
        <f t="shared" ref="I322:I385" si="35">IF(E322="","",E322-F322)</f>
        <v/>
      </c>
      <c r="J322" t="str">
        <f t="shared" ref="J322:J385" si="36">IF(G322="","",G322-H322)</f>
        <v/>
      </c>
      <c r="K322" t="str">
        <f t="shared" ref="K322:K385" si="37">IF(E322="","",E322+F322)</f>
        <v/>
      </c>
      <c r="L322" t="str">
        <f t="shared" ref="L322:L385" si="38">IF(G322="","",G322+H322)</f>
        <v/>
      </c>
      <c r="M322" t="str">
        <f t="shared" ref="M322:M385" si="39">IF(G322="","",G322-E322)</f>
        <v/>
      </c>
      <c r="N322" t="str">
        <f t="shared" ref="N322:N385" si="40">IF(H322="","",H322-F322)</f>
        <v/>
      </c>
      <c r="O322" t="str">
        <f t="shared" ref="O322:O385" si="41">IF(G322="","",IF(G322&gt;H322,"Home Win",IF(G322&lt;H322,"Away Win","Draw")))</f>
        <v/>
      </c>
      <c r="P322">
        <f>COUNTIF(Homematches[Match ID],Homematches[[#This Row],[Match ID]])</f>
        <v>1</v>
      </c>
    </row>
    <row r="323" spans="1:16" x14ac:dyDescent="0.25">
      <c r="A323" s="2" t="s">
        <v>400</v>
      </c>
      <c r="B323" s="3">
        <v>46410</v>
      </c>
      <c r="C323" t="s">
        <v>20</v>
      </c>
      <c r="D323" t="s">
        <v>13</v>
      </c>
      <c r="I323" t="str">
        <f t="shared" si="35"/>
        <v/>
      </c>
      <c r="J323" t="str">
        <f t="shared" si="36"/>
        <v/>
      </c>
      <c r="K323" t="str">
        <f t="shared" si="37"/>
        <v/>
      </c>
      <c r="L323" t="str">
        <f t="shared" si="38"/>
        <v/>
      </c>
      <c r="M323" t="str">
        <f t="shared" si="39"/>
        <v/>
      </c>
      <c r="N323" t="str">
        <f t="shared" si="40"/>
        <v/>
      </c>
      <c r="O323" t="str">
        <f t="shared" si="41"/>
        <v/>
      </c>
      <c r="P323">
        <f>COUNTIF(Homematches[Match ID],Homematches[[#This Row],[Match ID]])</f>
        <v>1</v>
      </c>
    </row>
    <row r="324" spans="1:16" x14ac:dyDescent="0.25">
      <c r="A324" s="2" t="s">
        <v>401</v>
      </c>
      <c r="B324" s="3">
        <v>46410</v>
      </c>
      <c r="C324" t="s">
        <v>21</v>
      </c>
      <c r="D324" t="s">
        <v>8</v>
      </c>
      <c r="I324" t="str">
        <f t="shared" si="35"/>
        <v/>
      </c>
      <c r="J324" t="str">
        <f t="shared" si="36"/>
        <v/>
      </c>
      <c r="K324" t="str">
        <f t="shared" si="37"/>
        <v/>
      </c>
      <c r="L324" t="str">
        <f t="shared" si="38"/>
        <v/>
      </c>
      <c r="M324" t="str">
        <f t="shared" si="39"/>
        <v/>
      </c>
      <c r="N324" t="str">
        <f t="shared" si="40"/>
        <v/>
      </c>
      <c r="O324" t="str">
        <f t="shared" si="41"/>
        <v/>
      </c>
      <c r="P324">
        <f>COUNTIF(Homematches[Match ID],Homematches[[#This Row],[Match ID]])</f>
        <v>1</v>
      </c>
    </row>
    <row r="325" spans="1:16" x14ac:dyDescent="0.25">
      <c r="A325" s="2" t="s">
        <v>402</v>
      </c>
      <c r="B325" s="3">
        <v>46410</v>
      </c>
      <c r="C325" t="s">
        <v>22</v>
      </c>
      <c r="D325" t="s">
        <v>0</v>
      </c>
      <c r="I325" t="str">
        <f t="shared" si="35"/>
        <v/>
      </c>
      <c r="J325" t="str">
        <f t="shared" si="36"/>
        <v/>
      </c>
      <c r="K325" t="str">
        <f t="shared" si="37"/>
        <v/>
      </c>
      <c r="L325" t="str">
        <f t="shared" si="38"/>
        <v/>
      </c>
      <c r="M325" t="str">
        <f t="shared" si="39"/>
        <v/>
      </c>
      <c r="N325" t="str">
        <f t="shared" si="40"/>
        <v/>
      </c>
      <c r="O325" t="str">
        <f t="shared" si="41"/>
        <v/>
      </c>
      <c r="P325">
        <f>COUNTIF(Homematches[Match ID],Homematches[[#This Row],[Match ID]])</f>
        <v>1</v>
      </c>
    </row>
    <row r="326" spans="1:16" x14ac:dyDescent="0.25">
      <c r="A326" s="2" t="s">
        <v>403</v>
      </c>
      <c r="B326" s="3">
        <v>46417</v>
      </c>
      <c r="C326" t="s">
        <v>0</v>
      </c>
      <c r="D326" t="s">
        <v>20</v>
      </c>
      <c r="I326" t="str">
        <f t="shared" si="35"/>
        <v/>
      </c>
      <c r="J326" t="str">
        <f t="shared" si="36"/>
        <v/>
      </c>
      <c r="K326" t="str">
        <f t="shared" si="37"/>
        <v/>
      </c>
      <c r="L326" t="str">
        <f t="shared" si="38"/>
        <v/>
      </c>
      <c r="M326" t="str">
        <f t="shared" si="39"/>
        <v/>
      </c>
      <c r="N326" t="str">
        <f t="shared" si="40"/>
        <v/>
      </c>
      <c r="O326" t="str">
        <f t="shared" si="41"/>
        <v/>
      </c>
      <c r="P326">
        <f>COUNTIF(Homematches[Match ID],Homematches[[#This Row],[Match ID]])</f>
        <v>1</v>
      </c>
    </row>
    <row r="327" spans="1:16" x14ac:dyDescent="0.25">
      <c r="A327" s="2" t="s">
        <v>404</v>
      </c>
      <c r="B327" s="3">
        <v>46417</v>
      </c>
      <c r="C327" t="s">
        <v>2</v>
      </c>
      <c r="D327" t="s">
        <v>18</v>
      </c>
      <c r="I327" t="str">
        <f t="shared" si="35"/>
        <v/>
      </c>
      <c r="J327" t="str">
        <f t="shared" si="36"/>
        <v/>
      </c>
      <c r="K327" t="str">
        <f t="shared" si="37"/>
        <v/>
      </c>
      <c r="L327" t="str">
        <f t="shared" si="38"/>
        <v/>
      </c>
      <c r="M327" t="str">
        <f t="shared" si="39"/>
        <v/>
      </c>
      <c r="N327" t="str">
        <f t="shared" si="40"/>
        <v/>
      </c>
      <c r="O327" t="str">
        <f t="shared" si="41"/>
        <v/>
      </c>
      <c r="P327">
        <f>COUNTIF(Homematches[Match ID],Homematches[[#This Row],[Match ID]])</f>
        <v>1</v>
      </c>
    </row>
    <row r="328" spans="1:16" x14ac:dyDescent="0.25">
      <c r="A328" s="2" t="s">
        <v>405</v>
      </c>
      <c r="B328" s="3">
        <v>46417</v>
      </c>
      <c r="C328" t="s">
        <v>4</v>
      </c>
      <c r="D328" t="s">
        <v>21</v>
      </c>
      <c r="I328" t="str">
        <f t="shared" si="35"/>
        <v/>
      </c>
      <c r="J328" t="str">
        <f t="shared" si="36"/>
        <v/>
      </c>
      <c r="K328" t="str">
        <f t="shared" si="37"/>
        <v/>
      </c>
      <c r="L328" t="str">
        <f t="shared" si="38"/>
        <v/>
      </c>
      <c r="M328" t="str">
        <f t="shared" si="39"/>
        <v/>
      </c>
      <c r="N328" t="str">
        <f t="shared" si="40"/>
        <v/>
      </c>
      <c r="O328" t="str">
        <f t="shared" si="41"/>
        <v/>
      </c>
      <c r="P328">
        <f>COUNTIF(Homematches[Match ID],Homematches[[#This Row],[Match ID]])</f>
        <v>1</v>
      </c>
    </row>
    <row r="329" spans="1:16" x14ac:dyDescent="0.25">
      <c r="A329" s="2" t="s">
        <v>406</v>
      </c>
      <c r="B329" s="3">
        <v>46417</v>
      </c>
      <c r="C329" t="s">
        <v>5</v>
      </c>
      <c r="D329" t="s">
        <v>22</v>
      </c>
      <c r="I329" t="str">
        <f t="shared" si="35"/>
        <v/>
      </c>
      <c r="J329" t="str">
        <f t="shared" si="36"/>
        <v/>
      </c>
      <c r="K329" t="str">
        <f t="shared" si="37"/>
        <v/>
      </c>
      <c r="L329" t="str">
        <f t="shared" si="38"/>
        <v/>
      </c>
      <c r="M329" t="str">
        <f t="shared" si="39"/>
        <v/>
      </c>
      <c r="N329" t="str">
        <f t="shared" si="40"/>
        <v/>
      </c>
      <c r="O329" t="str">
        <f t="shared" si="41"/>
        <v/>
      </c>
      <c r="P329">
        <f>COUNTIF(Homematches[Match ID],Homematches[[#This Row],[Match ID]])</f>
        <v>1</v>
      </c>
    </row>
    <row r="330" spans="1:16" x14ac:dyDescent="0.25">
      <c r="A330" s="2" t="s">
        <v>407</v>
      </c>
      <c r="B330" s="3">
        <v>46417</v>
      </c>
      <c r="C330" t="s">
        <v>6</v>
      </c>
      <c r="D330" t="s">
        <v>10</v>
      </c>
      <c r="I330" t="str">
        <f t="shared" si="35"/>
        <v/>
      </c>
      <c r="J330" t="str">
        <f t="shared" si="36"/>
        <v/>
      </c>
      <c r="K330" t="str">
        <f t="shared" si="37"/>
        <v/>
      </c>
      <c r="L330" t="str">
        <f t="shared" si="38"/>
        <v/>
      </c>
      <c r="M330" t="str">
        <f t="shared" si="39"/>
        <v/>
      </c>
      <c r="N330" t="str">
        <f t="shared" si="40"/>
        <v/>
      </c>
      <c r="O330" t="str">
        <f t="shared" si="41"/>
        <v/>
      </c>
      <c r="P330">
        <f>COUNTIF(Homematches[Match ID],Homematches[[#This Row],[Match ID]])</f>
        <v>1</v>
      </c>
    </row>
    <row r="331" spans="1:16" x14ac:dyDescent="0.25">
      <c r="A331" s="2" t="s">
        <v>408</v>
      </c>
      <c r="B331" s="3">
        <v>46417</v>
      </c>
      <c r="C331" t="s">
        <v>7</v>
      </c>
      <c r="D331" t="s">
        <v>33</v>
      </c>
      <c r="I331" t="str">
        <f t="shared" si="35"/>
        <v/>
      </c>
      <c r="J331" t="str">
        <f t="shared" si="36"/>
        <v/>
      </c>
      <c r="K331" t="str">
        <f t="shared" si="37"/>
        <v/>
      </c>
      <c r="L331" t="str">
        <f t="shared" si="38"/>
        <v/>
      </c>
      <c r="M331" t="str">
        <f t="shared" si="39"/>
        <v/>
      </c>
      <c r="N331" t="str">
        <f t="shared" si="40"/>
        <v/>
      </c>
      <c r="O331" t="str">
        <f t="shared" si="41"/>
        <v/>
      </c>
      <c r="P331">
        <f>COUNTIF(Homematches[Match ID],Homematches[[#This Row],[Match ID]])</f>
        <v>1</v>
      </c>
    </row>
    <row r="332" spans="1:16" x14ac:dyDescent="0.25">
      <c r="A332" s="2" t="s">
        <v>409</v>
      </c>
      <c r="B332" s="3">
        <v>46417</v>
      </c>
      <c r="C332" t="s">
        <v>8</v>
      </c>
      <c r="D332" t="s">
        <v>3</v>
      </c>
      <c r="I332" t="str">
        <f t="shared" si="35"/>
        <v/>
      </c>
      <c r="J332" t="str">
        <f t="shared" si="36"/>
        <v/>
      </c>
      <c r="K332" t="str">
        <f t="shared" si="37"/>
        <v/>
      </c>
      <c r="L332" t="str">
        <f t="shared" si="38"/>
        <v/>
      </c>
      <c r="M332" t="str">
        <f t="shared" si="39"/>
        <v/>
      </c>
      <c r="N332" t="str">
        <f t="shared" si="40"/>
        <v/>
      </c>
      <c r="O332" t="str">
        <f t="shared" si="41"/>
        <v/>
      </c>
      <c r="P332">
        <f>COUNTIF(Homematches[Match ID],Homematches[[#This Row],[Match ID]])</f>
        <v>1</v>
      </c>
    </row>
    <row r="333" spans="1:16" x14ac:dyDescent="0.25">
      <c r="A333" s="2" t="s">
        <v>410</v>
      </c>
      <c r="B333" s="3">
        <v>46417</v>
      </c>
      <c r="C333" t="s">
        <v>11</v>
      </c>
      <c r="D333" t="s">
        <v>15</v>
      </c>
      <c r="I333" t="str">
        <f t="shared" si="35"/>
        <v/>
      </c>
      <c r="J333" t="str">
        <f t="shared" si="36"/>
        <v/>
      </c>
      <c r="K333" t="str">
        <f t="shared" si="37"/>
        <v/>
      </c>
      <c r="L333" t="str">
        <f t="shared" si="38"/>
        <v/>
      </c>
      <c r="M333" t="str">
        <f t="shared" si="39"/>
        <v/>
      </c>
      <c r="N333" t="str">
        <f t="shared" si="40"/>
        <v/>
      </c>
      <c r="O333" t="str">
        <f t="shared" si="41"/>
        <v/>
      </c>
      <c r="P333">
        <f>COUNTIF(Homematches[Match ID],Homematches[[#This Row],[Match ID]])</f>
        <v>1</v>
      </c>
    </row>
    <row r="334" spans="1:16" x14ac:dyDescent="0.25">
      <c r="A334" s="2" t="s">
        <v>411</v>
      </c>
      <c r="B334" s="3">
        <v>46417</v>
      </c>
      <c r="C334" t="s">
        <v>13</v>
      </c>
      <c r="D334" t="s">
        <v>12</v>
      </c>
      <c r="I334" t="str">
        <f t="shared" si="35"/>
        <v/>
      </c>
      <c r="J334" t="str">
        <f t="shared" si="36"/>
        <v/>
      </c>
      <c r="K334" t="str">
        <f t="shared" si="37"/>
        <v/>
      </c>
      <c r="L334" t="str">
        <f t="shared" si="38"/>
        <v/>
      </c>
      <c r="M334" t="str">
        <f t="shared" si="39"/>
        <v/>
      </c>
      <c r="N334" t="str">
        <f t="shared" si="40"/>
        <v/>
      </c>
      <c r="O334" t="str">
        <f t="shared" si="41"/>
        <v/>
      </c>
      <c r="P334">
        <f>COUNTIF(Homematches[Match ID],Homematches[[#This Row],[Match ID]])</f>
        <v>1</v>
      </c>
    </row>
    <row r="335" spans="1:16" x14ac:dyDescent="0.25">
      <c r="A335" s="2" t="s">
        <v>412</v>
      </c>
      <c r="B335" s="3">
        <v>46417</v>
      </c>
      <c r="C335" t="s">
        <v>14</v>
      </c>
      <c r="D335" t="s">
        <v>1</v>
      </c>
      <c r="I335" t="str">
        <f t="shared" si="35"/>
        <v/>
      </c>
      <c r="J335" t="str">
        <f t="shared" si="36"/>
        <v/>
      </c>
      <c r="K335" t="str">
        <f t="shared" si="37"/>
        <v/>
      </c>
      <c r="L335" t="str">
        <f t="shared" si="38"/>
        <v/>
      </c>
      <c r="M335" t="str">
        <f t="shared" si="39"/>
        <v/>
      </c>
      <c r="N335" t="str">
        <f t="shared" si="40"/>
        <v/>
      </c>
      <c r="O335" t="str">
        <f t="shared" si="41"/>
        <v/>
      </c>
      <c r="P335">
        <f>COUNTIF(Homematches[Match ID],Homematches[[#This Row],[Match ID]])</f>
        <v>1</v>
      </c>
    </row>
    <row r="336" spans="1:16" x14ac:dyDescent="0.25">
      <c r="A336" s="2" t="s">
        <v>413</v>
      </c>
      <c r="B336" s="3">
        <v>46417</v>
      </c>
      <c r="C336" t="s">
        <v>17</v>
      </c>
      <c r="D336" t="s">
        <v>16</v>
      </c>
      <c r="I336" t="str">
        <f t="shared" si="35"/>
        <v/>
      </c>
      <c r="J336" t="str">
        <f t="shared" si="36"/>
        <v/>
      </c>
      <c r="K336" t="str">
        <f t="shared" si="37"/>
        <v/>
      </c>
      <c r="L336" t="str">
        <f t="shared" si="38"/>
        <v/>
      </c>
      <c r="M336" t="str">
        <f t="shared" si="39"/>
        <v/>
      </c>
      <c r="N336" t="str">
        <f t="shared" si="40"/>
        <v/>
      </c>
      <c r="O336" t="str">
        <f t="shared" si="41"/>
        <v/>
      </c>
      <c r="P336">
        <f>COUNTIF(Homematches[Match ID],Homematches[[#This Row],[Match ID]])</f>
        <v>1</v>
      </c>
    </row>
    <row r="337" spans="1:16" x14ac:dyDescent="0.25">
      <c r="A337" s="2" t="s">
        <v>414</v>
      </c>
      <c r="B337" s="3">
        <v>46417</v>
      </c>
      <c r="C337" t="s">
        <v>19</v>
      </c>
      <c r="D337" t="s">
        <v>9</v>
      </c>
      <c r="I337" t="str">
        <f t="shared" si="35"/>
        <v/>
      </c>
      <c r="J337" t="str">
        <f t="shared" si="36"/>
        <v/>
      </c>
      <c r="K337" t="str">
        <f t="shared" si="37"/>
        <v/>
      </c>
      <c r="L337" t="str">
        <f t="shared" si="38"/>
        <v/>
      </c>
      <c r="M337" t="str">
        <f t="shared" si="39"/>
        <v/>
      </c>
      <c r="N337" t="str">
        <f t="shared" si="40"/>
        <v/>
      </c>
      <c r="O337" t="str">
        <f t="shared" si="41"/>
        <v/>
      </c>
      <c r="P337">
        <f>COUNTIF(Homematches[Match ID],Homematches[[#This Row],[Match ID]])</f>
        <v>1</v>
      </c>
    </row>
    <row r="338" spans="1:16" x14ac:dyDescent="0.25">
      <c r="A338" s="2" t="s">
        <v>415</v>
      </c>
      <c r="B338" s="3">
        <v>46424</v>
      </c>
      <c r="C338" t="s">
        <v>1</v>
      </c>
      <c r="D338" t="s">
        <v>10</v>
      </c>
      <c r="I338" t="str">
        <f t="shared" si="35"/>
        <v/>
      </c>
      <c r="J338" t="str">
        <f t="shared" si="36"/>
        <v/>
      </c>
      <c r="K338" t="str">
        <f t="shared" si="37"/>
        <v/>
      </c>
      <c r="L338" t="str">
        <f t="shared" si="38"/>
        <v/>
      </c>
      <c r="M338" t="str">
        <f t="shared" si="39"/>
        <v/>
      </c>
      <c r="N338" t="str">
        <f t="shared" si="40"/>
        <v/>
      </c>
      <c r="O338" t="str">
        <f t="shared" si="41"/>
        <v/>
      </c>
      <c r="P338">
        <f>COUNTIF(Homematches[Match ID],Homematches[[#This Row],[Match ID]])</f>
        <v>1</v>
      </c>
    </row>
    <row r="339" spans="1:16" x14ac:dyDescent="0.25">
      <c r="A339" s="2" t="s">
        <v>416</v>
      </c>
      <c r="B339" s="3">
        <v>46424</v>
      </c>
      <c r="C339" t="s">
        <v>3</v>
      </c>
      <c r="D339" t="s">
        <v>16</v>
      </c>
      <c r="I339" t="str">
        <f t="shared" si="35"/>
        <v/>
      </c>
      <c r="J339" t="str">
        <f t="shared" si="36"/>
        <v/>
      </c>
      <c r="K339" t="str">
        <f t="shared" si="37"/>
        <v/>
      </c>
      <c r="L339" t="str">
        <f t="shared" si="38"/>
        <v/>
      </c>
      <c r="M339" t="str">
        <f t="shared" si="39"/>
        <v/>
      </c>
      <c r="N339" t="str">
        <f t="shared" si="40"/>
        <v/>
      </c>
      <c r="O339" t="str">
        <f t="shared" si="41"/>
        <v/>
      </c>
      <c r="P339">
        <f>COUNTIF(Homematches[Match ID],Homematches[[#This Row],[Match ID]])</f>
        <v>1</v>
      </c>
    </row>
    <row r="340" spans="1:16" x14ac:dyDescent="0.25">
      <c r="A340" s="2" t="s">
        <v>417</v>
      </c>
      <c r="B340" s="3">
        <v>46424</v>
      </c>
      <c r="C340" t="s">
        <v>4</v>
      </c>
      <c r="D340" t="s">
        <v>18</v>
      </c>
      <c r="I340" t="str">
        <f t="shared" si="35"/>
        <v/>
      </c>
      <c r="J340" t="str">
        <f t="shared" si="36"/>
        <v/>
      </c>
      <c r="K340" t="str">
        <f t="shared" si="37"/>
        <v/>
      </c>
      <c r="L340" t="str">
        <f t="shared" si="38"/>
        <v/>
      </c>
      <c r="M340" t="str">
        <f t="shared" si="39"/>
        <v/>
      </c>
      <c r="N340" t="str">
        <f t="shared" si="40"/>
        <v/>
      </c>
      <c r="O340" t="str">
        <f t="shared" si="41"/>
        <v/>
      </c>
      <c r="P340">
        <f>COUNTIF(Homematches[Match ID],Homematches[[#This Row],[Match ID]])</f>
        <v>1</v>
      </c>
    </row>
    <row r="341" spans="1:16" x14ac:dyDescent="0.25">
      <c r="A341" s="2" t="s">
        <v>418</v>
      </c>
      <c r="B341" s="3">
        <v>46424</v>
      </c>
      <c r="C341" t="s">
        <v>5</v>
      </c>
      <c r="D341" t="s">
        <v>13</v>
      </c>
      <c r="I341" t="str">
        <f t="shared" si="35"/>
        <v/>
      </c>
      <c r="J341" t="str">
        <f t="shared" si="36"/>
        <v/>
      </c>
      <c r="K341" t="str">
        <f t="shared" si="37"/>
        <v/>
      </c>
      <c r="L341" t="str">
        <f t="shared" si="38"/>
        <v/>
      </c>
      <c r="M341" t="str">
        <f t="shared" si="39"/>
        <v/>
      </c>
      <c r="N341" t="str">
        <f t="shared" si="40"/>
        <v/>
      </c>
      <c r="O341" t="str">
        <f t="shared" si="41"/>
        <v/>
      </c>
      <c r="P341">
        <f>COUNTIF(Homematches[Match ID],Homematches[[#This Row],[Match ID]])</f>
        <v>1</v>
      </c>
    </row>
    <row r="342" spans="1:16" x14ac:dyDescent="0.25">
      <c r="A342" s="2" t="s">
        <v>419</v>
      </c>
      <c r="B342" s="3">
        <v>46424</v>
      </c>
      <c r="C342" t="s">
        <v>7</v>
      </c>
      <c r="D342" t="s">
        <v>19</v>
      </c>
      <c r="I342" t="str">
        <f t="shared" si="35"/>
        <v/>
      </c>
      <c r="J342" t="str">
        <f t="shared" si="36"/>
        <v/>
      </c>
      <c r="K342" t="str">
        <f t="shared" si="37"/>
        <v/>
      </c>
      <c r="L342" t="str">
        <f t="shared" si="38"/>
        <v/>
      </c>
      <c r="M342" t="str">
        <f t="shared" si="39"/>
        <v/>
      </c>
      <c r="N342" t="str">
        <f t="shared" si="40"/>
        <v/>
      </c>
      <c r="O342" t="str">
        <f t="shared" si="41"/>
        <v/>
      </c>
      <c r="P342">
        <f>COUNTIF(Homematches[Match ID],Homematches[[#This Row],[Match ID]])</f>
        <v>1</v>
      </c>
    </row>
    <row r="343" spans="1:16" x14ac:dyDescent="0.25">
      <c r="A343" s="2" t="s">
        <v>420</v>
      </c>
      <c r="B343" s="3">
        <v>46424</v>
      </c>
      <c r="C343" t="s">
        <v>8</v>
      </c>
      <c r="D343" t="s">
        <v>6</v>
      </c>
      <c r="I343" t="str">
        <f t="shared" si="35"/>
        <v/>
      </c>
      <c r="J343" t="str">
        <f t="shared" si="36"/>
        <v/>
      </c>
      <c r="K343" t="str">
        <f t="shared" si="37"/>
        <v/>
      </c>
      <c r="L343" t="str">
        <f t="shared" si="38"/>
        <v/>
      </c>
      <c r="M343" t="str">
        <f t="shared" si="39"/>
        <v/>
      </c>
      <c r="N343" t="str">
        <f t="shared" si="40"/>
        <v/>
      </c>
      <c r="O343" t="str">
        <f t="shared" si="41"/>
        <v/>
      </c>
      <c r="P343">
        <f>COUNTIF(Homematches[Match ID],Homematches[[#This Row],[Match ID]])</f>
        <v>1</v>
      </c>
    </row>
    <row r="344" spans="1:16" x14ac:dyDescent="0.25">
      <c r="A344" s="2" t="s">
        <v>421</v>
      </c>
      <c r="B344" s="3">
        <v>46424</v>
      </c>
      <c r="C344" t="s">
        <v>9</v>
      </c>
      <c r="D344" t="s">
        <v>33</v>
      </c>
      <c r="I344" t="str">
        <f t="shared" si="35"/>
        <v/>
      </c>
      <c r="J344" t="str">
        <f t="shared" si="36"/>
        <v/>
      </c>
      <c r="K344" t="str">
        <f t="shared" si="37"/>
        <v/>
      </c>
      <c r="L344" t="str">
        <f t="shared" si="38"/>
        <v/>
      </c>
      <c r="M344" t="str">
        <f t="shared" si="39"/>
        <v/>
      </c>
      <c r="N344" t="str">
        <f t="shared" si="40"/>
        <v/>
      </c>
      <c r="O344" t="str">
        <f t="shared" si="41"/>
        <v/>
      </c>
      <c r="P344">
        <f>COUNTIF(Homematches[Match ID],Homematches[[#This Row],[Match ID]])</f>
        <v>1</v>
      </c>
    </row>
    <row r="345" spans="1:16" x14ac:dyDescent="0.25">
      <c r="A345" s="2" t="s">
        <v>422</v>
      </c>
      <c r="B345" s="3">
        <v>46424</v>
      </c>
      <c r="C345" t="s">
        <v>11</v>
      </c>
      <c r="D345" t="s">
        <v>12</v>
      </c>
      <c r="I345" t="str">
        <f t="shared" si="35"/>
        <v/>
      </c>
      <c r="J345" t="str">
        <f t="shared" si="36"/>
        <v/>
      </c>
      <c r="K345" t="str">
        <f t="shared" si="37"/>
        <v/>
      </c>
      <c r="L345" t="str">
        <f t="shared" si="38"/>
        <v/>
      </c>
      <c r="M345" t="str">
        <f t="shared" si="39"/>
        <v/>
      </c>
      <c r="N345" t="str">
        <f t="shared" si="40"/>
        <v/>
      </c>
      <c r="O345" t="str">
        <f t="shared" si="41"/>
        <v/>
      </c>
      <c r="P345">
        <f>COUNTIF(Homematches[Match ID],Homematches[[#This Row],[Match ID]])</f>
        <v>1</v>
      </c>
    </row>
    <row r="346" spans="1:16" x14ac:dyDescent="0.25">
      <c r="A346" s="2" t="s">
        <v>423</v>
      </c>
      <c r="B346" s="3">
        <v>46424</v>
      </c>
      <c r="C346" t="s">
        <v>15</v>
      </c>
      <c r="D346" t="s">
        <v>2</v>
      </c>
      <c r="I346" t="str">
        <f t="shared" si="35"/>
        <v/>
      </c>
      <c r="J346" t="str">
        <f t="shared" si="36"/>
        <v/>
      </c>
      <c r="K346" t="str">
        <f t="shared" si="37"/>
        <v/>
      </c>
      <c r="L346" t="str">
        <f t="shared" si="38"/>
        <v/>
      </c>
      <c r="M346" t="str">
        <f t="shared" si="39"/>
        <v/>
      </c>
      <c r="N346" t="str">
        <f t="shared" si="40"/>
        <v/>
      </c>
      <c r="O346" t="str">
        <f t="shared" si="41"/>
        <v/>
      </c>
      <c r="P346">
        <f>COUNTIF(Homematches[Match ID],Homematches[[#This Row],[Match ID]])</f>
        <v>1</v>
      </c>
    </row>
    <row r="347" spans="1:16" x14ac:dyDescent="0.25">
      <c r="A347" s="2" t="s">
        <v>424</v>
      </c>
      <c r="B347" s="3">
        <v>46424</v>
      </c>
      <c r="C347" t="s">
        <v>17</v>
      </c>
      <c r="D347" t="s">
        <v>14</v>
      </c>
      <c r="I347" t="str">
        <f t="shared" si="35"/>
        <v/>
      </c>
      <c r="J347" t="str">
        <f t="shared" si="36"/>
        <v/>
      </c>
      <c r="K347" t="str">
        <f t="shared" si="37"/>
        <v/>
      </c>
      <c r="L347" t="str">
        <f t="shared" si="38"/>
        <v/>
      </c>
      <c r="M347" t="str">
        <f t="shared" si="39"/>
        <v/>
      </c>
      <c r="N347" t="str">
        <f t="shared" si="40"/>
        <v/>
      </c>
      <c r="O347" t="str">
        <f t="shared" si="41"/>
        <v/>
      </c>
      <c r="P347">
        <f>COUNTIF(Homematches[Match ID],Homematches[[#This Row],[Match ID]])</f>
        <v>1</v>
      </c>
    </row>
    <row r="348" spans="1:16" x14ac:dyDescent="0.25">
      <c r="A348" s="2" t="s">
        <v>425</v>
      </c>
      <c r="B348" s="3">
        <v>46424</v>
      </c>
      <c r="C348" t="s">
        <v>21</v>
      </c>
      <c r="D348" t="s">
        <v>0</v>
      </c>
      <c r="I348" t="str">
        <f t="shared" si="35"/>
        <v/>
      </c>
      <c r="J348" t="str">
        <f t="shared" si="36"/>
        <v/>
      </c>
      <c r="K348" t="str">
        <f t="shared" si="37"/>
        <v/>
      </c>
      <c r="L348" t="str">
        <f t="shared" si="38"/>
        <v/>
      </c>
      <c r="M348" t="str">
        <f t="shared" si="39"/>
        <v/>
      </c>
      <c r="N348" t="str">
        <f t="shared" si="40"/>
        <v/>
      </c>
      <c r="O348" t="str">
        <f t="shared" si="41"/>
        <v/>
      </c>
      <c r="P348">
        <f>COUNTIF(Homematches[Match ID],Homematches[[#This Row],[Match ID]])</f>
        <v>1</v>
      </c>
    </row>
    <row r="349" spans="1:16" x14ac:dyDescent="0.25">
      <c r="A349" s="2" t="s">
        <v>426</v>
      </c>
      <c r="B349" s="3">
        <v>46424</v>
      </c>
      <c r="C349" t="s">
        <v>22</v>
      </c>
      <c r="D349" t="s">
        <v>20</v>
      </c>
      <c r="I349" t="str">
        <f t="shared" si="35"/>
        <v/>
      </c>
      <c r="J349" t="str">
        <f t="shared" si="36"/>
        <v/>
      </c>
      <c r="K349" t="str">
        <f t="shared" si="37"/>
        <v/>
      </c>
      <c r="L349" t="str">
        <f t="shared" si="38"/>
        <v/>
      </c>
      <c r="M349" t="str">
        <f t="shared" si="39"/>
        <v/>
      </c>
      <c r="N349" t="str">
        <f t="shared" si="40"/>
        <v/>
      </c>
      <c r="O349" t="str">
        <f t="shared" si="41"/>
        <v/>
      </c>
      <c r="P349">
        <f>COUNTIF(Homematches[Match ID],Homematches[[#This Row],[Match ID]])</f>
        <v>1</v>
      </c>
    </row>
    <row r="350" spans="1:16" x14ac:dyDescent="0.25">
      <c r="A350" s="2" t="s">
        <v>427</v>
      </c>
      <c r="B350" s="3">
        <v>46427</v>
      </c>
      <c r="C350" t="s">
        <v>0</v>
      </c>
      <c r="D350" t="s">
        <v>5</v>
      </c>
      <c r="I350" t="str">
        <f t="shared" si="35"/>
        <v/>
      </c>
      <c r="J350" t="str">
        <f t="shared" si="36"/>
        <v/>
      </c>
      <c r="K350" t="str">
        <f t="shared" si="37"/>
        <v/>
      </c>
      <c r="L350" t="str">
        <f t="shared" si="38"/>
        <v/>
      </c>
      <c r="M350" t="str">
        <f t="shared" si="39"/>
        <v/>
      </c>
      <c r="N350" t="str">
        <f t="shared" si="40"/>
        <v/>
      </c>
      <c r="O350" t="str">
        <f t="shared" si="41"/>
        <v/>
      </c>
      <c r="P350">
        <f>COUNTIF(Homematches[Match ID],Homematches[[#This Row],[Match ID]])</f>
        <v>1</v>
      </c>
    </row>
    <row r="351" spans="1:16" x14ac:dyDescent="0.25">
      <c r="A351" s="2" t="s">
        <v>428</v>
      </c>
      <c r="B351" s="3">
        <v>46427</v>
      </c>
      <c r="C351" t="s">
        <v>2</v>
      </c>
      <c r="D351" t="s">
        <v>1</v>
      </c>
      <c r="I351" t="str">
        <f t="shared" si="35"/>
        <v/>
      </c>
      <c r="J351" t="str">
        <f t="shared" si="36"/>
        <v/>
      </c>
      <c r="K351" t="str">
        <f t="shared" si="37"/>
        <v/>
      </c>
      <c r="L351" t="str">
        <f t="shared" si="38"/>
        <v/>
      </c>
      <c r="M351" t="str">
        <f t="shared" si="39"/>
        <v/>
      </c>
      <c r="N351" t="str">
        <f t="shared" si="40"/>
        <v/>
      </c>
      <c r="O351" t="str">
        <f t="shared" si="41"/>
        <v/>
      </c>
      <c r="P351">
        <f>COUNTIF(Homematches[Match ID],Homematches[[#This Row],[Match ID]])</f>
        <v>1</v>
      </c>
    </row>
    <row r="352" spans="1:16" x14ac:dyDescent="0.25">
      <c r="A352" s="2" t="s">
        <v>429</v>
      </c>
      <c r="B352" s="3">
        <v>46427</v>
      </c>
      <c r="C352" t="s">
        <v>6</v>
      </c>
      <c r="D352" t="s">
        <v>3</v>
      </c>
      <c r="I352" t="str">
        <f t="shared" si="35"/>
        <v/>
      </c>
      <c r="J352" t="str">
        <f t="shared" si="36"/>
        <v/>
      </c>
      <c r="K352" t="str">
        <f t="shared" si="37"/>
        <v/>
      </c>
      <c r="L352" t="str">
        <f t="shared" si="38"/>
        <v/>
      </c>
      <c r="M352" t="str">
        <f t="shared" si="39"/>
        <v/>
      </c>
      <c r="N352" t="str">
        <f t="shared" si="40"/>
        <v/>
      </c>
      <c r="O352" t="str">
        <f t="shared" si="41"/>
        <v/>
      </c>
      <c r="P352">
        <f>COUNTIF(Homematches[Match ID],Homematches[[#This Row],[Match ID]])</f>
        <v>1</v>
      </c>
    </row>
    <row r="353" spans="1:16" x14ac:dyDescent="0.25">
      <c r="A353" s="2" t="s">
        <v>430</v>
      </c>
      <c r="B353" s="3">
        <v>46427</v>
      </c>
      <c r="C353" t="s">
        <v>10</v>
      </c>
      <c r="D353" t="s">
        <v>4</v>
      </c>
      <c r="I353" t="str">
        <f t="shared" si="35"/>
        <v/>
      </c>
      <c r="J353" t="str">
        <f t="shared" si="36"/>
        <v/>
      </c>
      <c r="K353" t="str">
        <f t="shared" si="37"/>
        <v/>
      </c>
      <c r="L353" t="str">
        <f t="shared" si="38"/>
        <v/>
      </c>
      <c r="M353" t="str">
        <f t="shared" si="39"/>
        <v/>
      </c>
      <c r="N353" t="str">
        <f t="shared" si="40"/>
        <v/>
      </c>
      <c r="O353" t="str">
        <f t="shared" si="41"/>
        <v/>
      </c>
      <c r="P353">
        <f>COUNTIF(Homematches[Match ID],Homematches[[#This Row],[Match ID]])</f>
        <v>1</v>
      </c>
    </row>
    <row r="354" spans="1:16" x14ac:dyDescent="0.25">
      <c r="A354" s="2" t="s">
        <v>431</v>
      </c>
      <c r="B354" s="3">
        <v>46427</v>
      </c>
      <c r="C354" t="s">
        <v>12</v>
      </c>
      <c r="D354" t="s">
        <v>17</v>
      </c>
      <c r="I354" t="str">
        <f t="shared" si="35"/>
        <v/>
      </c>
      <c r="J354" t="str">
        <f t="shared" si="36"/>
        <v/>
      </c>
      <c r="K354" t="str">
        <f t="shared" si="37"/>
        <v/>
      </c>
      <c r="L354" t="str">
        <f t="shared" si="38"/>
        <v/>
      </c>
      <c r="M354" t="str">
        <f t="shared" si="39"/>
        <v/>
      </c>
      <c r="N354" t="str">
        <f t="shared" si="40"/>
        <v/>
      </c>
      <c r="O354" t="str">
        <f t="shared" si="41"/>
        <v/>
      </c>
      <c r="P354">
        <f>COUNTIF(Homematches[Match ID],Homematches[[#This Row],[Match ID]])</f>
        <v>1</v>
      </c>
    </row>
    <row r="355" spans="1:16" x14ac:dyDescent="0.25">
      <c r="A355" s="2" t="s">
        <v>432</v>
      </c>
      <c r="B355" s="3">
        <v>46427</v>
      </c>
      <c r="C355" t="s">
        <v>33</v>
      </c>
      <c r="D355" t="s">
        <v>21</v>
      </c>
      <c r="I355" t="str">
        <f t="shared" si="35"/>
        <v/>
      </c>
      <c r="J355" t="str">
        <f t="shared" si="36"/>
        <v/>
      </c>
      <c r="K355" t="str">
        <f t="shared" si="37"/>
        <v/>
      </c>
      <c r="L355" t="str">
        <f t="shared" si="38"/>
        <v/>
      </c>
      <c r="M355" t="str">
        <f t="shared" si="39"/>
        <v/>
      </c>
      <c r="N355" t="str">
        <f t="shared" si="40"/>
        <v/>
      </c>
      <c r="O355" t="str">
        <f t="shared" si="41"/>
        <v/>
      </c>
      <c r="P355">
        <f>COUNTIF(Homematches[Match ID],Homematches[[#This Row],[Match ID]])</f>
        <v>1</v>
      </c>
    </row>
    <row r="356" spans="1:16" x14ac:dyDescent="0.25">
      <c r="A356" s="2" t="s">
        <v>433</v>
      </c>
      <c r="B356" s="3">
        <v>46427</v>
      </c>
      <c r="C356" t="s">
        <v>13</v>
      </c>
      <c r="D356" t="s">
        <v>7</v>
      </c>
      <c r="I356" t="str">
        <f t="shared" si="35"/>
        <v/>
      </c>
      <c r="J356" t="str">
        <f t="shared" si="36"/>
        <v/>
      </c>
      <c r="K356" t="str">
        <f t="shared" si="37"/>
        <v/>
      </c>
      <c r="L356" t="str">
        <f t="shared" si="38"/>
        <v/>
      </c>
      <c r="M356" t="str">
        <f t="shared" si="39"/>
        <v/>
      </c>
      <c r="N356" t="str">
        <f t="shared" si="40"/>
        <v/>
      </c>
      <c r="O356" t="str">
        <f t="shared" si="41"/>
        <v/>
      </c>
      <c r="P356">
        <f>COUNTIF(Homematches[Match ID],Homematches[[#This Row],[Match ID]])</f>
        <v>1</v>
      </c>
    </row>
    <row r="357" spans="1:16" x14ac:dyDescent="0.25">
      <c r="A357" s="2" t="s">
        <v>434</v>
      </c>
      <c r="B357" s="3">
        <v>46427</v>
      </c>
      <c r="C357" t="s">
        <v>14</v>
      </c>
      <c r="D357" t="s">
        <v>8</v>
      </c>
      <c r="I357" t="str">
        <f t="shared" si="35"/>
        <v/>
      </c>
      <c r="J357" t="str">
        <f t="shared" si="36"/>
        <v/>
      </c>
      <c r="K357" t="str">
        <f t="shared" si="37"/>
        <v/>
      </c>
      <c r="L357" t="str">
        <f t="shared" si="38"/>
        <v/>
      </c>
      <c r="M357" t="str">
        <f t="shared" si="39"/>
        <v/>
      </c>
      <c r="N357" t="str">
        <f t="shared" si="40"/>
        <v/>
      </c>
      <c r="O357" t="str">
        <f t="shared" si="41"/>
        <v/>
      </c>
      <c r="P357">
        <f>COUNTIF(Homematches[Match ID],Homematches[[#This Row],[Match ID]])</f>
        <v>1</v>
      </c>
    </row>
    <row r="358" spans="1:16" x14ac:dyDescent="0.25">
      <c r="A358" s="2" t="s">
        <v>435</v>
      </c>
      <c r="B358" s="3">
        <v>46427</v>
      </c>
      <c r="C358" t="s">
        <v>16</v>
      </c>
      <c r="D358" t="s">
        <v>9</v>
      </c>
      <c r="I358" t="str">
        <f t="shared" si="35"/>
        <v/>
      </c>
      <c r="J358" t="str">
        <f t="shared" si="36"/>
        <v/>
      </c>
      <c r="K358" t="str">
        <f t="shared" si="37"/>
        <v/>
      </c>
      <c r="L358" t="str">
        <f t="shared" si="38"/>
        <v/>
      </c>
      <c r="M358" t="str">
        <f t="shared" si="39"/>
        <v/>
      </c>
      <c r="N358" t="str">
        <f t="shared" si="40"/>
        <v/>
      </c>
      <c r="O358" t="str">
        <f t="shared" si="41"/>
        <v/>
      </c>
      <c r="P358">
        <f>COUNTIF(Homematches[Match ID],Homematches[[#This Row],[Match ID]])</f>
        <v>1</v>
      </c>
    </row>
    <row r="359" spans="1:16" x14ac:dyDescent="0.25">
      <c r="A359" s="2" t="s">
        <v>436</v>
      </c>
      <c r="B359" s="3">
        <v>46427</v>
      </c>
      <c r="C359" t="s">
        <v>18</v>
      </c>
      <c r="D359" t="s">
        <v>22</v>
      </c>
      <c r="I359" t="str">
        <f t="shared" si="35"/>
        <v/>
      </c>
      <c r="J359" t="str">
        <f t="shared" si="36"/>
        <v/>
      </c>
      <c r="K359" t="str">
        <f t="shared" si="37"/>
        <v/>
      </c>
      <c r="L359" t="str">
        <f t="shared" si="38"/>
        <v/>
      </c>
      <c r="M359" t="str">
        <f t="shared" si="39"/>
        <v/>
      </c>
      <c r="N359" t="str">
        <f t="shared" si="40"/>
        <v/>
      </c>
      <c r="O359" t="str">
        <f t="shared" si="41"/>
        <v/>
      </c>
      <c r="P359">
        <f>COUNTIF(Homematches[Match ID],Homematches[[#This Row],[Match ID]])</f>
        <v>1</v>
      </c>
    </row>
    <row r="360" spans="1:16" x14ac:dyDescent="0.25">
      <c r="A360" s="2" t="s">
        <v>437</v>
      </c>
      <c r="B360" s="3">
        <v>46427</v>
      </c>
      <c r="C360" t="s">
        <v>19</v>
      </c>
      <c r="D360" t="s">
        <v>15</v>
      </c>
      <c r="I360" t="str">
        <f t="shared" si="35"/>
        <v/>
      </c>
      <c r="J360" t="str">
        <f t="shared" si="36"/>
        <v/>
      </c>
      <c r="K360" t="str">
        <f t="shared" si="37"/>
        <v/>
      </c>
      <c r="L360" t="str">
        <f t="shared" si="38"/>
        <v/>
      </c>
      <c r="M360" t="str">
        <f t="shared" si="39"/>
        <v/>
      </c>
      <c r="N360" t="str">
        <f t="shared" si="40"/>
        <v/>
      </c>
      <c r="O360" t="str">
        <f t="shared" si="41"/>
        <v/>
      </c>
      <c r="P360">
        <f>COUNTIF(Homematches[Match ID],Homematches[[#This Row],[Match ID]])</f>
        <v>1</v>
      </c>
    </row>
    <row r="361" spans="1:16" x14ac:dyDescent="0.25">
      <c r="A361" s="2" t="s">
        <v>438</v>
      </c>
      <c r="B361" s="3">
        <v>46427</v>
      </c>
      <c r="C361" t="s">
        <v>20</v>
      </c>
      <c r="D361" t="s">
        <v>11</v>
      </c>
      <c r="I361" t="str">
        <f t="shared" si="35"/>
        <v/>
      </c>
      <c r="J361" t="str">
        <f t="shared" si="36"/>
        <v/>
      </c>
      <c r="K361" t="str">
        <f t="shared" si="37"/>
        <v/>
      </c>
      <c r="L361" t="str">
        <f t="shared" si="38"/>
        <v/>
      </c>
      <c r="M361" t="str">
        <f t="shared" si="39"/>
        <v/>
      </c>
      <c r="N361" t="str">
        <f t="shared" si="40"/>
        <v/>
      </c>
      <c r="O361" t="str">
        <f t="shared" si="41"/>
        <v/>
      </c>
      <c r="P361">
        <f>COUNTIF(Homematches[Match ID],Homematches[[#This Row],[Match ID]])</f>
        <v>1</v>
      </c>
    </row>
    <row r="362" spans="1:16" x14ac:dyDescent="0.25">
      <c r="A362" s="2" t="s">
        <v>439</v>
      </c>
      <c r="B362" s="3">
        <v>46431</v>
      </c>
      <c r="C362" t="s">
        <v>0</v>
      </c>
      <c r="D362" t="s">
        <v>4</v>
      </c>
      <c r="I362" t="str">
        <f t="shared" si="35"/>
        <v/>
      </c>
      <c r="J362" t="str">
        <f t="shared" si="36"/>
        <v/>
      </c>
      <c r="K362" t="str">
        <f t="shared" si="37"/>
        <v/>
      </c>
      <c r="L362" t="str">
        <f t="shared" si="38"/>
        <v/>
      </c>
      <c r="M362" t="str">
        <f t="shared" si="39"/>
        <v/>
      </c>
      <c r="N362" t="str">
        <f t="shared" si="40"/>
        <v/>
      </c>
      <c r="O362" t="str">
        <f t="shared" si="41"/>
        <v/>
      </c>
      <c r="P362">
        <f>COUNTIF(Homematches[Match ID],Homematches[[#This Row],[Match ID]])</f>
        <v>1</v>
      </c>
    </row>
    <row r="363" spans="1:16" x14ac:dyDescent="0.25">
      <c r="A363" s="2" t="s">
        <v>440</v>
      </c>
      <c r="B363" s="3">
        <v>46431</v>
      </c>
      <c r="C363" t="s">
        <v>2</v>
      </c>
      <c r="D363" t="s">
        <v>17</v>
      </c>
      <c r="I363" t="str">
        <f t="shared" si="35"/>
        <v/>
      </c>
      <c r="J363" t="str">
        <f t="shared" si="36"/>
        <v/>
      </c>
      <c r="K363" t="str">
        <f t="shared" si="37"/>
        <v/>
      </c>
      <c r="L363" t="str">
        <f t="shared" si="38"/>
        <v/>
      </c>
      <c r="M363" t="str">
        <f t="shared" si="39"/>
        <v/>
      </c>
      <c r="N363" t="str">
        <f t="shared" si="40"/>
        <v/>
      </c>
      <c r="O363" t="str">
        <f t="shared" si="41"/>
        <v/>
      </c>
      <c r="P363">
        <f>COUNTIF(Homematches[Match ID],Homematches[[#This Row],[Match ID]])</f>
        <v>1</v>
      </c>
    </row>
    <row r="364" spans="1:16" x14ac:dyDescent="0.25">
      <c r="A364" s="2" t="s">
        <v>441</v>
      </c>
      <c r="B364" s="3">
        <v>46431</v>
      </c>
      <c r="C364" t="s">
        <v>6</v>
      </c>
      <c r="D364" t="s">
        <v>5</v>
      </c>
      <c r="I364" t="str">
        <f t="shared" si="35"/>
        <v/>
      </c>
      <c r="J364" t="str">
        <f t="shared" si="36"/>
        <v/>
      </c>
      <c r="K364" t="str">
        <f t="shared" si="37"/>
        <v/>
      </c>
      <c r="L364" t="str">
        <f t="shared" si="38"/>
        <v/>
      </c>
      <c r="M364" t="str">
        <f t="shared" si="39"/>
        <v/>
      </c>
      <c r="N364" t="str">
        <f t="shared" si="40"/>
        <v/>
      </c>
      <c r="O364" t="str">
        <f t="shared" si="41"/>
        <v/>
      </c>
      <c r="P364">
        <f>COUNTIF(Homematches[Match ID],Homematches[[#This Row],[Match ID]])</f>
        <v>1</v>
      </c>
    </row>
    <row r="365" spans="1:16" x14ac:dyDescent="0.25">
      <c r="A365" s="2" t="s">
        <v>442</v>
      </c>
      <c r="B365" s="3">
        <v>46431</v>
      </c>
      <c r="C365" t="s">
        <v>10</v>
      </c>
      <c r="D365" t="s">
        <v>11</v>
      </c>
      <c r="I365" t="str">
        <f t="shared" si="35"/>
        <v/>
      </c>
      <c r="J365" t="str">
        <f t="shared" si="36"/>
        <v/>
      </c>
      <c r="K365" t="str">
        <f t="shared" si="37"/>
        <v/>
      </c>
      <c r="L365" t="str">
        <f t="shared" si="38"/>
        <v/>
      </c>
      <c r="M365" t="str">
        <f t="shared" si="39"/>
        <v/>
      </c>
      <c r="N365" t="str">
        <f t="shared" si="40"/>
        <v/>
      </c>
      <c r="O365" t="str">
        <f t="shared" si="41"/>
        <v/>
      </c>
      <c r="P365">
        <f>COUNTIF(Homematches[Match ID],Homematches[[#This Row],[Match ID]])</f>
        <v>1</v>
      </c>
    </row>
    <row r="366" spans="1:16" x14ac:dyDescent="0.25">
      <c r="A366" s="2" t="s">
        <v>443</v>
      </c>
      <c r="B366" s="3">
        <v>46431</v>
      </c>
      <c r="C366" t="s">
        <v>12</v>
      </c>
      <c r="D366" t="s">
        <v>3</v>
      </c>
      <c r="I366" t="str">
        <f t="shared" si="35"/>
        <v/>
      </c>
      <c r="J366" t="str">
        <f t="shared" si="36"/>
        <v/>
      </c>
      <c r="K366" t="str">
        <f t="shared" si="37"/>
        <v/>
      </c>
      <c r="L366" t="str">
        <f t="shared" si="38"/>
        <v/>
      </c>
      <c r="M366" t="str">
        <f t="shared" si="39"/>
        <v/>
      </c>
      <c r="N366" t="str">
        <f t="shared" si="40"/>
        <v/>
      </c>
      <c r="O366" t="str">
        <f t="shared" si="41"/>
        <v/>
      </c>
      <c r="P366">
        <f>COUNTIF(Homematches[Match ID],Homematches[[#This Row],[Match ID]])</f>
        <v>1</v>
      </c>
    </row>
    <row r="367" spans="1:16" x14ac:dyDescent="0.25">
      <c r="A367" s="2" t="s">
        <v>444</v>
      </c>
      <c r="B367" s="3">
        <v>46431</v>
      </c>
      <c r="C367" t="s">
        <v>33</v>
      </c>
      <c r="D367" t="s">
        <v>22</v>
      </c>
      <c r="I367" t="str">
        <f t="shared" si="35"/>
        <v/>
      </c>
      <c r="J367" t="str">
        <f t="shared" si="36"/>
        <v/>
      </c>
      <c r="K367" t="str">
        <f t="shared" si="37"/>
        <v/>
      </c>
      <c r="L367" t="str">
        <f t="shared" si="38"/>
        <v/>
      </c>
      <c r="M367" t="str">
        <f t="shared" si="39"/>
        <v/>
      </c>
      <c r="N367" t="str">
        <f t="shared" si="40"/>
        <v/>
      </c>
      <c r="O367" t="str">
        <f t="shared" si="41"/>
        <v/>
      </c>
      <c r="P367">
        <f>COUNTIF(Homematches[Match ID],Homematches[[#This Row],[Match ID]])</f>
        <v>1</v>
      </c>
    </row>
    <row r="368" spans="1:16" x14ac:dyDescent="0.25">
      <c r="A368" s="2" t="s">
        <v>445</v>
      </c>
      <c r="B368" s="3">
        <v>46431</v>
      </c>
      <c r="C368" t="s">
        <v>13</v>
      </c>
      <c r="D368" t="s">
        <v>8</v>
      </c>
      <c r="I368" t="str">
        <f t="shared" si="35"/>
        <v/>
      </c>
      <c r="J368" t="str">
        <f t="shared" si="36"/>
        <v/>
      </c>
      <c r="K368" t="str">
        <f t="shared" si="37"/>
        <v/>
      </c>
      <c r="L368" t="str">
        <f t="shared" si="38"/>
        <v/>
      </c>
      <c r="M368" t="str">
        <f t="shared" si="39"/>
        <v/>
      </c>
      <c r="N368" t="str">
        <f t="shared" si="40"/>
        <v/>
      </c>
      <c r="O368" t="str">
        <f t="shared" si="41"/>
        <v/>
      </c>
      <c r="P368">
        <f>COUNTIF(Homematches[Match ID],Homematches[[#This Row],[Match ID]])</f>
        <v>1</v>
      </c>
    </row>
    <row r="369" spans="1:16" x14ac:dyDescent="0.25">
      <c r="A369" s="2" t="s">
        <v>446</v>
      </c>
      <c r="B369" s="3">
        <v>46431</v>
      </c>
      <c r="C369" t="s">
        <v>14</v>
      </c>
      <c r="D369" t="s">
        <v>9</v>
      </c>
      <c r="I369" t="str">
        <f t="shared" si="35"/>
        <v/>
      </c>
      <c r="J369" t="str">
        <f t="shared" si="36"/>
        <v/>
      </c>
      <c r="K369" t="str">
        <f t="shared" si="37"/>
        <v/>
      </c>
      <c r="L369" t="str">
        <f t="shared" si="38"/>
        <v/>
      </c>
      <c r="M369" t="str">
        <f t="shared" si="39"/>
        <v/>
      </c>
      <c r="N369" t="str">
        <f t="shared" si="40"/>
        <v/>
      </c>
      <c r="O369" t="str">
        <f t="shared" si="41"/>
        <v/>
      </c>
      <c r="P369">
        <f>COUNTIF(Homematches[Match ID],Homematches[[#This Row],[Match ID]])</f>
        <v>1</v>
      </c>
    </row>
    <row r="370" spans="1:16" x14ac:dyDescent="0.25">
      <c r="A370" s="2" t="s">
        <v>447</v>
      </c>
      <c r="B370" s="3">
        <v>46431</v>
      </c>
      <c r="C370" t="s">
        <v>16</v>
      </c>
      <c r="D370" t="s">
        <v>7</v>
      </c>
      <c r="I370" t="str">
        <f t="shared" si="35"/>
        <v/>
      </c>
      <c r="J370" t="str">
        <f t="shared" si="36"/>
        <v/>
      </c>
      <c r="K370" t="str">
        <f t="shared" si="37"/>
        <v/>
      </c>
      <c r="L370" t="str">
        <f t="shared" si="38"/>
        <v/>
      </c>
      <c r="M370" t="str">
        <f t="shared" si="39"/>
        <v/>
      </c>
      <c r="N370" t="str">
        <f t="shared" si="40"/>
        <v/>
      </c>
      <c r="O370" t="str">
        <f t="shared" si="41"/>
        <v/>
      </c>
      <c r="P370">
        <f>COUNTIF(Homematches[Match ID],Homematches[[#This Row],[Match ID]])</f>
        <v>1</v>
      </c>
    </row>
    <row r="371" spans="1:16" x14ac:dyDescent="0.25">
      <c r="A371" s="2" t="s">
        <v>448</v>
      </c>
      <c r="B371" s="3">
        <v>46431</v>
      </c>
      <c r="C371" t="s">
        <v>18</v>
      </c>
      <c r="D371" t="s">
        <v>15</v>
      </c>
      <c r="I371" t="str">
        <f t="shared" si="35"/>
        <v/>
      </c>
      <c r="J371" t="str">
        <f t="shared" si="36"/>
        <v/>
      </c>
      <c r="K371" t="str">
        <f t="shared" si="37"/>
        <v/>
      </c>
      <c r="L371" t="str">
        <f t="shared" si="38"/>
        <v/>
      </c>
      <c r="M371" t="str">
        <f t="shared" si="39"/>
        <v/>
      </c>
      <c r="N371" t="str">
        <f t="shared" si="40"/>
        <v/>
      </c>
      <c r="O371" t="str">
        <f t="shared" si="41"/>
        <v/>
      </c>
      <c r="P371">
        <f>COUNTIF(Homematches[Match ID],Homematches[[#This Row],[Match ID]])</f>
        <v>1</v>
      </c>
    </row>
    <row r="372" spans="1:16" x14ac:dyDescent="0.25">
      <c r="A372" s="2" t="s">
        <v>449</v>
      </c>
      <c r="B372" s="3">
        <v>46431</v>
      </c>
      <c r="C372" t="s">
        <v>19</v>
      </c>
      <c r="D372" t="s">
        <v>1</v>
      </c>
      <c r="I372" t="str">
        <f t="shared" si="35"/>
        <v/>
      </c>
      <c r="J372" t="str">
        <f t="shared" si="36"/>
        <v/>
      </c>
      <c r="K372" t="str">
        <f t="shared" si="37"/>
        <v/>
      </c>
      <c r="L372" t="str">
        <f t="shared" si="38"/>
        <v/>
      </c>
      <c r="M372" t="str">
        <f t="shared" si="39"/>
        <v/>
      </c>
      <c r="N372" t="str">
        <f t="shared" si="40"/>
        <v/>
      </c>
      <c r="O372" t="str">
        <f t="shared" si="41"/>
        <v/>
      </c>
      <c r="P372">
        <f>COUNTIF(Homematches[Match ID],Homematches[[#This Row],[Match ID]])</f>
        <v>1</v>
      </c>
    </row>
    <row r="373" spans="1:16" x14ac:dyDescent="0.25">
      <c r="A373" s="2" t="s">
        <v>450</v>
      </c>
      <c r="B373" s="3">
        <v>46431</v>
      </c>
      <c r="C373" t="s">
        <v>20</v>
      </c>
      <c r="D373" t="s">
        <v>21</v>
      </c>
      <c r="I373" t="str">
        <f t="shared" si="35"/>
        <v/>
      </c>
      <c r="J373" t="str">
        <f t="shared" si="36"/>
        <v/>
      </c>
      <c r="K373" t="str">
        <f t="shared" si="37"/>
        <v/>
      </c>
      <c r="L373" t="str">
        <f t="shared" si="38"/>
        <v/>
      </c>
      <c r="M373" t="str">
        <f t="shared" si="39"/>
        <v/>
      </c>
      <c r="N373" t="str">
        <f t="shared" si="40"/>
        <v/>
      </c>
      <c r="O373" t="str">
        <f t="shared" si="41"/>
        <v/>
      </c>
      <c r="P373">
        <f>COUNTIF(Homematches[Match ID],Homematches[[#This Row],[Match ID]])</f>
        <v>1</v>
      </c>
    </row>
    <row r="374" spans="1:16" x14ac:dyDescent="0.25">
      <c r="A374" s="2" t="s">
        <v>451</v>
      </c>
      <c r="B374" s="3">
        <v>46438</v>
      </c>
      <c r="C374" t="s">
        <v>1</v>
      </c>
      <c r="D374" t="s">
        <v>16</v>
      </c>
      <c r="I374" t="str">
        <f t="shared" si="35"/>
        <v/>
      </c>
      <c r="J374" t="str">
        <f t="shared" si="36"/>
        <v/>
      </c>
      <c r="K374" t="str">
        <f t="shared" si="37"/>
        <v/>
      </c>
      <c r="L374" t="str">
        <f t="shared" si="38"/>
        <v/>
      </c>
      <c r="M374" t="str">
        <f t="shared" si="39"/>
        <v/>
      </c>
      <c r="N374" t="str">
        <f t="shared" si="40"/>
        <v/>
      </c>
      <c r="O374" t="str">
        <f t="shared" si="41"/>
        <v/>
      </c>
      <c r="P374">
        <f>COUNTIF(Homematches[Match ID],Homematches[[#This Row],[Match ID]])</f>
        <v>1</v>
      </c>
    </row>
    <row r="375" spans="1:16" x14ac:dyDescent="0.25">
      <c r="A375" s="2" t="s">
        <v>452</v>
      </c>
      <c r="B375" s="3">
        <v>46438</v>
      </c>
      <c r="C375" t="s">
        <v>3</v>
      </c>
      <c r="D375" t="s">
        <v>13</v>
      </c>
      <c r="I375" t="str">
        <f t="shared" si="35"/>
        <v/>
      </c>
      <c r="J375" t="str">
        <f t="shared" si="36"/>
        <v/>
      </c>
      <c r="K375" t="str">
        <f t="shared" si="37"/>
        <v/>
      </c>
      <c r="L375" t="str">
        <f t="shared" si="38"/>
        <v/>
      </c>
      <c r="M375" t="str">
        <f t="shared" si="39"/>
        <v/>
      </c>
      <c r="N375" t="str">
        <f t="shared" si="40"/>
        <v/>
      </c>
      <c r="O375" t="str">
        <f t="shared" si="41"/>
        <v/>
      </c>
      <c r="P375">
        <f>COUNTIF(Homematches[Match ID],Homematches[[#This Row],[Match ID]])</f>
        <v>1</v>
      </c>
    </row>
    <row r="376" spans="1:16" x14ac:dyDescent="0.25">
      <c r="A376" s="2" t="s">
        <v>453</v>
      </c>
      <c r="B376" s="3">
        <v>46438</v>
      </c>
      <c r="C376" t="s">
        <v>4</v>
      </c>
      <c r="D376" t="s">
        <v>2</v>
      </c>
      <c r="I376" t="str">
        <f t="shared" si="35"/>
        <v/>
      </c>
      <c r="J376" t="str">
        <f t="shared" si="36"/>
        <v/>
      </c>
      <c r="K376" t="str">
        <f t="shared" si="37"/>
        <v/>
      </c>
      <c r="L376" t="str">
        <f t="shared" si="38"/>
        <v/>
      </c>
      <c r="M376" t="str">
        <f t="shared" si="39"/>
        <v/>
      </c>
      <c r="N376" t="str">
        <f t="shared" si="40"/>
        <v/>
      </c>
      <c r="O376" t="str">
        <f t="shared" si="41"/>
        <v/>
      </c>
      <c r="P376">
        <f>COUNTIF(Homematches[Match ID],Homematches[[#This Row],[Match ID]])</f>
        <v>1</v>
      </c>
    </row>
    <row r="377" spans="1:16" x14ac:dyDescent="0.25">
      <c r="A377" s="2" t="s">
        <v>454</v>
      </c>
      <c r="B377" s="3">
        <v>46438</v>
      </c>
      <c r="C377" t="s">
        <v>5</v>
      </c>
      <c r="D377" t="s">
        <v>14</v>
      </c>
      <c r="I377" t="str">
        <f t="shared" si="35"/>
        <v/>
      </c>
      <c r="J377" t="str">
        <f t="shared" si="36"/>
        <v/>
      </c>
      <c r="K377" t="str">
        <f t="shared" si="37"/>
        <v/>
      </c>
      <c r="L377" t="str">
        <f t="shared" si="38"/>
        <v/>
      </c>
      <c r="M377" t="str">
        <f t="shared" si="39"/>
        <v/>
      </c>
      <c r="N377" t="str">
        <f t="shared" si="40"/>
        <v/>
      </c>
      <c r="O377" t="str">
        <f t="shared" si="41"/>
        <v/>
      </c>
      <c r="P377">
        <f>COUNTIF(Homematches[Match ID],Homematches[[#This Row],[Match ID]])</f>
        <v>1</v>
      </c>
    </row>
    <row r="378" spans="1:16" x14ac:dyDescent="0.25">
      <c r="A378" s="2" t="s">
        <v>455</v>
      </c>
      <c r="B378" s="3">
        <v>46438</v>
      </c>
      <c r="C378" t="s">
        <v>7</v>
      </c>
      <c r="D378" t="s">
        <v>0</v>
      </c>
      <c r="I378" t="str">
        <f t="shared" si="35"/>
        <v/>
      </c>
      <c r="J378" t="str">
        <f t="shared" si="36"/>
        <v/>
      </c>
      <c r="K378" t="str">
        <f t="shared" si="37"/>
        <v/>
      </c>
      <c r="L378" t="str">
        <f t="shared" si="38"/>
        <v/>
      </c>
      <c r="M378" t="str">
        <f t="shared" si="39"/>
        <v/>
      </c>
      <c r="N378" t="str">
        <f t="shared" si="40"/>
        <v/>
      </c>
      <c r="O378" t="str">
        <f t="shared" si="41"/>
        <v/>
      </c>
      <c r="P378">
        <f>COUNTIF(Homematches[Match ID],Homematches[[#This Row],[Match ID]])</f>
        <v>1</v>
      </c>
    </row>
    <row r="379" spans="1:16" x14ac:dyDescent="0.25">
      <c r="A379" s="2" t="s">
        <v>456</v>
      </c>
      <c r="B379" s="3">
        <v>46438</v>
      </c>
      <c r="C379" t="s">
        <v>8</v>
      </c>
      <c r="D379" t="s">
        <v>12</v>
      </c>
      <c r="I379" t="str">
        <f t="shared" si="35"/>
        <v/>
      </c>
      <c r="J379" t="str">
        <f t="shared" si="36"/>
        <v/>
      </c>
      <c r="K379" t="str">
        <f t="shared" si="37"/>
        <v/>
      </c>
      <c r="L379" t="str">
        <f t="shared" si="38"/>
        <v/>
      </c>
      <c r="M379" t="str">
        <f t="shared" si="39"/>
        <v/>
      </c>
      <c r="N379" t="str">
        <f t="shared" si="40"/>
        <v/>
      </c>
      <c r="O379" t="str">
        <f t="shared" si="41"/>
        <v/>
      </c>
      <c r="P379">
        <f>COUNTIF(Homematches[Match ID],Homematches[[#This Row],[Match ID]])</f>
        <v>1</v>
      </c>
    </row>
    <row r="380" spans="1:16" x14ac:dyDescent="0.25">
      <c r="A380" s="2" t="s">
        <v>457</v>
      </c>
      <c r="B380" s="3">
        <v>46438</v>
      </c>
      <c r="C380" t="s">
        <v>9</v>
      </c>
      <c r="D380" t="s">
        <v>20</v>
      </c>
      <c r="I380" t="str">
        <f t="shared" si="35"/>
        <v/>
      </c>
      <c r="J380" t="str">
        <f t="shared" si="36"/>
        <v/>
      </c>
      <c r="K380" t="str">
        <f t="shared" si="37"/>
        <v/>
      </c>
      <c r="L380" t="str">
        <f t="shared" si="38"/>
        <v/>
      </c>
      <c r="M380" t="str">
        <f t="shared" si="39"/>
        <v/>
      </c>
      <c r="N380" t="str">
        <f t="shared" si="40"/>
        <v/>
      </c>
      <c r="O380" t="str">
        <f t="shared" si="41"/>
        <v/>
      </c>
      <c r="P380">
        <f>COUNTIF(Homematches[Match ID],Homematches[[#This Row],[Match ID]])</f>
        <v>1</v>
      </c>
    </row>
    <row r="381" spans="1:16" x14ac:dyDescent="0.25">
      <c r="A381" s="2" t="s">
        <v>458</v>
      </c>
      <c r="B381" s="3">
        <v>46438</v>
      </c>
      <c r="C381" t="s">
        <v>11</v>
      </c>
      <c r="D381" t="s">
        <v>19</v>
      </c>
      <c r="I381" t="str">
        <f t="shared" si="35"/>
        <v/>
      </c>
      <c r="J381" t="str">
        <f t="shared" si="36"/>
        <v/>
      </c>
      <c r="K381" t="str">
        <f t="shared" si="37"/>
        <v/>
      </c>
      <c r="L381" t="str">
        <f t="shared" si="38"/>
        <v/>
      </c>
      <c r="M381" t="str">
        <f t="shared" si="39"/>
        <v/>
      </c>
      <c r="N381" t="str">
        <f t="shared" si="40"/>
        <v/>
      </c>
      <c r="O381" t="str">
        <f t="shared" si="41"/>
        <v/>
      </c>
      <c r="P381">
        <f>COUNTIF(Homematches[Match ID],Homematches[[#This Row],[Match ID]])</f>
        <v>1</v>
      </c>
    </row>
    <row r="382" spans="1:16" x14ac:dyDescent="0.25">
      <c r="A382" s="2" t="s">
        <v>459</v>
      </c>
      <c r="B382" s="3">
        <v>46438</v>
      </c>
      <c r="C382" t="s">
        <v>15</v>
      </c>
      <c r="D382" t="s">
        <v>33</v>
      </c>
      <c r="I382" t="str">
        <f t="shared" si="35"/>
        <v/>
      </c>
      <c r="J382" t="str">
        <f t="shared" si="36"/>
        <v/>
      </c>
      <c r="K382" t="str">
        <f t="shared" si="37"/>
        <v/>
      </c>
      <c r="L382" t="str">
        <f t="shared" si="38"/>
        <v/>
      </c>
      <c r="M382" t="str">
        <f t="shared" si="39"/>
        <v/>
      </c>
      <c r="N382" t="str">
        <f t="shared" si="40"/>
        <v/>
      </c>
      <c r="O382" t="str">
        <f t="shared" si="41"/>
        <v/>
      </c>
      <c r="P382">
        <f>COUNTIF(Homematches[Match ID],Homematches[[#This Row],[Match ID]])</f>
        <v>1</v>
      </c>
    </row>
    <row r="383" spans="1:16" x14ac:dyDescent="0.25">
      <c r="A383" s="2" t="s">
        <v>460</v>
      </c>
      <c r="B383" s="3">
        <v>46438</v>
      </c>
      <c r="C383" t="s">
        <v>17</v>
      </c>
      <c r="D383" t="s">
        <v>6</v>
      </c>
      <c r="I383" t="str">
        <f t="shared" si="35"/>
        <v/>
      </c>
      <c r="J383" t="str">
        <f t="shared" si="36"/>
        <v/>
      </c>
      <c r="K383" t="str">
        <f t="shared" si="37"/>
        <v/>
      </c>
      <c r="L383" t="str">
        <f t="shared" si="38"/>
        <v/>
      </c>
      <c r="M383" t="str">
        <f t="shared" si="39"/>
        <v/>
      </c>
      <c r="N383" t="str">
        <f t="shared" si="40"/>
        <v/>
      </c>
      <c r="O383" t="str">
        <f t="shared" si="41"/>
        <v/>
      </c>
      <c r="P383">
        <f>COUNTIF(Homematches[Match ID],Homematches[[#This Row],[Match ID]])</f>
        <v>1</v>
      </c>
    </row>
    <row r="384" spans="1:16" x14ac:dyDescent="0.25">
      <c r="A384" s="2" t="s">
        <v>461</v>
      </c>
      <c r="B384" s="3">
        <v>46438</v>
      </c>
      <c r="C384" t="s">
        <v>21</v>
      </c>
      <c r="D384" t="s">
        <v>18</v>
      </c>
      <c r="I384" t="str">
        <f t="shared" si="35"/>
        <v/>
      </c>
      <c r="J384" t="str">
        <f t="shared" si="36"/>
        <v/>
      </c>
      <c r="K384" t="str">
        <f t="shared" si="37"/>
        <v/>
      </c>
      <c r="L384" t="str">
        <f t="shared" si="38"/>
        <v/>
      </c>
      <c r="M384" t="str">
        <f t="shared" si="39"/>
        <v/>
      </c>
      <c r="N384" t="str">
        <f t="shared" si="40"/>
        <v/>
      </c>
      <c r="O384" t="str">
        <f t="shared" si="41"/>
        <v/>
      </c>
      <c r="P384">
        <f>COUNTIF(Homematches[Match ID],Homematches[[#This Row],[Match ID]])</f>
        <v>1</v>
      </c>
    </row>
    <row r="385" spans="1:16" x14ac:dyDescent="0.25">
      <c r="A385" s="2" t="s">
        <v>462</v>
      </c>
      <c r="B385" s="3">
        <v>46438</v>
      </c>
      <c r="C385" t="s">
        <v>22</v>
      </c>
      <c r="D385" t="s">
        <v>10</v>
      </c>
      <c r="I385" t="str">
        <f t="shared" si="35"/>
        <v/>
      </c>
      <c r="J385" t="str">
        <f t="shared" si="36"/>
        <v/>
      </c>
      <c r="K385" t="str">
        <f t="shared" si="37"/>
        <v/>
      </c>
      <c r="L385" t="str">
        <f t="shared" si="38"/>
        <v/>
      </c>
      <c r="M385" t="str">
        <f t="shared" si="39"/>
        <v/>
      </c>
      <c r="N385" t="str">
        <f t="shared" si="40"/>
        <v/>
      </c>
      <c r="O385" t="str">
        <f t="shared" si="41"/>
        <v/>
      </c>
      <c r="P385">
        <f>COUNTIF(Homematches[Match ID],Homematches[[#This Row],[Match ID]])</f>
        <v>1</v>
      </c>
    </row>
    <row r="386" spans="1:16" x14ac:dyDescent="0.25">
      <c r="A386" s="2" t="s">
        <v>463</v>
      </c>
      <c r="B386" s="3">
        <v>46445</v>
      </c>
      <c r="C386" t="s">
        <v>1</v>
      </c>
      <c r="D386" t="s">
        <v>21</v>
      </c>
      <c r="I386" t="str">
        <f t="shared" ref="I386:I449" si="42">IF(E386="","",E386-F386)</f>
        <v/>
      </c>
      <c r="J386" t="str">
        <f t="shared" ref="J386:J449" si="43">IF(G386="","",G386-H386)</f>
        <v/>
      </c>
      <c r="K386" t="str">
        <f t="shared" ref="K386:K449" si="44">IF(E386="","",E386+F386)</f>
        <v/>
      </c>
      <c r="L386" t="str">
        <f t="shared" ref="L386:L449" si="45">IF(G386="","",G386+H386)</f>
        <v/>
      </c>
      <c r="M386" t="str">
        <f t="shared" ref="M386:M449" si="46">IF(G386="","",G386-E386)</f>
        <v/>
      </c>
      <c r="N386" t="str">
        <f t="shared" ref="N386:N449" si="47">IF(H386="","",H386-F386)</f>
        <v/>
      </c>
      <c r="O386" t="str">
        <f t="shared" ref="O386:O449" si="48">IF(G386="","",IF(G386&gt;H386,"Home Win",IF(G386&lt;H386,"Away Win","Draw")))</f>
        <v/>
      </c>
      <c r="P386">
        <f>COUNTIF(Homematches[Match ID],Homematches[[#This Row],[Match ID]])</f>
        <v>1</v>
      </c>
    </row>
    <row r="387" spans="1:16" x14ac:dyDescent="0.25">
      <c r="A387" s="2" t="s">
        <v>464</v>
      </c>
      <c r="B387" s="3">
        <v>46445</v>
      </c>
      <c r="C387" t="s">
        <v>2</v>
      </c>
      <c r="D387" t="s">
        <v>0</v>
      </c>
      <c r="I387" t="str">
        <f t="shared" si="42"/>
        <v/>
      </c>
      <c r="J387" t="str">
        <f t="shared" si="43"/>
        <v/>
      </c>
      <c r="K387" t="str">
        <f t="shared" si="44"/>
        <v/>
      </c>
      <c r="L387" t="str">
        <f t="shared" si="45"/>
        <v/>
      </c>
      <c r="M387" t="str">
        <f t="shared" si="46"/>
        <v/>
      </c>
      <c r="N387" t="str">
        <f t="shared" si="47"/>
        <v/>
      </c>
      <c r="O387" t="str">
        <f t="shared" si="48"/>
        <v/>
      </c>
      <c r="P387">
        <f>COUNTIF(Homematches[Match ID],Homematches[[#This Row],[Match ID]])</f>
        <v>1</v>
      </c>
    </row>
    <row r="388" spans="1:16" x14ac:dyDescent="0.25">
      <c r="A388" s="2" t="s">
        <v>465</v>
      </c>
      <c r="B388" s="3">
        <v>46445</v>
      </c>
      <c r="C388" t="s">
        <v>3</v>
      </c>
      <c r="D388" t="s">
        <v>9</v>
      </c>
      <c r="I388" t="str">
        <f t="shared" si="42"/>
        <v/>
      </c>
      <c r="J388" t="str">
        <f t="shared" si="43"/>
        <v/>
      </c>
      <c r="K388" t="str">
        <f t="shared" si="44"/>
        <v/>
      </c>
      <c r="L388" t="str">
        <f t="shared" si="45"/>
        <v/>
      </c>
      <c r="M388" t="str">
        <f t="shared" si="46"/>
        <v/>
      </c>
      <c r="N388" t="str">
        <f t="shared" si="47"/>
        <v/>
      </c>
      <c r="O388" t="str">
        <f t="shared" si="48"/>
        <v/>
      </c>
      <c r="P388">
        <f>COUNTIF(Homematches[Match ID],Homematches[[#This Row],[Match ID]])</f>
        <v>1</v>
      </c>
    </row>
    <row r="389" spans="1:16" x14ac:dyDescent="0.25">
      <c r="A389" s="2" t="s">
        <v>466</v>
      </c>
      <c r="B389" s="3">
        <v>46445</v>
      </c>
      <c r="C389" t="s">
        <v>5</v>
      </c>
      <c r="D389" t="s">
        <v>33</v>
      </c>
      <c r="I389" t="str">
        <f t="shared" si="42"/>
        <v/>
      </c>
      <c r="J389" t="str">
        <f t="shared" si="43"/>
        <v/>
      </c>
      <c r="K389" t="str">
        <f t="shared" si="44"/>
        <v/>
      </c>
      <c r="L389" t="str">
        <f t="shared" si="45"/>
        <v/>
      </c>
      <c r="M389" t="str">
        <f t="shared" si="46"/>
        <v/>
      </c>
      <c r="N389" t="str">
        <f t="shared" si="47"/>
        <v/>
      </c>
      <c r="O389" t="str">
        <f t="shared" si="48"/>
        <v/>
      </c>
      <c r="P389">
        <f>COUNTIF(Homematches[Match ID],Homematches[[#This Row],[Match ID]])</f>
        <v>1</v>
      </c>
    </row>
    <row r="390" spans="1:16" x14ac:dyDescent="0.25">
      <c r="A390" s="2" t="s">
        <v>467</v>
      </c>
      <c r="B390" s="3">
        <v>46445</v>
      </c>
      <c r="C390" t="s">
        <v>6</v>
      </c>
      <c r="D390" t="s">
        <v>15</v>
      </c>
      <c r="I390" t="str">
        <f t="shared" si="42"/>
        <v/>
      </c>
      <c r="J390" t="str">
        <f t="shared" si="43"/>
        <v/>
      </c>
      <c r="K390" t="str">
        <f t="shared" si="44"/>
        <v/>
      </c>
      <c r="L390" t="str">
        <f t="shared" si="45"/>
        <v/>
      </c>
      <c r="M390" t="str">
        <f t="shared" si="46"/>
        <v/>
      </c>
      <c r="N390" t="str">
        <f t="shared" si="47"/>
        <v/>
      </c>
      <c r="O390" t="str">
        <f t="shared" si="48"/>
        <v/>
      </c>
      <c r="P390">
        <f>COUNTIF(Homematches[Match ID],Homematches[[#This Row],[Match ID]])</f>
        <v>1</v>
      </c>
    </row>
    <row r="391" spans="1:16" x14ac:dyDescent="0.25">
      <c r="A391" s="2" t="s">
        <v>468</v>
      </c>
      <c r="B391" s="3">
        <v>46445</v>
      </c>
      <c r="C391" t="s">
        <v>8</v>
      </c>
      <c r="D391" t="s">
        <v>22</v>
      </c>
      <c r="I391" t="str">
        <f t="shared" si="42"/>
        <v/>
      </c>
      <c r="J391" t="str">
        <f t="shared" si="43"/>
        <v/>
      </c>
      <c r="K391" t="str">
        <f t="shared" si="44"/>
        <v/>
      </c>
      <c r="L391" t="str">
        <f t="shared" si="45"/>
        <v/>
      </c>
      <c r="M391" t="str">
        <f t="shared" si="46"/>
        <v/>
      </c>
      <c r="N391" t="str">
        <f t="shared" si="47"/>
        <v/>
      </c>
      <c r="O391" t="str">
        <f t="shared" si="48"/>
        <v/>
      </c>
      <c r="P391">
        <f>COUNTIF(Homematches[Match ID],Homematches[[#This Row],[Match ID]])</f>
        <v>1</v>
      </c>
    </row>
    <row r="392" spans="1:16" x14ac:dyDescent="0.25">
      <c r="A392" s="2" t="s">
        <v>469</v>
      </c>
      <c r="B392" s="3">
        <v>46445</v>
      </c>
      <c r="C392" t="s">
        <v>10</v>
      </c>
      <c r="D392" t="s">
        <v>7</v>
      </c>
      <c r="I392" t="str">
        <f t="shared" si="42"/>
        <v/>
      </c>
      <c r="J392" t="str">
        <f t="shared" si="43"/>
        <v/>
      </c>
      <c r="K392" t="str">
        <f t="shared" si="44"/>
        <v/>
      </c>
      <c r="L392" t="str">
        <f t="shared" si="45"/>
        <v/>
      </c>
      <c r="M392" t="str">
        <f t="shared" si="46"/>
        <v/>
      </c>
      <c r="N392" t="str">
        <f t="shared" si="47"/>
        <v/>
      </c>
      <c r="O392" t="str">
        <f t="shared" si="48"/>
        <v/>
      </c>
      <c r="P392">
        <f>COUNTIF(Homematches[Match ID],Homematches[[#This Row],[Match ID]])</f>
        <v>1</v>
      </c>
    </row>
    <row r="393" spans="1:16" x14ac:dyDescent="0.25">
      <c r="A393" s="2" t="s">
        <v>470</v>
      </c>
      <c r="B393" s="3">
        <v>46445</v>
      </c>
      <c r="C393" t="s">
        <v>12</v>
      </c>
      <c r="D393" t="s">
        <v>19</v>
      </c>
      <c r="I393" t="str">
        <f t="shared" si="42"/>
        <v/>
      </c>
      <c r="J393" t="str">
        <f t="shared" si="43"/>
        <v/>
      </c>
      <c r="K393" t="str">
        <f t="shared" si="44"/>
        <v/>
      </c>
      <c r="L393" t="str">
        <f t="shared" si="45"/>
        <v/>
      </c>
      <c r="M393" t="str">
        <f t="shared" si="46"/>
        <v/>
      </c>
      <c r="N393" t="str">
        <f t="shared" si="47"/>
        <v/>
      </c>
      <c r="O393" t="str">
        <f t="shared" si="48"/>
        <v/>
      </c>
      <c r="P393">
        <f>COUNTIF(Homematches[Match ID],Homematches[[#This Row],[Match ID]])</f>
        <v>1</v>
      </c>
    </row>
    <row r="394" spans="1:16" x14ac:dyDescent="0.25">
      <c r="A394" s="2" t="s">
        <v>471</v>
      </c>
      <c r="B394" s="3">
        <v>46445</v>
      </c>
      <c r="C394" t="s">
        <v>13</v>
      </c>
      <c r="D394" t="s">
        <v>4</v>
      </c>
      <c r="I394" t="str">
        <f t="shared" si="42"/>
        <v/>
      </c>
      <c r="J394" t="str">
        <f t="shared" si="43"/>
        <v/>
      </c>
      <c r="K394" t="str">
        <f t="shared" si="44"/>
        <v/>
      </c>
      <c r="L394" t="str">
        <f t="shared" si="45"/>
        <v/>
      </c>
      <c r="M394" t="str">
        <f t="shared" si="46"/>
        <v/>
      </c>
      <c r="N394" t="str">
        <f t="shared" si="47"/>
        <v/>
      </c>
      <c r="O394" t="str">
        <f t="shared" si="48"/>
        <v/>
      </c>
      <c r="P394">
        <f>COUNTIF(Homematches[Match ID],Homematches[[#This Row],[Match ID]])</f>
        <v>1</v>
      </c>
    </row>
    <row r="395" spans="1:16" x14ac:dyDescent="0.25">
      <c r="A395" s="2" t="s">
        <v>472</v>
      </c>
      <c r="B395" s="3">
        <v>46445</v>
      </c>
      <c r="C395" t="s">
        <v>14</v>
      </c>
      <c r="D395" t="s">
        <v>11</v>
      </c>
      <c r="I395" t="str">
        <f t="shared" si="42"/>
        <v/>
      </c>
      <c r="J395" t="str">
        <f t="shared" si="43"/>
        <v/>
      </c>
      <c r="K395" t="str">
        <f t="shared" si="44"/>
        <v/>
      </c>
      <c r="L395" t="str">
        <f t="shared" si="45"/>
        <v/>
      </c>
      <c r="M395" t="str">
        <f t="shared" si="46"/>
        <v/>
      </c>
      <c r="N395" t="str">
        <f t="shared" si="47"/>
        <v/>
      </c>
      <c r="O395" t="str">
        <f t="shared" si="48"/>
        <v/>
      </c>
      <c r="P395">
        <f>COUNTIF(Homematches[Match ID],Homematches[[#This Row],[Match ID]])</f>
        <v>1</v>
      </c>
    </row>
    <row r="396" spans="1:16" x14ac:dyDescent="0.25">
      <c r="A396" s="2" t="s">
        <v>473</v>
      </c>
      <c r="B396" s="3">
        <v>46445</v>
      </c>
      <c r="C396" t="s">
        <v>16</v>
      </c>
      <c r="D396" t="s">
        <v>18</v>
      </c>
      <c r="I396" t="str">
        <f t="shared" si="42"/>
        <v/>
      </c>
      <c r="J396" t="str">
        <f t="shared" si="43"/>
        <v/>
      </c>
      <c r="K396" t="str">
        <f t="shared" si="44"/>
        <v/>
      </c>
      <c r="L396" t="str">
        <f t="shared" si="45"/>
        <v/>
      </c>
      <c r="M396" t="str">
        <f t="shared" si="46"/>
        <v/>
      </c>
      <c r="N396" t="str">
        <f t="shared" si="47"/>
        <v/>
      </c>
      <c r="O396" t="str">
        <f t="shared" si="48"/>
        <v/>
      </c>
      <c r="P396">
        <f>COUNTIF(Homematches[Match ID],Homematches[[#This Row],[Match ID]])</f>
        <v>1</v>
      </c>
    </row>
    <row r="397" spans="1:16" x14ac:dyDescent="0.25">
      <c r="A397" s="2" t="s">
        <v>474</v>
      </c>
      <c r="B397" s="3">
        <v>46445</v>
      </c>
      <c r="C397" t="s">
        <v>17</v>
      </c>
      <c r="D397" t="s">
        <v>20</v>
      </c>
      <c r="I397" t="str">
        <f t="shared" si="42"/>
        <v/>
      </c>
      <c r="J397" t="str">
        <f t="shared" si="43"/>
        <v/>
      </c>
      <c r="K397" t="str">
        <f t="shared" si="44"/>
        <v/>
      </c>
      <c r="L397" t="str">
        <f t="shared" si="45"/>
        <v/>
      </c>
      <c r="M397" t="str">
        <f t="shared" si="46"/>
        <v/>
      </c>
      <c r="N397" t="str">
        <f t="shared" si="47"/>
        <v/>
      </c>
      <c r="O397" t="str">
        <f t="shared" si="48"/>
        <v/>
      </c>
      <c r="P397">
        <f>COUNTIF(Homematches[Match ID],Homematches[[#This Row],[Match ID]])</f>
        <v>1</v>
      </c>
    </row>
    <row r="398" spans="1:16" x14ac:dyDescent="0.25">
      <c r="A398" s="2" t="s">
        <v>475</v>
      </c>
      <c r="B398" s="3">
        <v>46452</v>
      </c>
      <c r="C398" t="s">
        <v>0</v>
      </c>
      <c r="D398" t="s">
        <v>8</v>
      </c>
      <c r="I398" t="str">
        <f t="shared" si="42"/>
        <v/>
      </c>
      <c r="J398" t="str">
        <f t="shared" si="43"/>
        <v/>
      </c>
      <c r="K398" t="str">
        <f t="shared" si="44"/>
        <v/>
      </c>
      <c r="L398" t="str">
        <f t="shared" si="45"/>
        <v/>
      </c>
      <c r="M398" t="str">
        <f t="shared" si="46"/>
        <v/>
      </c>
      <c r="N398" t="str">
        <f t="shared" si="47"/>
        <v/>
      </c>
      <c r="O398" t="str">
        <f t="shared" si="48"/>
        <v/>
      </c>
      <c r="P398">
        <f>COUNTIF(Homematches[Match ID],Homematches[[#This Row],[Match ID]])</f>
        <v>1</v>
      </c>
    </row>
    <row r="399" spans="1:16" x14ac:dyDescent="0.25">
      <c r="A399" s="2" t="s">
        <v>476</v>
      </c>
      <c r="B399" s="3">
        <v>46452</v>
      </c>
      <c r="C399" t="s">
        <v>4</v>
      </c>
      <c r="D399" t="s">
        <v>1</v>
      </c>
      <c r="I399" t="str">
        <f t="shared" si="42"/>
        <v/>
      </c>
      <c r="J399" t="str">
        <f t="shared" si="43"/>
        <v/>
      </c>
      <c r="K399" t="str">
        <f t="shared" si="44"/>
        <v/>
      </c>
      <c r="L399" t="str">
        <f t="shared" si="45"/>
        <v/>
      </c>
      <c r="M399" t="str">
        <f t="shared" si="46"/>
        <v/>
      </c>
      <c r="N399" t="str">
        <f t="shared" si="47"/>
        <v/>
      </c>
      <c r="O399" t="str">
        <f t="shared" si="48"/>
        <v/>
      </c>
      <c r="P399">
        <f>COUNTIF(Homematches[Match ID],Homematches[[#This Row],[Match ID]])</f>
        <v>1</v>
      </c>
    </row>
    <row r="400" spans="1:16" x14ac:dyDescent="0.25">
      <c r="A400" s="2" t="s">
        <v>477</v>
      </c>
      <c r="B400" s="3">
        <v>46452</v>
      </c>
      <c r="C400" t="s">
        <v>7</v>
      </c>
      <c r="D400" t="s">
        <v>12</v>
      </c>
      <c r="I400" t="str">
        <f t="shared" si="42"/>
        <v/>
      </c>
      <c r="J400" t="str">
        <f t="shared" si="43"/>
        <v/>
      </c>
      <c r="K400" t="str">
        <f t="shared" si="44"/>
        <v/>
      </c>
      <c r="L400" t="str">
        <f t="shared" si="45"/>
        <v/>
      </c>
      <c r="M400" t="str">
        <f t="shared" si="46"/>
        <v/>
      </c>
      <c r="N400" t="str">
        <f t="shared" si="47"/>
        <v/>
      </c>
      <c r="O400" t="str">
        <f t="shared" si="48"/>
        <v/>
      </c>
      <c r="P400">
        <f>COUNTIF(Homematches[Match ID],Homematches[[#This Row],[Match ID]])</f>
        <v>1</v>
      </c>
    </row>
    <row r="401" spans="1:16" x14ac:dyDescent="0.25">
      <c r="A401" s="2" t="s">
        <v>478</v>
      </c>
      <c r="B401" s="3">
        <v>46452</v>
      </c>
      <c r="C401" t="s">
        <v>9</v>
      </c>
      <c r="D401" t="s">
        <v>13</v>
      </c>
      <c r="I401" t="str">
        <f t="shared" si="42"/>
        <v/>
      </c>
      <c r="J401" t="str">
        <f t="shared" si="43"/>
        <v/>
      </c>
      <c r="K401" t="str">
        <f t="shared" si="44"/>
        <v/>
      </c>
      <c r="L401" t="str">
        <f t="shared" si="45"/>
        <v/>
      </c>
      <c r="M401" t="str">
        <f t="shared" si="46"/>
        <v/>
      </c>
      <c r="N401" t="str">
        <f t="shared" si="47"/>
        <v/>
      </c>
      <c r="O401" t="str">
        <f t="shared" si="48"/>
        <v/>
      </c>
      <c r="P401">
        <f>COUNTIF(Homematches[Match ID],Homematches[[#This Row],[Match ID]])</f>
        <v>1</v>
      </c>
    </row>
    <row r="402" spans="1:16" x14ac:dyDescent="0.25">
      <c r="A402" s="2" t="s">
        <v>479</v>
      </c>
      <c r="B402" s="3">
        <v>46452</v>
      </c>
      <c r="C402" t="s">
        <v>11</v>
      </c>
      <c r="D402" t="s">
        <v>17</v>
      </c>
      <c r="I402" t="str">
        <f t="shared" si="42"/>
        <v/>
      </c>
      <c r="J402" t="str">
        <f t="shared" si="43"/>
        <v/>
      </c>
      <c r="K402" t="str">
        <f t="shared" si="44"/>
        <v/>
      </c>
      <c r="L402" t="str">
        <f t="shared" si="45"/>
        <v/>
      </c>
      <c r="M402" t="str">
        <f t="shared" si="46"/>
        <v/>
      </c>
      <c r="N402" t="str">
        <f t="shared" si="47"/>
        <v/>
      </c>
      <c r="O402" t="str">
        <f t="shared" si="48"/>
        <v/>
      </c>
      <c r="P402">
        <f>COUNTIF(Homematches[Match ID],Homematches[[#This Row],[Match ID]])</f>
        <v>1</v>
      </c>
    </row>
    <row r="403" spans="1:16" x14ac:dyDescent="0.25">
      <c r="A403" s="2" t="s">
        <v>480</v>
      </c>
      <c r="B403" s="3">
        <v>46452</v>
      </c>
      <c r="C403" t="s">
        <v>33</v>
      </c>
      <c r="D403" t="s">
        <v>14</v>
      </c>
      <c r="I403" t="str">
        <f t="shared" si="42"/>
        <v/>
      </c>
      <c r="J403" t="str">
        <f t="shared" si="43"/>
        <v/>
      </c>
      <c r="K403" t="str">
        <f t="shared" si="44"/>
        <v/>
      </c>
      <c r="L403" t="str">
        <f t="shared" si="45"/>
        <v/>
      </c>
      <c r="M403" t="str">
        <f t="shared" si="46"/>
        <v/>
      </c>
      <c r="N403" t="str">
        <f t="shared" si="47"/>
        <v/>
      </c>
      <c r="O403" t="str">
        <f t="shared" si="48"/>
        <v/>
      </c>
      <c r="P403">
        <f>COUNTIF(Homematches[Match ID],Homematches[[#This Row],[Match ID]])</f>
        <v>1</v>
      </c>
    </row>
    <row r="404" spans="1:16" x14ac:dyDescent="0.25">
      <c r="A404" s="2" t="s">
        <v>481</v>
      </c>
      <c r="B404" s="3">
        <v>46452</v>
      </c>
      <c r="C404" t="s">
        <v>15</v>
      </c>
      <c r="D404" t="s">
        <v>3</v>
      </c>
      <c r="I404" t="str">
        <f t="shared" si="42"/>
        <v/>
      </c>
      <c r="J404" t="str">
        <f t="shared" si="43"/>
        <v/>
      </c>
      <c r="K404" t="str">
        <f t="shared" si="44"/>
        <v/>
      </c>
      <c r="L404" t="str">
        <f t="shared" si="45"/>
        <v/>
      </c>
      <c r="M404" t="str">
        <f t="shared" si="46"/>
        <v/>
      </c>
      <c r="N404" t="str">
        <f t="shared" si="47"/>
        <v/>
      </c>
      <c r="O404" t="str">
        <f t="shared" si="48"/>
        <v/>
      </c>
      <c r="P404">
        <f>COUNTIF(Homematches[Match ID],Homematches[[#This Row],[Match ID]])</f>
        <v>1</v>
      </c>
    </row>
    <row r="405" spans="1:16" x14ac:dyDescent="0.25">
      <c r="A405" s="2" t="s">
        <v>482</v>
      </c>
      <c r="B405" s="3">
        <v>46452</v>
      </c>
      <c r="C405" t="s">
        <v>18</v>
      </c>
      <c r="D405" t="s">
        <v>10</v>
      </c>
      <c r="I405" t="str">
        <f t="shared" si="42"/>
        <v/>
      </c>
      <c r="J405" t="str">
        <f t="shared" si="43"/>
        <v/>
      </c>
      <c r="K405" t="str">
        <f t="shared" si="44"/>
        <v/>
      </c>
      <c r="L405" t="str">
        <f t="shared" si="45"/>
        <v/>
      </c>
      <c r="M405" t="str">
        <f t="shared" si="46"/>
        <v/>
      </c>
      <c r="N405" t="str">
        <f t="shared" si="47"/>
        <v/>
      </c>
      <c r="O405" t="str">
        <f t="shared" si="48"/>
        <v/>
      </c>
      <c r="P405">
        <f>COUNTIF(Homematches[Match ID],Homematches[[#This Row],[Match ID]])</f>
        <v>1</v>
      </c>
    </row>
    <row r="406" spans="1:16" x14ac:dyDescent="0.25">
      <c r="A406" s="2" t="s">
        <v>483</v>
      </c>
      <c r="B406" s="3">
        <v>46452</v>
      </c>
      <c r="C406" t="s">
        <v>19</v>
      </c>
      <c r="D406" t="s">
        <v>5</v>
      </c>
      <c r="I406" t="str">
        <f t="shared" si="42"/>
        <v/>
      </c>
      <c r="J406" t="str">
        <f t="shared" si="43"/>
        <v/>
      </c>
      <c r="K406" t="str">
        <f t="shared" si="44"/>
        <v/>
      </c>
      <c r="L406" t="str">
        <f t="shared" si="45"/>
        <v/>
      </c>
      <c r="M406" t="str">
        <f t="shared" si="46"/>
        <v/>
      </c>
      <c r="N406" t="str">
        <f t="shared" si="47"/>
        <v/>
      </c>
      <c r="O406" t="str">
        <f t="shared" si="48"/>
        <v/>
      </c>
      <c r="P406">
        <f>COUNTIF(Homematches[Match ID],Homematches[[#This Row],[Match ID]])</f>
        <v>1</v>
      </c>
    </row>
    <row r="407" spans="1:16" x14ac:dyDescent="0.25">
      <c r="A407" s="2" t="s">
        <v>484</v>
      </c>
      <c r="B407" s="3">
        <v>46452</v>
      </c>
      <c r="C407" t="s">
        <v>20</v>
      </c>
      <c r="D407" t="s">
        <v>16</v>
      </c>
      <c r="I407" t="str">
        <f t="shared" si="42"/>
        <v/>
      </c>
      <c r="J407" t="str">
        <f t="shared" si="43"/>
        <v/>
      </c>
      <c r="K407" t="str">
        <f t="shared" si="44"/>
        <v/>
      </c>
      <c r="L407" t="str">
        <f t="shared" si="45"/>
        <v/>
      </c>
      <c r="M407" t="str">
        <f t="shared" si="46"/>
        <v/>
      </c>
      <c r="N407" t="str">
        <f t="shared" si="47"/>
        <v/>
      </c>
      <c r="O407" t="str">
        <f t="shared" si="48"/>
        <v/>
      </c>
      <c r="P407">
        <f>COUNTIF(Homematches[Match ID],Homematches[[#This Row],[Match ID]])</f>
        <v>1</v>
      </c>
    </row>
    <row r="408" spans="1:16" x14ac:dyDescent="0.25">
      <c r="A408" s="2" t="s">
        <v>485</v>
      </c>
      <c r="B408" s="3">
        <v>46452</v>
      </c>
      <c r="C408" t="s">
        <v>21</v>
      </c>
      <c r="D408" t="s">
        <v>6</v>
      </c>
      <c r="I408" t="str">
        <f t="shared" si="42"/>
        <v/>
      </c>
      <c r="J408" t="str">
        <f t="shared" si="43"/>
        <v/>
      </c>
      <c r="K408" t="str">
        <f t="shared" si="44"/>
        <v/>
      </c>
      <c r="L408" t="str">
        <f t="shared" si="45"/>
        <v/>
      </c>
      <c r="M408" t="str">
        <f t="shared" si="46"/>
        <v/>
      </c>
      <c r="N408" t="str">
        <f t="shared" si="47"/>
        <v/>
      </c>
      <c r="O408" t="str">
        <f t="shared" si="48"/>
        <v/>
      </c>
      <c r="P408">
        <f>COUNTIF(Homematches[Match ID],Homematches[[#This Row],[Match ID]])</f>
        <v>1</v>
      </c>
    </row>
    <row r="409" spans="1:16" x14ac:dyDescent="0.25">
      <c r="A409" s="2" t="s">
        <v>486</v>
      </c>
      <c r="B409" s="3">
        <v>46452</v>
      </c>
      <c r="C409" t="s">
        <v>22</v>
      </c>
      <c r="D409" t="s">
        <v>2</v>
      </c>
      <c r="I409" t="str">
        <f t="shared" si="42"/>
        <v/>
      </c>
      <c r="J409" t="str">
        <f t="shared" si="43"/>
        <v/>
      </c>
      <c r="K409" t="str">
        <f t="shared" si="44"/>
        <v/>
      </c>
      <c r="L409" t="str">
        <f t="shared" si="45"/>
        <v/>
      </c>
      <c r="M409" t="str">
        <f t="shared" si="46"/>
        <v/>
      </c>
      <c r="N409" t="str">
        <f t="shared" si="47"/>
        <v/>
      </c>
      <c r="O409" t="str">
        <f t="shared" si="48"/>
        <v/>
      </c>
      <c r="P409">
        <f>COUNTIF(Homematches[Match ID],Homematches[[#This Row],[Match ID]])</f>
        <v>1</v>
      </c>
    </row>
    <row r="410" spans="1:16" x14ac:dyDescent="0.25">
      <c r="A410" s="2" t="s">
        <v>487</v>
      </c>
      <c r="B410" s="3">
        <v>46459</v>
      </c>
      <c r="C410" t="s">
        <v>1</v>
      </c>
      <c r="D410" t="s">
        <v>7</v>
      </c>
      <c r="I410" t="str">
        <f t="shared" si="42"/>
        <v/>
      </c>
      <c r="J410" t="str">
        <f t="shared" si="43"/>
        <v/>
      </c>
      <c r="K410" t="str">
        <f t="shared" si="44"/>
        <v/>
      </c>
      <c r="L410" t="str">
        <f t="shared" si="45"/>
        <v/>
      </c>
      <c r="M410" t="str">
        <f t="shared" si="46"/>
        <v/>
      </c>
      <c r="N410" t="str">
        <f t="shared" si="47"/>
        <v/>
      </c>
      <c r="O410" t="str">
        <f t="shared" si="48"/>
        <v/>
      </c>
      <c r="P410">
        <f>COUNTIF(Homematches[Match ID],Homematches[[#This Row],[Match ID]])</f>
        <v>1</v>
      </c>
    </row>
    <row r="411" spans="1:16" x14ac:dyDescent="0.25">
      <c r="A411" s="2" t="s">
        <v>488</v>
      </c>
      <c r="B411" s="3">
        <v>46459</v>
      </c>
      <c r="C411" t="s">
        <v>2</v>
      </c>
      <c r="D411" t="s">
        <v>20</v>
      </c>
      <c r="I411" t="str">
        <f t="shared" si="42"/>
        <v/>
      </c>
      <c r="J411" t="str">
        <f t="shared" si="43"/>
        <v/>
      </c>
      <c r="K411" t="str">
        <f t="shared" si="44"/>
        <v/>
      </c>
      <c r="L411" t="str">
        <f t="shared" si="45"/>
        <v/>
      </c>
      <c r="M411" t="str">
        <f t="shared" si="46"/>
        <v/>
      </c>
      <c r="N411" t="str">
        <f t="shared" si="47"/>
        <v/>
      </c>
      <c r="O411" t="str">
        <f t="shared" si="48"/>
        <v/>
      </c>
      <c r="P411">
        <f>COUNTIF(Homematches[Match ID],Homematches[[#This Row],[Match ID]])</f>
        <v>1</v>
      </c>
    </row>
    <row r="412" spans="1:16" x14ac:dyDescent="0.25">
      <c r="A412" s="2" t="s">
        <v>489</v>
      </c>
      <c r="B412" s="3">
        <v>46459</v>
      </c>
      <c r="C412" t="s">
        <v>3</v>
      </c>
      <c r="D412" t="s">
        <v>18</v>
      </c>
      <c r="I412" t="str">
        <f t="shared" si="42"/>
        <v/>
      </c>
      <c r="J412" t="str">
        <f t="shared" si="43"/>
        <v/>
      </c>
      <c r="K412" t="str">
        <f t="shared" si="44"/>
        <v/>
      </c>
      <c r="L412" t="str">
        <f t="shared" si="45"/>
        <v/>
      </c>
      <c r="M412" t="str">
        <f t="shared" si="46"/>
        <v/>
      </c>
      <c r="N412" t="str">
        <f t="shared" si="47"/>
        <v/>
      </c>
      <c r="O412" t="str">
        <f t="shared" si="48"/>
        <v/>
      </c>
      <c r="P412">
        <f>COUNTIF(Homematches[Match ID],Homematches[[#This Row],[Match ID]])</f>
        <v>1</v>
      </c>
    </row>
    <row r="413" spans="1:16" x14ac:dyDescent="0.25">
      <c r="A413" s="2" t="s">
        <v>490</v>
      </c>
      <c r="B413" s="3">
        <v>46459</v>
      </c>
      <c r="C413" t="s">
        <v>5</v>
      </c>
      <c r="D413" t="s">
        <v>9</v>
      </c>
      <c r="I413" t="str">
        <f t="shared" si="42"/>
        <v/>
      </c>
      <c r="J413" t="str">
        <f t="shared" si="43"/>
        <v/>
      </c>
      <c r="K413" t="str">
        <f t="shared" si="44"/>
        <v/>
      </c>
      <c r="L413" t="str">
        <f t="shared" si="45"/>
        <v/>
      </c>
      <c r="M413" t="str">
        <f t="shared" si="46"/>
        <v/>
      </c>
      <c r="N413" t="str">
        <f t="shared" si="47"/>
        <v/>
      </c>
      <c r="O413" t="str">
        <f t="shared" si="48"/>
        <v/>
      </c>
      <c r="P413">
        <f>COUNTIF(Homematches[Match ID],Homematches[[#This Row],[Match ID]])</f>
        <v>1</v>
      </c>
    </row>
    <row r="414" spans="1:16" x14ac:dyDescent="0.25">
      <c r="A414" s="2" t="s">
        <v>491</v>
      </c>
      <c r="B414" s="3">
        <v>46459</v>
      </c>
      <c r="C414" t="s">
        <v>6</v>
      </c>
      <c r="D414" t="s">
        <v>4</v>
      </c>
      <c r="I414" t="str">
        <f t="shared" si="42"/>
        <v/>
      </c>
      <c r="J414" t="str">
        <f t="shared" si="43"/>
        <v/>
      </c>
      <c r="K414" t="str">
        <f t="shared" si="44"/>
        <v/>
      </c>
      <c r="L414" t="str">
        <f t="shared" si="45"/>
        <v/>
      </c>
      <c r="M414" t="str">
        <f t="shared" si="46"/>
        <v/>
      </c>
      <c r="N414" t="str">
        <f t="shared" si="47"/>
        <v/>
      </c>
      <c r="O414" t="str">
        <f t="shared" si="48"/>
        <v/>
      </c>
      <c r="P414">
        <f>COUNTIF(Homematches[Match ID],Homematches[[#This Row],[Match ID]])</f>
        <v>1</v>
      </c>
    </row>
    <row r="415" spans="1:16" x14ac:dyDescent="0.25">
      <c r="A415" s="2" t="s">
        <v>492</v>
      </c>
      <c r="B415" s="3">
        <v>46459</v>
      </c>
      <c r="C415" t="s">
        <v>8</v>
      </c>
      <c r="D415" t="s">
        <v>33</v>
      </c>
      <c r="I415" t="str">
        <f t="shared" si="42"/>
        <v/>
      </c>
      <c r="J415" t="str">
        <f t="shared" si="43"/>
        <v/>
      </c>
      <c r="K415" t="str">
        <f t="shared" si="44"/>
        <v/>
      </c>
      <c r="L415" t="str">
        <f t="shared" si="45"/>
        <v/>
      </c>
      <c r="M415" t="str">
        <f t="shared" si="46"/>
        <v/>
      </c>
      <c r="N415" t="str">
        <f t="shared" si="47"/>
        <v/>
      </c>
      <c r="O415" t="str">
        <f t="shared" si="48"/>
        <v/>
      </c>
      <c r="P415">
        <f>COUNTIF(Homematches[Match ID],Homematches[[#This Row],[Match ID]])</f>
        <v>1</v>
      </c>
    </row>
    <row r="416" spans="1:16" x14ac:dyDescent="0.25">
      <c r="A416" s="2" t="s">
        <v>493</v>
      </c>
      <c r="B416" s="3">
        <v>46459</v>
      </c>
      <c r="C416" t="s">
        <v>10</v>
      </c>
      <c r="D416" t="s">
        <v>21</v>
      </c>
      <c r="I416" t="str">
        <f t="shared" si="42"/>
        <v/>
      </c>
      <c r="J416" t="str">
        <f t="shared" si="43"/>
        <v/>
      </c>
      <c r="K416" t="str">
        <f t="shared" si="44"/>
        <v/>
      </c>
      <c r="L416" t="str">
        <f t="shared" si="45"/>
        <v/>
      </c>
      <c r="M416" t="str">
        <f t="shared" si="46"/>
        <v/>
      </c>
      <c r="N416" t="str">
        <f t="shared" si="47"/>
        <v/>
      </c>
      <c r="O416" t="str">
        <f t="shared" si="48"/>
        <v/>
      </c>
      <c r="P416">
        <f>COUNTIF(Homematches[Match ID],Homematches[[#This Row],[Match ID]])</f>
        <v>1</v>
      </c>
    </row>
    <row r="417" spans="1:16" x14ac:dyDescent="0.25">
      <c r="A417" s="2" t="s">
        <v>494</v>
      </c>
      <c r="B417" s="3">
        <v>46459</v>
      </c>
      <c r="C417" t="s">
        <v>12</v>
      </c>
      <c r="D417" t="s">
        <v>15</v>
      </c>
      <c r="I417" t="str">
        <f t="shared" si="42"/>
        <v/>
      </c>
      <c r="J417" t="str">
        <f t="shared" si="43"/>
        <v/>
      </c>
      <c r="K417" t="str">
        <f t="shared" si="44"/>
        <v/>
      </c>
      <c r="L417" t="str">
        <f t="shared" si="45"/>
        <v/>
      </c>
      <c r="M417" t="str">
        <f t="shared" si="46"/>
        <v/>
      </c>
      <c r="N417" t="str">
        <f t="shared" si="47"/>
        <v/>
      </c>
      <c r="O417" t="str">
        <f t="shared" si="48"/>
        <v/>
      </c>
      <c r="P417">
        <f>COUNTIF(Homematches[Match ID],Homematches[[#This Row],[Match ID]])</f>
        <v>1</v>
      </c>
    </row>
    <row r="418" spans="1:16" x14ac:dyDescent="0.25">
      <c r="A418" s="2" t="s">
        <v>495</v>
      </c>
      <c r="B418" s="3">
        <v>46459</v>
      </c>
      <c r="C418" t="s">
        <v>13</v>
      </c>
      <c r="D418" t="s">
        <v>11</v>
      </c>
      <c r="I418" t="str">
        <f t="shared" si="42"/>
        <v/>
      </c>
      <c r="J418" t="str">
        <f t="shared" si="43"/>
        <v/>
      </c>
      <c r="K418" t="str">
        <f t="shared" si="44"/>
        <v/>
      </c>
      <c r="L418" t="str">
        <f t="shared" si="45"/>
        <v/>
      </c>
      <c r="M418" t="str">
        <f t="shared" si="46"/>
        <v/>
      </c>
      <c r="N418" t="str">
        <f t="shared" si="47"/>
        <v/>
      </c>
      <c r="O418" t="str">
        <f t="shared" si="48"/>
        <v/>
      </c>
      <c r="P418">
        <f>COUNTIF(Homematches[Match ID],Homematches[[#This Row],[Match ID]])</f>
        <v>1</v>
      </c>
    </row>
    <row r="419" spans="1:16" x14ac:dyDescent="0.25">
      <c r="A419" s="2" t="s">
        <v>496</v>
      </c>
      <c r="B419" s="3">
        <v>46459</v>
      </c>
      <c r="C419" t="s">
        <v>14</v>
      </c>
      <c r="D419" t="s">
        <v>19</v>
      </c>
      <c r="I419" t="str">
        <f t="shared" si="42"/>
        <v/>
      </c>
      <c r="J419" t="str">
        <f t="shared" si="43"/>
        <v/>
      </c>
      <c r="K419" t="str">
        <f t="shared" si="44"/>
        <v/>
      </c>
      <c r="L419" t="str">
        <f t="shared" si="45"/>
        <v/>
      </c>
      <c r="M419" t="str">
        <f t="shared" si="46"/>
        <v/>
      </c>
      <c r="N419" t="str">
        <f t="shared" si="47"/>
        <v/>
      </c>
      <c r="O419" t="str">
        <f t="shared" si="48"/>
        <v/>
      </c>
      <c r="P419">
        <f>COUNTIF(Homematches[Match ID],Homematches[[#This Row],[Match ID]])</f>
        <v>1</v>
      </c>
    </row>
    <row r="420" spans="1:16" x14ac:dyDescent="0.25">
      <c r="A420" s="2" t="s">
        <v>497</v>
      </c>
      <c r="B420" s="3">
        <v>46459</v>
      </c>
      <c r="C420" t="s">
        <v>16</v>
      </c>
      <c r="D420" t="s">
        <v>22</v>
      </c>
      <c r="I420" t="str">
        <f t="shared" si="42"/>
        <v/>
      </c>
      <c r="J420" t="str">
        <f t="shared" si="43"/>
        <v/>
      </c>
      <c r="K420" t="str">
        <f t="shared" si="44"/>
        <v/>
      </c>
      <c r="L420" t="str">
        <f t="shared" si="45"/>
        <v/>
      </c>
      <c r="M420" t="str">
        <f t="shared" si="46"/>
        <v/>
      </c>
      <c r="N420" t="str">
        <f t="shared" si="47"/>
        <v/>
      </c>
      <c r="O420" t="str">
        <f t="shared" si="48"/>
        <v/>
      </c>
      <c r="P420">
        <f>COUNTIF(Homematches[Match ID],Homematches[[#This Row],[Match ID]])</f>
        <v>1</v>
      </c>
    </row>
    <row r="421" spans="1:16" x14ac:dyDescent="0.25">
      <c r="A421" s="2" t="s">
        <v>498</v>
      </c>
      <c r="B421" s="3">
        <v>46459</v>
      </c>
      <c r="C421" t="s">
        <v>17</v>
      </c>
      <c r="D421" t="s">
        <v>0</v>
      </c>
      <c r="I421" t="str">
        <f t="shared" si="42"/>
        <v/>
      </c>
      <c r="J421" t="str">
        <f t="shared" si="43"/>
        <v/>
      </c>
      <c r="K421" t="str">
        <f t="shared" si="44"/>
        <v/>
      </c>
      <c r="L421" t="str">
        <f t="shared" si="45"/>
        <v/>
      </c>
      <c r="M421" t="str">
        <f t="shared" si="46"/>
        <v/>
      </c>
      <c r="N421" t="str">
        <f t="shared" si="47"/>
        <v/>
      </c>
      <c r="O421" t="str">
        <f t="shared" si="48"/>
        <v/>
      </c>
      <c r="P421">
        <f>COUNTIF(Homematches[Match ID],Homematches[[#This Row],[Match ID]])</f>
        <v>1</v>
      </c>
    </row>
    <row r="422" spans="1:16" x14ac:dyDescent="0.25">
      <c r="A422" s="2" t="s">
        <v>499</v>
      </c>
      <c r="B422" s="3">
        <v>46466</v>
      </c>
      <c r="C422" t="s">
        <v>0</v>
      </c>
      <c r="D422" t="s">
        <v>10</v>
      </c>
      <c r="I422" t="str">
        <f t="shared" si="42"/>
        <v/>
      </c>
      <c r="J422" t="str">
        <f t="shared" si="43"/>
        <v/>
      </c>
      <c r="K422" t="str">
        <f t="shared" si="44"/>
        <v/>
      </c>
      <c r="L422" t="str">
        <f t="shared" si="45"/>
        <v/>
      </c>
      <c r="M422" t="str">
        <f t="shared" si="46"/>
        <v/>
      </c>
      <c r="N422" t="str">
        <f t="shared" si="47"/>
        <v/>
      </c>
      <c r="O422" t="str">
        <f t="shared" si="48"/>
        <v/>
      </c>
      <c r="P422">
        <f>COUNTIF(Homematches[Match ID],Homematches[[#This Row],[Match ID]])</f>
        <v>1</v>
      </c>
    </row>
    <row r="423" spans="1:16" x14ac:dyDescent="0.25">
      <c r="A423" s="2" t="s">
        <v>500</v>
      </c>
      <c r="B423" s="3">
        <v>46466</v>
      </c>
      <c r="C423" t="s">
        <v>4</v>
      </c>
      <c r="D423" t="s">
        <v>17</v>
      </c>
      <c r="I423" t="str">
        <f t="shared" si="42"/>
        <v/>
      </c>
      <c r="J423" t="str">
        <f t="shared" si="43"/>
        <v/>
      </c>
      <c r="K423" t="str">
        <f t="shared" si="44"/>
        <v/>
      </c>
      <c r="L423" t="str">
        <f t="shared" si="45"/>
        <v/>
      </c>
      <c r="M423" t="str">
        <f t="shared" si="46"/>
        <v/>
      </c>
      <c r="N423" t="str">
        <f t="shared" si="47"/>
        <v/>
      </c>
      <c r="O423" t="str">
        <f t="shared" si="48"/>
        <v/>
      </c>
      <c r="P423">
        <f>COUNTIF(Homematches[Match ID],Homematches[[#This Row],[Match ID]])</f>
        <v>1</v>
      </c>
    </row>
    <row r="424" spans="1:16" x14ac:dyDescent="0.25">
      <c r="A424" s="2" t="s">
        <v>501</v>
      </c>
      <c r="B424" s="3">
        <v>46466</v>
      </c>
      <c r="C424" t="s">
        <v>7</v>
      </c>
      <c r="D424" t="s">
        <v>3</v>
      </c>
      <c r="I424" t="str">
        <f t="shared" si="42"/>
        <v/>
      </c>
      <c r="J424" t="str">
        <f t="shared" si="43"/>
        <v/>
      </c>
      <c r="K424" t="str">
        <f t="shared" si="44"/>
        <v/>
      </c>
      <c r="L424" t="str">
        <f t="shared" si="45"/>
        <v/>
      </c>
      <c r="M424" t="str">
        <f t="shared" si="46"/>
        <v/>
      </c>
      <c r="N424" t="str">
        <f t="shared" si="47"/>
        <v/>
      </c>
      <c r="O424" t="str">
        <f t="shared" si="48"/>
        <v/>
      </c>
      <c r="P424">
        <f>COUNTIF(Homematches[Match ID],Homematches[[#This Row],[Match ID]])</f>
        <v>1</v>
      </c>
    </row>
    <row r="425" spans="1:16" x14ac:dyDescent="0.25">
      <c r="A425" s="2" t="s">
        <v>502</v>
      </c>
      <c r="B425" s="3">
        <v>46466</v>
      </c>
      <c r="C425" t="s">
        <v>9</v>
      </c>
      <c r="D425" t="s">
        <v>8</v>
      </c>
      <c r="I425" t="str">
        <f t="shared" si="42"/>
        <v/>
      </c>
      <c r="J425" t="str">
        <f t="shared" si="43"/>
        <v/>
      </c>
      <c r="K425" t="str">
        <f t="shared" si="44"/>
        <v/>
      </c>
      <c r="L425" t="str">
        <f t="shared" si="45"/>
        <v/>
      </c>
      <c r="M425" t="str">
        <f t="shared" si="46"/>
        <v/>
      </c>
      <c r="N425" t="str">
        <f t="shared" si="47"/>
        <v/>
      </c>
      <c r="O425" t="str">
        <f t="shared" si="48"/>
        <v/>
      </c>
      <c r="P425">
        <f>COUNTIF(Homematches[Match ID],Homematches[[#This Row],[Match ID]])</f>
        <v>1</v>
      </c>
    </row>
    <row r="426" spans="1:16" x14ac:dyDescent="0.25">
      <c r="A426" s="2" t="s">
        <v>503</v>
      </c>
      <c r="B426" s="3">
        <v>46466</v>
      </c>
      <c r="C426" t="s">
        <v>11</v>
      </c>
      <c r="D426" t="s">
        <v>5</v>
      </c>
      <c r="I426" t="str">
        <f t="shared" si="42"/>
        <v/>
      </c>
      <c r="J426" t="str">
        <f t="shared" si="43"/>
        <v/>
      </c>
      <c r="K426" t="str">
        <f t="shared" si="44"/>
        <v/>
      </c>
      <c r="L426" t="str">
        <f t="shared" si="45"/>
        <v/>
      </c>
      <c r="M426" t="str">
        <f t="shared" si="46"/>
        <v/>
      </c>
      <c r="N426" t="str">
        <f t="shared" si="47"/>
        <v/>
      </c>
      <c r="O426" t="str">
        <f t="shared" si="48"/>
        <v/>
      </c>
      <c r="P426">
        <f>COUNTIF(Homematches[Match ID],Homematches[[#This Row],[Match ID]])</f>
        <v>1</v>
      </c>
    </row>
    <row r="427" spans="1:16" x14ac:dyDescent="0.25">
      <c r="A427" s="2" t="s">
        <v>504</v>
      </c>
      <c r="B427" s="3">
        <v>46466</v>
      </c>
      <c r="C427" t="s">
        <v>33</v>
      </c>
      <c r="D427" t="s">
        <v>12</v>
      </c>
      <c r="I427" t="str">
        <f t="shared" si="42"/>
        <v/>
      </c>
      <c r="J427" t="str">
        <f t="shared" si="43"/>
        <v/>
      </c>
      <c r="K427" t="str">
        <f t="shared" si="44"/>
        <v/>
      </c>
      <c r="L427" t="str">
        <f t="shared" si="45"/>
        <v/>
      </c>
      <c r="M427" t="str">
        <f t="shared" si="46"/>
        <v/>
      </c>
      <c r="N427" t="str">
        <f t="shared" si="47"/>
        <v/>
      </c>
      <c r="O427" t="str">
        <f t="shared" si="48"/>
        <v/>
      </c>
      <c r="P427">
        <f>COUNTIF(Homematches[Match ID],Homematches[[#This Row],[Match ID]])</f>
        <v>1</v>
      </c>
    </row>
    <row r="428" spans="1:16" x14ac:dyDescent="0.25">
      <c r="A428" s="2" t="s">
        <v>505</v>
      </c>
      <c r="B428" s="3">
        <v>46466</v>
      </c>
      <c r="C428" t="s">
        <v>15</v>
      </c>
      <c r="D428" t="s">
        <v>16</v>
      </c>
      <c r="I428" t="str">
        <f t="shared" si="42"/>
        <v/>
      </c>
      <c r="J428" t="str">
        <f t="shared" si="43"/>
        <v/>
      </c>
      <c r="K428" t="str">
        <f t="shared" si="44"/>
        <v/>
      </c>
      <c r="L428" t="str">
        <f t="shared" si="45"/>
        <v/>
      </c>
      <c r="M428" t="str">
        <f t="shared" si="46"/>
        <v/>
      </c>
      <c r="N428" t="str">
        <f t="shared" si="47"/>
        <v/>
      </c>
      <c r="O428" t="str">
        <f t="shared" si="48"/>
        <v/>
      </c>
      <c r="P428">
        <f>COUNTIF(Homematches[Match ID],Homematches[[#This Row],[Match ID]])</f>
        <v>1</v>
      </c>
    </row>
    <row r="429" spans="1:16" x14ac:dyDescent="0.25">
      <c r="A429" s="2" t="s">
        <v>506</v>
      </c>
      <c r="B429" s="3">
        <v>46466</v>
      </c>
      <c r="C429" t="s">
        <v>18</v>
      </c>
      <c r="D429" t="s">
        <v>1</v>
      </c>
      <c r="I429" t="str">
        <f t="shared" si="42"/>
        <v/>
      </c>
      <c r="J429" t="str">
        <f t="shared" si="43"/>
        <v/>
      </c>
      <c r="K429" t="str">
        <f t="shared" si="44"/>
        <v/>
      </c>
      <c r="L429" t="str">
        <f t="shared" si="45"/>
        <v/>
      </c>
      <c r="M429" t="str">
        <f t="shared" si="46"/>
        <v/>
      </c>
      <c r="N429" t="str">
        <f t="shared" si="47"/>
        <v/>
      </c>
      <c r="O429" t="str">
        <f t="shared" si="48"/>
        <v/>
      </c>
      <c r="P429">
        <f>COUNTIF(Homematches[Match ID],Homematches[[#This Row],[Match ID]])</f>
        <v>1</v>
      </c>
    </row>
    <row r="430" spans="1:16" x14ac:dyDescent="0.25">
      <c r="A430" s="2" t="s">
        <v>507</v>
      </c>
      <c r="B430" s="3">
        <v>46466</v>
      </c>
      <c r="C430" t="s">
        <v>19</v>
      </c>
      <c r="D430" t="s">
        <v>13</v>
      </c>
      <c r="I430" t="str">
        <f t="shared" si="42"/>
        <v/>
      </c>
      <c r="J430" t="str">
        <f t="shared" si="43"/>
        <v/>
      </c>
      <c r="K430" t="str">
        <f t="shared" si="44"/>
        <v/>
      </c>
      <c r="L430" t="str">
        <f t="shared" si="45"/>
        <v/>
      </c>
      <c r="M430" t="str">
        <f t="shared" si="46"/>
        <v/>
      </c>
      <c r="N430" t="str">
        <f t="shared" si="47"/>
        <v/>
      </c>
      <c r="O430" t="str">
        <f t="shared" si="48"/>
        <v/>
      </c>
      <c r="P430">
        <f>COUNTIF(Homematches[Match ID],Homematches[[#This Row],[Match ID]])</f>
        <v>1</v>
      </c>
    </row>
    <row r="431" spans="1:16" x14ac:dyDescent="0.25">
      <c r="A431" s="2" t="s">
        <v>508</v>
      </c>
      <c r="B431" s="3">
        <v>46466</v>
      </c>
      <c r="C431" t="s">
        <v>20</v>
      </c>
      <c r="D431" t="s">
        <v>6</v>
      </c>
      <c r="I431" t="str">
        <f t="shared" si="42"/>
        <v/>
      </c>
      <c r="J431" t="str">
        <f t="shared" si="43"/>
        <v/>
      </c>
      <c r="K431" t="str">
        <f t="shared" si="44"/>
        <v/>
      </c>
      <c r="L431" t="str">
        <f t="shared" si="45"/>
        <v/>
      </c>
      <c r="M431" t="str">
        <f t="shared" si="46"/>
        <v/>
      </c>
      <c r="N431" t="str">
        <f t="shared" si="47"/>
        <v/>
      </c>
      <c r="O431" t="str">
        <f t="shared" si="48"/>
        <v/>
      </c>
      <c r="P431">
        <f>COUNTIF(Homematches[Match ID],Homematches[[#This Row],[Match ID]])</f>
        <v>1</v>
      </c>
    </row>
    <row r="432" spans="1:16" x14ac:dyDescent="0.25">
      <c r="A432" s="2" t="s">
        <v>509</v>
      </c>
      <c r="B432" s="3">
        <v>46466</v>
      </c>
      <c r="C432" t="s">
        <v>21</v>
      </c>
      <c r="D432" t="s">
        <v>2</v>
      </c>
      <c r="I432" t="str">
        <f t="shared" si="42"/>
        <v/>
      </c>
      <c r="J432" t="str">
        <f t="shared" si="43"/>
        <v/>
      </c>
      <c r="K432" t="str">
        <f t="shared" si="44"/>
        <v/>
      </c>
      <c r="L432" t="str">
        <f t="shared" si="45"/>
        <v/>
      </c>
      <c r="M432" t="str">
        <f t="shared" si="46"/>
        <v/>
      </c>
      <c r="N432" t="str">
        <f t="shared" si="47"/>
        <v/>
      </c>
      <c r="O432" t="str">
        <f t="shared" si="48"/>
        <v/>
      </c>
      <c r="P432">
        <f>COUNTIF(Homematches[Match ID],Homematches[[#This Row],[Match ID]])</f>
        <v>1</v>
      </c>
    </row>
    <row r="433" spans="1:16" x14ac:dyDescent="0.25">
      <c r="A433" s="2" t="s">
        <v>510</v>
      </c>
      <c r="B433" s="3">
        <v>46466</v>
      </c>
      <c r="C433" t="s">
        <v>22</v>
      </c>
      <c r="D433" t="s">
        <v>14</v>
      </c>
      <c r="I433" t="str">
        <f t="shared" si="42"/>
        <v/>
      </c>
      <c r="J433" t="str">
        <f t="shared" si="43"/>
        <v/>
      </c>
      <c r="K433" t="str">
        <f t="shared" si="44"/>
        <v/>
      </c>
      <c r="L433" t="str">
        <f t="shared" si="45"/>
        <v/>
      </c>
      <c r="M433" t="str">
        <f t="shared" si="46"/>
        <v/>
      </c>
      <c r="N433" t="str">
        <f t="shared" si="47"/>
        <v/>
      </c>
      <c r="O433" t="str">
        <f t="shared" si="48"/>
        <v/>
      </c>
      <c r="P433">
        <f>COUNTIF(Homematches[Match ID],Homematches[[#This Row],[Match ID]])</f>
        <v>1</v>
      </c>
    </row>
    <row r="434" spans="1:16" x14ac:dyDescent="0.25">
      <c r="A434" s="2" t="s">
        <v>511</v>
      </c>
      <c r="B434" s="3">
        <v>46472</v>
      </c>
      <c r="C434" t="s">
        <v>3</v>
      </c>
      <c r="D434" t="s">
        <v>21</v>
      </c>
      <c r="I434" t="str">
        <f t="shared" si="42"/>
        <v/>
      </c>
      <c r="J434" t="str">
        <f t="shared" si="43"/>
        <v/>
      </c>
      <c r="K434" t="str">
        <f t="shared" si="44"/>
        <v/>
      </c>
      <c r="L434" t="str">
        <f t="shared" si="45"/>
        <v/>
      </c>
      <c r="M434" t="str">
        <f t="shared" si="46"/>
        <v/>
      </c>
      <c r="N434" t="str">
        <f t="shared" si="47"/>
        <v/>
      </c>
      <c r="O434" t="str">
        <f t="shared" si="48"/>
        <v/>
      </c>
      <c r="P434">
        <f>COUNTIF(Homematches[Match ID],Homematches[[#This Row],[Match ID]])</f>
        <v>1</v>
      </c>
    </row>
    <row r="435" spans="1:16" x14ac:dyDescent="0.25">
      <c r="A435" s="2" t="s">
        <v>512</v>
      </c>
      <c r="B435" s="3">
        <v>46472</v>
      </c>
      <c r="C435" t="s">
        <v>5</v>
      </c>
      <c r="D435" t="s">
        <v>20</v>
      </c>
      <c r="I435" t="str">
        <f t="shared" si="42"/>
        <v/>
      </c>
      <c r="J435" t="str">
        <f t="shared" si="43"/>
        <v/>
      </c>
      <c r="K435" t="str">
        <f t="shared" si="44"/>
        <v/>
      </c>
      <c r="L435" t="str">
        <f t="shared" si="45"/>
        <v/>
      </c>
      <c r="M435" t="str">
        <f t="shared" si="46"/>
        <v/>
      </c>
      <c r="N435" t="str">
        <f t="shared" si="47"/>
        <v/>
      </c>
      <c r="O435" t="str">
        <f t="shared" si="48"/>
        <v/>
      </c>
      <c r="P435">
        <f>COUNTIF(Homematches[Match ID],Homematches[[#This Row],[Match ID]])</f>
        <v>1</v>
      </c>
    </row>
    <row r="436" spans="1:16" x14ac:dyDescent="0.25">
      <c r="A436" s="2" t="s">
        <v>513</v>
      </c>
      <c r="B436" s="3">
        <v>46472</v>
      </c>
      <c r="C436" t="s">
        <v>7</v>
      </c>
      <c r="D436" t="s">
        <v>2</v>
      </c>
      <c r="I436" t="str">
        <f t="shared" si="42"/>
        <v/>
      </c>
      <c r="J436" t="str">
        <f t="shared" si="43"/>
        <v/>
      </c>
      <c r="K436" t="str">
        <f t="shared" si="44"/>
        <v/>
      </c>
      <c r="L436" t="str">
        <f t="shared" si="45"/>
        <v/>
      </c>
      <c r="M436" t="str">
        <f t="shared" si="46"/>
        <v/>
      </c>
      <c r="N436" t="str">
        <f t="shared" si="47"/>
        <v/>
      </c>
      <c r="O436" t="str">
        <f t="shared" si="48"/>
        <v/>
      </c>
      <c r="P436">
        <f>COUNTIF(Homematches[Match ID],Homematches[[#This Row],[Match ID]])</f>
        <v>1</v>
      </c>
    </row>
    <row r="437" spans="1:16" x14ac:dyDescent="0.25">
      <c r="A437" s="2" t="s">
        <v>514</v>
      </c>
      <c r="B437" s="3">
        <v>46472</v>
      </c>
      <c r="C437" t="s">
        <v>8</v>
      </c>
      <c r="D437" t="s">
        <v>17</v>
      </c>
      <c r="I437" t="str">
        <f t="shared" si="42"/>
        <v/>
      </c>
      <c r="J437" t="str">
        <f t="shared" si="43"/>
        <v/>
      </c>
      <c r="K437" t="str">
        <f t="shared" si="44"/>
        <v/>
      </c>
      <c r="L437" t="str">
        <f t="shared" si="45"/>
        <v/>
      </c>
      <c r="M437" t="str">
        <f t="shared" si="46"/>
        <v/>
      </c>
      <c r="N437" t="str">
        <f t="shared" si="47"/>
        <v/>
      </c>
      <c r="O437" t="str">
        <f t="shared" si="48"/>
        <v/>
      </c>
      <c r="P437">
        <f>COUNTIF(Homematches[Match ID],Homematches[[#This Row],[Match ID]])</f>
        <v>1</v>
      </c>
    </row>
    <row r="438" spans="1:16" x14ac:dyDescent="0.25">
      <c r="A438" s="2" t="s">
        <v>515</v>
      </c>
      <c r="B438" s="3">
        <v>46472</v>
      </c>
      <c r="C438" t="s">
        <v>9</v>
      </c>
      <c r="D438" t="s">
        <v>22</v>
      </c>
      <c r="I438" t="str">
        <f t="shared" si="42"/>
        <v/>
      </c>
      <c r="J438" t="str">
        <f t="shared" si="43"/>
        <v/>
      </c>
      <c r="K438" t="str">
        <f t="shared" si="44"/>
        <v/>
      </c>
      <c r="L438" t="str">
        <f t="shared" si="45"/>
        <v/>
      </c>
      <c r="M438" t="str">
        <f t="shared" si="46"/>
        <v/>
      </c>
      <c r="N438" t="str">
        <f t="shared" si="47"/>
        <v/>
      </c>
      <c r="O438" t="str">
        <f t="shared" si="48"/>
        <v/>
      </c>
      <c r="P438">
        <f>COUNTIF(Homematches[Match ID],Homematches[[#This Row],[Match ID]])</f>
        <v>1</v>
      </c>
    </row>
    <row r="439" spans="1:16" x14ac:dyDescent="0.25">
      <c r="A439" s="2" t="s">
        <v>516</v>
      </c>
      <c r="B439" s="3">
        <v>46472</v>
      </c>
      <c r="C439" t="s">
        <v>11</v>
      </c>
      <c r="D439" t="s">
        <v>16</v>
      </c>
      <c r="I439" t="str">
        <f t="shared" si="42"/>
        <v/>
      </c>
      <c r="J439" t="str">
        <f t="shared" si="43"/>
        <v/>
      </c>
      <c r="K439" t="str">
        <f t="shared" si="44"/>
        <v/>
      </c>
      <c r="L439" t="str">
        <f t="shared" si="45"/>
        <v/>
      </c>
      <c r="M439" t="str">
        <f t="shared" si="46"/>
        <v/>
      </c>
      <c r="N439" t="str">
        <f t="shared" si="47"/>
        <v/>
      </c>
      <c r="O439" t="str">
        <f t="shared" si="48"/>
        <v/>
      </c>
      <c r="P439">
        <f>COUNTIF(Homematches[Match ID],Homematches[[#This Row],[Match ID]])</f>
        <v>1</v>
      </c>
    </row>
    <row r="440" spans="1:16" x14ac:dyDescent="0.25">
      <c r="A440" s="2" t="s">
        <v>517</v>
      </c>
      <c r="B440" s="3">
        <v>46472</v>
      </c>
      <c r="C440" t="s">
        <v>12</v>
      </c>
      <c r="D440" t="s">
        <v>6</v>
      </c>
      <c r="I440" t="str">
        <f t="shared" si="42"/>
        <v/>
      </c>
      <c r="J440" t="str">
        <f t="shared" si="43"/>
        <v/>
      </c>
      <c r="K440" t="str">
        <f t="shared" si="44"/>
        <v/>
      </c>
      <c r="L440" t="str">
        <f t="shared" si="45"/>
        <v/>
      </c>
      <c r="M440" t="str">
        <f t="shared" si="46"/>
        <v/>
      </c>
      <c r="N440" t="str">
        <f t="shared" si="47"/>
        <v/>
      </c>
      <c r="O440" t="str">
        <f t="shared" si="48"/>
        <v/>
      </c>
      <c r="P440">
        <f>COUNTIF(Homematches[Match ID],Homematches[[#This Row],[Match ID]])</f>
        <v>1</v>
      </c>
    </row>
    <row r="441" spans="1:16" x14ac:dyDescent="0.25">
      <c r="A441" s="2" t="s">
        <v>518</v>
      </c>
      <c r="B441" s="3">
        <v>46472</v>
      </c>
      <c r="C441" t="s">
        <v>33</v>
      </c>
      <c r="D441" t="s">
        <v>18</v>
      </c>
      <c r="I441" t="str">
        <f t="shared" si="42"/>
        <v/>
      </c>
      <c r="J441" t="str">
        <f t="shared" si="43"/>
        <v/>
      </c>
      <c r="K441" t="str">
        <f t="shared" si="44"/>
        <v/>
      </c>
      <c r="L441" t="str">
        <f t="shared" si="45"/>
        <v/>
      </c>
      <c r="M441" t="str">
        <f t="shared" si="46"/>
        <v/>
      </c>
      <c r="N441" t="str">
        <f t="shared" si="47"/>
        <v/>
      </c>
      <c r="O441" t="str">
        <f t="shared" si="48"/>
        <v/>
      </c>
      <c r="P441">
        <f>COUNTIF(Homematches[Match ID],Homematches[[#This Row],[Match ID]])</f>
        <v>1</v>
      </c>
    </row>
    <row r="442" spans="1:16" x14ac:dyDescent="0.25">
      <c r="A442" s="2" t="s">
        <v>519</v>
      </c>
      <c r="B442" s="3">
        <v>46472</v>
      </c>
      <c r="C442" t="s">
        <v>13</v>
      </c>
      <c r="D442" t="s">
        <v>1</v>
      </c>
      <c r="I442" t="str">
        <f t="shared" si="42"/>
        <v/>
      </c>
      <c r="J442" t="str">
        <f t="shared" si="43"/>
        <v/>
      </c>
      <c r="K442" t="str">
        <f t="shared" si="44"/>
        <v/>
      </c>
      <c r="L442" t="str">
        <f t="shared" si="45"/>
        <v/>
      </c>
      <c r="M442" t="str">
        <f t="shared" si="46"/>
        <v/>
      </c>
      <c r="N442" t="str">
        <f t="shared" si="47"/>
        <v/>
      </c>
      <c r="O442" t="str">
        <f t="shared" si="48"/>
        <v/>
      </c>
      <c r="P442">
        <f>COUNTIF(Homematches[Match ID],Homematches[[#This Row],[Match ID]])</f>
        <v>1</v>
      </c>
    </row>
    <row r="443" spans="1:16" x14ac:dyDescent="0.25">
      <c r="A443" s="2" t="s">
        <v>520</v>
      </c>
      <c r="B443" s="3">
        <v>46472</v>
      </c>
      <c r="C443" t="s">
        <v>14</v>
      </c>
      <c r="D443" t="s">
        <v>10</v>
      </c>
      <c r="I443" t="str">
        <f t="shared" si="42"/>
        <v/>
      </c>
      <c r="J443" t="str">
        <f t="shared" si="43"/>
        <v/>
      </c>
      <c r="K443" t="str">
        <f t="shared" si="44"/>
        <v/>
      </c>
      <c r="L443" t="str">
        <f t="shared" si="45"/>
        <v/>
      </c>
      <c r="M443" t="str">
        <f t="shared" si="46"/>
        <v/>
      </c>
      <c r="N443" t="str">
        <f t="shared" si="47"/>
        <v/>
      </c>
      <c r="O443" t="str">
        <f t="shared" si="48"/>
        <v/>
      </c>
      <c r="P443">
        <f>COUNTIF(Homematches[Match ID],Homematches[[#This Row],[Match ID]])</f>
        <v>1</v>
      </c>
    </row>
    <row r="444" spans="1:16" x14ac:dyDescent="0.25">
      <c r="A444" s="2" t="s">
        <v>521</v>
      </c>
      <c r="B444" s="3">
        <v>46472</v>
      </c>
      <c r="C444" t="s">
        <v>15</v>
      </c>
      <c r="D444" t="s">
        <v>0</v>
      </c>
      <c r="I444" t="str">
        <f t="shared" si="42"/>
        <v/>
      </c>
      <c r="J444" t="str">
        <f t="shared" si="43"/>
        <v/>
      </c>
      <c r="K444" t="str">
        <f t="shared" si="44"/>
        <v/>
      </c>
      <c r="L444" t="str">
        <f t="shared" si="45"/>
        <v/>
      </c>
      <c r="M444" t="str">
        <f t="shared" si="46"/>
        <v/>
      </c>
      <c r="N444" t="str">
        <f t="shared" si="47"/>
        <v/>
      </c>
      <c r="O444" t="str">
        <f t="shared" si="48"/>
        <v/>
      </c>
      <c r="P444">
        <f>COUNTIF(Homematches[Match ID],Homematches[[#This Row],[Match ID]])</f>
        <v>1</v>
      </c>
    </row>
    <row r="445" spans="1:16" x14ac:dyDescent="0.25">
      <c r="A445" s="2" t="s">
        <v>522</v>
      </c>
      <c r="B445" s="3">
        <v>46472</v>
      </c>
      <c r="C445" t="s">
        <v>19</v>
      </c>
      <c r="D445" t="s">
        <v>4</v>
      </c>
      <c r="I445" t="str">
        <f t="shared" si="42"/>
        <v/>
      </c>
      <c r="J445" t="str">
        <f t="shared" si="43"/>
        <v/>
      </c>
      <c r="K445" t="str">
        <f t="shared" si="44"/>
        <v/>
      </c>
      <c r="L445" t="str">
        <f t="shared" si="45"/>
        <v/>
      </c>
      <c r="M445" t="str">
        <f t="shared" si="46"/>
        <v/>
      </c>
      <c r="N445" t="str">
        <f t="shared" si="47"/>
        <v/>
      </c>
      <c r="O445" t="str">
        <f t="shared" si="48"/>
        <v/>
      </c>
      <c r="P445">
        <f>COUNTIF(Homematches[Match ID],Homematches[[#This Row],[Match ID]])</f>
        <v>1</v>
      </c>
    </row>
    <row r="446" spans="1:16" x14ac:dyDescent="0.25">
      <c r="A446" s="2" t="s">
        <v>523</v>
      </c>
      <c r="B446" s="3">
        <v>46475</v>
      </c>
      <c r="C446" t="s">
        <v>0</v>
      </c>
      <c r="D446" t="s">
        <v>9</v>
      </c>
      <c r="I446" t="str">
        <f t="shared" si="42"/>
        <v/>
      </c>
      <c r="J446" t="str">
        <f t="shared" si="43"/>
        <v/>
      </c>
      <c r="K446" t="str">
        <f t="shared" si="44"/>
        <v/>
      </c>
      <c r="L446" t="str">
        <f t="shared" si="45"/>
        <v/>
      </c>
      <c r="M446" t="str">
        <f t="shared" si="46"/>
        <v/>
      </c>
      <c r="N446" t="str">
        <f t="shared" si="47"/>
        <v/>
      </c>
      <c r="O446" t="str">
        <f t="shared" si="48"/>
        <v/>
      </c>
      <c r="P446">
        <f>COUNTIF(Homematches[Match ID],Homematches[[#This Row],[Match ID]])</f>
        <v>1</v>
      </c>
    </row>
    <row r="447" spans="1:16" x14ac:dyDescent="0.25">
      <c r="A447" s="2" t="s">
        <v>524</v>
      </c>
      <c r="B447" s="3">
        <v>46475</v>
      </c>
      <c r="C447" t="s">
        <v>1</v>
      </c>
      <c r="D447" t="s">
        <v>12</v>
      </c>
      <c r="I447" t="str">
        <f t="shared" si="42"/>
        <v/>
      </c>
      <c r="J447" t="str">
        <f t="shared" si="43"/>
        <v/>
      </c>
      <c r="K447" t="str">
        <f t="shared" si="44"/>
        <v/>
      </c>
      <c r="L447" t="str">
        <f t="shared" si="45"/>
        <v/>
      </c>
      <c r="M447" t="str">
        <f t="shared" si="46"/>
        <v/>
      </c>
      <c r="N447" t="str">
        <f t="shared" si="47"/>
        <v/>
      </c>
      <c r="O447" t="str">
        <f t="shared" si="48"/>
        <v/>
      </c>
      <c r="P447">
        <f>COUNTIF(Homematches[Match ID],Homematches[[#This Row],[Match ID]])</f>
        <v>1</v>
      </c>
    </row>
    <row r="448" spans="1:16" x14ac:dyDescent="0.25">
      <c r="A448" s="2" t="s">
        <v>525</v>
      </c>
      <c r="B448" s="3">
        <v>46475</v>
      </c>
      <c r="C448" t="s">
        <v>2</v>
      </c>
      <c r="D448" t="s">
        <v>14</v>
      </c>
      <c r="I448" t="str">
        <f t="shared" si="42"/>
        <v/>
      </c>
      <c r="J448" t="str">
        <f t="shared" si="43"/>
        <v/>
      </c>
      <c r="K448" t="str">
        <f t="shared" si="44"/>
        <v/>
      </c>
      <c r="L448" t="str">
        <f t="shared" si="45"/>
        <v/>
      </c>
      <c r="M448" t="str">
        <f t="shared" si="46"/>
        <v/>
      </c>
      <c r="N448" t="str">
        <f t="shared" si="47"/>
        <v/>
      </c>
      <c r="O448" t="str">
        <f t="shared" si="48"/>
        <v/>
      </c>
      <c r="P448">
        <f>COUNTIF(Homematches[Match ID],Homematches[[#This Row],[Match ID]])</f>
        <v>1</v>
      </c>
    </row>
    <row r="449" spans="1:16" x14ac:dyDescent="0.25">
      <c r="A449" s="2" t="s">
        <v>526</v>
      </c>
      <c r="B449" s="3">
        <v>46475</v>
      </c>
      <c r="C449" t="s">
        <v>4</v>
      </c>
      <c r="D449" t="s">
        <v>7</v>
      </c>
      <c r="I449" t="str">
        <f t="shared" si="42"/>
        <v/>
      </c>
      <c r="J449" t="str">
        <f t="shared" si="43"/>
        <v/>
      </c>
      <c r="K449" t="str">
        <f t="shared" si="44"/>
        <v/>
      </c>
      <c r="L449" t="str">
        <f t="shared" si="45"/>
        <v/>
      </c>
      <c r="M449" t="str">
        <f t="shared" si="46"/>
        <v/>
      </c>
      <c r="N449" t="str">
        <f t="shared" si="47"/>
        <v/>
      </c>
      <c r="O449" t="str">
        <f t="shared" si="48"/>
        <v/>
      </c>
      <c r="P449">
        <f>COUNTIF(Homematches[Match ID],Homematches[[#This Row],[Match ID]])</f>
        <v>1</v>
      </c>
    </row>
    <row r="450" spans="1:16" x14ac:dyDescent="0.25">
      <c r="A450" s="2" t="s">
        <v>527</v>
      </c>
      <c r="B450" s="3">
        <v>46475</v>
      </c>
      <c r="C450" t="s">
        <v>6</v>
      </c>
      <c r="D450" t="s">
        <v>33</v>
      </c>
      <c r="I450" t="str">
        <f t="shared" ref="I450:I513" si="49">IF(E450="","",E450-F450)</f>
        <v/>
      </c>
      <c r="J450" t="str">
        <f t="shared" ref="J450:J513" si="50">IF(G450="","",G450-H450)</f>
        <v/>
      </c>
      <c r="K450" t="str">
        <f t="shared" ref="K450:K513" si="51">IF(E450="","",E450+F450)</f>
        <v/>
      </c>
      <c r="L450" t="str">
        <f t="shared" ref="L450:L513" si="52">IF(G450="","",G450+H450)</f>
        <v/>
      </c>
      <c r="M450" t="str">
        <f t="shared" ref="M450:M513" si="53">IF(G450="","",G450-E450)</f>
        <v/>
      </c>
      <c r="N450" t="str">
        <f t="shared" ref="N450:N513" si="54">IF(H450="","",H450-F450)</f>
        <v/>
      </c>
      <c r="O450" t="str">
        <f t="shared" ref="O450:O513" si="55">IF(G450="","",IF(G450&gt;H450,"Home Win",IF(G450&lt;H450,"Away Win","Draw")))</f>
        <v/>
      </c>
      <c r="P450">
        <f>COUNTIF(Homematches[Match ID],Homematches[[#This Row],[Match ID]])</f>
        <v>1</v>
      </c>
    </row>
    <row r="451" spans="1:16" x14ac:dyDescent="0.25">
      <c r="A451" s="2" t="s">
        <v>528</v>
      </c>
      <c r="B451" s="3">
        <v>46475</v>
      </c>
      <c r="C451" t="s">
        <v>10</v>
      </c>
      <c r="D451" t="s">
        <v>8</v>
      </c>
      <c r="I451" t="str">
        <f t="shared" si="49"/>
        <v/>
      </c>
      <c r="J451" t="str">
        <f t="shared" si="50"/>
        <v/>
      </c>
      <c r="K451" t="str">
        <f t="shared" si="51"/>
        <v/>
      </c>
      <c r="L451" t="str">
        <f t="shared" si="52"/>
        <v/>
      </c>
      <c r="M451" t="str">
        <f t="shared" si="53"/>
        <v/>
      </c>
      <c r="N451" t="str">
        <f t="shared" si="54"/>
        <v/>
      </c>
      <c r="O451" t="str">
        <f t="shared" si="55"/>
        <v/>
      </c>
      <c r="P451">
        <f>COUNTIF(Homematches[Match ID],Homematches[[#This Row],[Match ID]])</f>
        <v>1</v>
      </c>
    </row>
    <row r="452" spans="1:16" x14ac:dyDescent="0.25">
      <c r="A452" s="2" t="s">
        <v>529</v>
      </c>
      <c r="B452" s="3">
        <v>46475</v>
      </c>
      <c r="C452" t="s">
        <v>16</v>
      </c>
      <c r="D452" t="s">
        <v>13</v>
      </c>
      <c r="I452" t="str">
        <f t="shared" si="49"/>
        <v/>
      </c>
      <c r="J452" t="str">
        <f t="shared" si="50"/>
        <v/>
      </c>
      <c r="K452" t="str">
        <f t="shared" si="51"/>
        <v/>
      </c>
      <c r="L452" t="str">
        <f t="shared" si="52"/>
        <v/>
      </c>
      <c r="M452" t="str">
        <f t="shared" si="53"/>
        <v/>
      </c>
      <c r="N452" t="str">
        <f t="shared" si="54"/>
        <v/>
      </c>
      <c r="O452" t="str">
        <f t="shared" si="55"/>
        <v/>
      </c>
      <c r="P452">
        <f>COUNTIF(Homematches[Match ID],Homematches[[#This Row],[Match ID]])</f>
        <v>1</v>
      </c>
    </row>
    <row r="453" spans="1:16" x14ac:dyDescent="0.25">
      <c r="A453" s="2" t="s">
        <v>530</v>
      </c>
      <c r="B453" s="3">
        <v>46475</v>
      </c>
      <c r="C453" t="s">
        <v>17</v>
      </c>
      <c r="D453" t="s">
        <v>19</v>
      </c>
      <c r="I453" t="str">
        <f t="shared" si="49"/>
        <v/>
      </c>
      <c r="J453" t="str">
        <f t="shared" si="50"/>
        <v/>
      </c>
      <c r="K453" t="str">
        <f t="shared" si="51"/>
        <v/>
      </c>
      <c r="L453" t="str">
        <f t="shared" si="52"/>
        <v/>
      </c>
      <c r="M453" t="str">
        <f t="shared" si="53"/>
        <v/>
      </c>
      <c r="N453" t="str">
        <f t="shared" si="54"/>
        <v/>
      </c>
      <c r="O453" t="str">
        <f t="shared" si="55"/>
        <v/>
      </c>
      <c r="P453">
        <f>COUNTIF(Homematches[Match ID],Homematches[[#This Row],[Match ID]])</f>
        <v>1</v>
      </c>
    </row>
    <row r="454" spans="1:16" x14ac:dyDescent="0.25">
      <c r="A454" s="2" t="s">
        <v>531</v>
      </c>
      <c r="B454" s="3">
        <v>46475</v>
      </c>
      <c r="C454" t="s">
        <v>18</v>
      </c>
      <c r="D454" t="s">
        <v>5</v>
      </c>
      <c r="I454" t="str">
        <f t="shared" si="49"/>
        <v/>
      </c>
      <c r="J454" t="str">
        <f t="shared" si="50"/>
        <v/>
      </c>
      <c r="K454" t="str">
        <f t="shared" si="51"/>
        <v/>
      </c>
      <c r="L454" t="str">
        <f t="shared" si="52"/>
        <v/>
      </c>
      <c r="M454" t="str">
        <f t="shared" si="53"/>
        <v/>
      </c>
      <c r="N454" t="str">
        <f t="shared" si="54"/>
        <v/>
      </c>
      <c r="O454" t="str">
        <f t="shared" si="55"/>
        <v/>
      </c>
      <c r="P454">
        <f>COUNTIF(Homematches[Match ID],Homematches[[#This Row],[Match ID]])</f>
        <v>1</v>
      </c>
    </row>
    <row r="455" spans="1:16" x14ac:dyDescent="0.25">
      <c r="A455" s="2" t="s">
        <v>532</v>
      </c>
      <c r="B455" s="3">
        <v>46475</v>
      </c>
      <c r="C455" t="s">
        <v>20</v>
      </c>
      <c r="D455" t="s">
        <v>3</v>
      </c>
      <c r="I455" t="str">
        <f t="shared" si="49"/>
        <v/>
      </c>
      <c r="J455" t="str">
        <f t="shared" si="50"/>
        <v/>
      </c>
      <c r="K455" t="str">
        <f t="shared" si="51"/>
        <v/>
      </c>
      <c r="L455" t="str">
        <f t="shared" si="52"/>
        <v/>
      </c>
      <c r="M455" t="str">
        <f t="shared" si="53"/>
        <v/>
      </c>
      <c r="N455" t="str">
        <f t="shared" si="54"/>
        <v/>
      </c>
      <c r="O455" t="str">
        <f t="shared" si="55"/>
        <v/>
      </c>
      <c r="P455">
        <f>COUNTIF(Homematches[Match ID],Homematches[[#This Row],[Match ID]])</f>
        <v>1</v>
      </c>
    </row>
    <row r="456" spans="1:16" x14ac:dyDescent="0.25">
      <c r="A456" s="2" t="s">
        <v>533</v>
      </c>
      <c r="B456" s="3">
        <v>46475</v>
      </c>
      <c r="C456" t="s">
        <v>21</v>
      </c>
      <c r="D456" t="s">
        <v>11</v>
      </c>
      <c r="I456" t="str">
        <f t="shared" si="49"/>
        <v/>
      </c>
      <c r="J456" t="str">
        <f t="shared" si="50"/>
        <v/>
      </c>
      <c r="K456" t="str">
        <f t="shared" si="51"/>
        <v/>
      </c>
      <c r="L456" t="str">
        <f t="shared" si="52"/>
        <v/>
      </c>
      <c r="M456" t="str">
        <f t="shared" si="53"/>
        <v/>
      </c>
      <c r="N456" t="str">
        <f t="shared" si="54"/>
        <v/>
      </c>
      <c r="O456" t="str">
        <f t="shared" si="55"/>
        <v/>
      </c>
      <c r="P456">
        <f>COUNTIF(Homematches[Match ID],Homematches[[#This Row],[Match ID]])</f>
        <v>1</v>
      </c>
    </row>
    <row r="457" spans="1:16" x14ac:dyDescent="0.25">
      <c r="A457" s="2" t="s">
        <v>534</v>
      </c>
      <c r="B457" s="3">
        <v>46475</v>
      </c>
      <c r="C457" t="s">
        <v>22</v>
      </c>
      <c r="D457" t="s">
        <v>15</v>
      </c>
      <c r="I457" t="str">
        <f t="shared" si="49"/>
        <v/>
      </c>
      <c r="J457" t="str">
        <f t="shared" si="50"/>
        <v/>
      </c>
      <c r="K457" t="str">
        <f t="shared" si="51"/>
        <v/>
      </c>
      <c r="L457" t="str">
        <f t="shared" si="52"/>
        <v/>
      </c>
      <c r="M457" t="str">
        <f t="shared" si="53"/>
        <v/>
      </c>
      <c r="N457" t="str">
        <f t="shared" si="54"/>
        <v/>
      </c>
      <c r="O457" t="str">
        <f t="shared" si="55"/>
        <v/>
      </c>
      <c r="P457">
        <f>COUNTIF(Homematches[Match ID],Homematches[[#This Row],[Match ID]])</f>
        <v>1</v>
      </c>
    </row>
    <row r="458" spans="1:16" x14ac:dyDescent="0.25">
      <c r="A458" s="2" t="s">
        <v>535</v>
      </c>
      <c r="B458" s="3">
        <v>46480</v>
      </c>
      <c r="C458" t="s">
        <v>3</v>
      </c>
      <c r="D458" t="s">
        <v>2</v>
      </c>
      <c r="I458" t="str">
        <f t="shared" si="49"/>
        <v/>
      </c>
      <c r="J458" t="str">
        <f t="shared" si="50"/>
        <v/>
      </c>
      <c r="K458" t="str">
        <f t="shared" si="51"/>
        <v/>
      </c>
      <c r="L458" t="str">
        <f t="shared" si="52"/>
        <v/>
      </c>
      <c r="M458" t="str">
        <f t="shared" si="53"/>
        <v/>
      </c>
      <c r="N458" t="str">
        <f t="shared" si="54"/>
        <v/>
      </c>
      <c r="O458" t="str">
        <f t="shared" si="55"/>
        <v/>
      </c>
      <c r="P458">
        <f>COUNTIF(Homematches[Match ID],Homematches[[#This Row],[Match ID]])</f>
        <v>1</v>
      </c>
    </row>
    <row r="459" spans="1:16" x14ac:dyDescent="0.25">
      <c r="A459" s="2" t="s">
        <v>536</v>
      </c>
      <c r="B459" s="3">
        <v>46480</v>
      </c>
      <c r="C459" t="s">
        <v>5</v>
      </c>
      <c r="D459" t="s">
        <v>1</v>
      </c>
      <c r="I459" t="str">
        <f t="shared" si="49"/>
        <v/>
      </c>
      <c r="J459" t="str">
        <f t="shared" si="50"/>
        <v/>
      </c>
      <c r="K459" t="str">
        <f t="shared" si="51"/>
        <v/>
      </c>
      <c r="L459" t="str">
        <f t="shared" si="52"/>
        <v/>
      </c>
      <c r="M459" t="str">
        <f t="shared" si="53"/>
        <v/>
      </c>
      <c r="N459" t="str">
        <f t="shared" si="54"/>
        <v/>
      </c>
      <c r="O459" t="str">
        <f t="shared" si="55"/>
        <v/>
      </c>
      <c r="P459">
        <f>COUNTIF(Homematches[Match ID],Homematches[[#This Row],[Match ID]])</f>
        <v>1</v>
      </c>
    </row>
    <row r="460" spans="1:16" x14ac:dyDescent="0.25">
      <c r="A460" s="2" t="s">
        <v>537</v>
      </c>
      <c r="B460" s="3">
        <v>46480</v>
      </c>
      <c r="C460" t="s">
        <v>7</v>
      </c>
      <c r="D460" t="s">
        <v>6</v>
      </c>
      <c r="I460" t="str">
        <f t="shared" si="49"/>
        <v/>
      </c>
      <c r="J460" t="str">
        <f t="shared" si="50"/>
        <v/>
      </c>
      <c r="K460" t="str">
        <f t="shared" si="51"/>
        <v/>
      </c>
      <c r="L460" t="str">
        <f t="shared" si="52"/>
        <v/>
      </c>
      <c r="M460" t="str">
        <f t="shared" si="53"/>
        <v/>
      </c>
      <c r="N460" t="str">
        <f t="shared" si="54"/>
        <v/>
      </c>
      <c r="O460" t="str">
        <f t="shared" si="55"/>
        <v/>
      </c>
      <c r="P460">
        <f>COUNTIF(Homematches[Match ID],Homematches[[#This Row],[Match ID]])</f>
        <v>1</v>
      </c>
    </row>
    <row r="461" spans="1:16" x14ac:dyDescent="0.25">
      <c r="A461" s="2" t="s">
        <v>538</v>
      </c>
      <c r="B461" s="3">
        <v>46480</v>
      </c>
      <c r="C461" t="s">
        <v>8</v>
      </c>
      <c r="D461" t="s">
        <v>20</v>
      </c>
      <c r="I461" t="str">
        <f t="shared" si="49"/>
        <v/>
      </c>
      <c r="J461" t="str">
        <f t="shared" si="50"/>
        <v/>
      </c>
      <c r="K461" t="str">
        <f t="shared" si="51"/>
        <v/>
      </c>
      <c r="L461" t="str">
        <f t="shared" si="52"/>
        <v/>
      </c>
      <c r="M461" t="str">
        <f t="shared" si="53"/>
        <v/>
      </c>
      <c r="N461" t="str">
        <f t="shared" si="54"/>
        <v/>
      </c>
      <c r="O461" t="str">
        <f t="shared" si="55"/>
        <v/>
      </c>
      <c r="P461">
        <f>COUNTIF(Homematches[Match ID],Homematches[[#This Row],[Match ID]])</f>
        <v>1</v>
      </c>
    </row>
    <row r="462" spans="1:16" x14ac:dyDescent="0.25">
      <c r="A462" s="2" t="s">
        <v>539</v>
      </c>
      <c r="B462" s="3">
        <v>46480</v>
      </c>
      <c r="C462" t="s">
        <v>9</v>
      </c>
      <c r="D462" t="s">
        <v>10</v>
      </c>
      <c r="I462" t="str">
        <f t="shared" si="49"/>
        <v/>
      </c>
      <c r="J462" t="str">
        <f t="shared" si="50"/>
        <v/>
      </c>
      <c r="K462" t="str">
        <f t="shared" si="51"/>
        <v/>
      </c>
      <c r="L462" t="str">
        <f t="shared" si="52"/>
        <v/>
      </c>
      <c r="M462" t="str">
        <f t="shared" si="53"/>
        <v/>
      </c>
      <c r="N462" t="str">
        <f t="shared" si="54"/>
        <v/>
      </c>
      <c r="O462" t="str">
        <f t="shared" si="55"/>
        <v/>
      </c>
      <c r="P462">
        <f>COUNTIF(Homematches[Match ID],Homematches[[#This Row],[Match ID]])</f>
        <v>1</v>
      </c>
    </row>
    <row r="463" spans="1:16" x14ac:dyDescent="0.25">
      <c r="A463" s="2" t="s">
        <v>540</v>
      </c>
      <c r="B463" s="3">
        <v>46480</v>
      </c>
      <c r="C463" t="s">
        <v>11</v>
      </c>
      <c r="D463" t="s">
        <v>0</v>
      </c>
      <c r="I463" t="str">
        <f t="shared" si="49"/>
        <v/>
      </c>
      <c r="J463" t="str">
        <f t="shared" si="50"/>
        <v/>
      </c>
      <c r="K463" t="str">
        <f t="shared" si="51"/>
        <v/>
      </c>
      <c r="L463" t="str">
        <f t="shared" si="52"/>
        <v/>
      </c>
      <c r="M463" t="str">
        <f t="shared" si="53"/>
        <v/>
      </c>
      <c r="N463" t="str">
        <f t="shared" si="54"/>
        <v/>
      </c>
      <c r="O463" t="str">
        <f t="shared" si="55"/>
        <v/>
      </c>
      <c r="P463">
        <f>COUNTIF(Homematches[Match ID],Homematches[[#This Row],[Match ID]])</f>
        <v>1</v>
      </c>
    </row>
    <row r="464" spans="1:16" x14ac:dyDescent="0.25">
      <c r="A464" s="2" t="s">
        <v>541</v>
      </c>
      <c r="B464" s="3">
        <v>46480</v>
      </c>
      <c r="C464" t="s">
        <v>12</v>
      </c>
      <c r="D464" t="s">
        <v>18</v>
      </c>
      <c r="I464" t="str">
        <f t="shared" si="49"/>
        <v/>
      </c>
      <c r="J464" t="str">
        <f t="shared" si="50"/>
        <v/>
      </c>
      <c r="K464" t="str">
        <f t="shared" si="51"/>
        <v/>
      </c>
      <c r="L464" t="str">
        <f t="shared" si="52"/>
        <v/>
      </c>
      <c r="M464" t="str">
        <f t="shared" si="53"/>
        <v/>
      </c>
      <c r="N464" t="str">
        <f t="shared" si="54"/>
        <v/>
      </c>
      <c r="O464" t="str">
        <f t="shared" si="55"/>
        <v/>
      </c>
      <c r="P464">
        <f>COUNTIF(Homematches[Match ID],Homematches[[#This Row],[Match ID]])</f>
        <v>1</v>
      </c>
    </row>
    <row r="465" spans="1:16" x14ac:dyDescent="0.25">
      <c r="A465" s="2" t="s">
        <v>542</v>
      </c>
      <c r="B465" s="3">
        <v>46480</v>
      </c>
      <c r="C465" t="s">
        <v>33</v>
      </c>
      <c r="D465" t="s">
        <v>16</v>
      </c>
      <c r="I465" t="str">
        <f t="shared" si="49"/>
        <v/>
      </c>
      <c r="J465" t="str">
        <f t="shared" si="50"/>
        <v/>
      </c>
      <c r="K465" t="str">
        <f t="shared" si="51"/>
        <v/>
      </c>
      <c r="L465" t="str">
        <f t="shared" si="52"/>
        <v/>
      </c>
      <c r="M465" t="str">
        <f t="shared" si="53"/>
        <v/>
      </c>
      <c r="N465" t="str">
        <f t="shared" si="54"/>
        <v/>
      </c>
      <c r="O465" t="str">
        <f t="shared" si="55"/>
        <v/>
      </c>
      <c r="P465">
        <f>COUNTIF(Homematches[Match ID],Homematches[[#This Row],[Match ID]])</f>
        <v>1</v>
      </c>
    </row>
    <row r="466" spans="1:16" x14ac:dyDescent="0.25">
      <c r="A466" s="2" t="s">
        <v>543</v>
      </c>
      <c r="B466" s="3">
        <v>46480</v>
      </c>
      <c r="C466" t="s">
        <v>13</v>
      </c>
      <c r="D466" t="s">
        <v>21</v>
      </c>
      <c r="I466" t="str">
        <f t="shared" si="49"/>
        <v/>
      </c>
      <c r="J466" t="str">
        <f t="shared" si="50"/>
        <v/>
      </c>
      <c r="K466" t="str">
        <f t="shared" si="51"/>
        <v/>
      </c>
      <c r="L466" t="str">
        <f t="shared" si="52"/>
        <v/>
      </c>
      <c r="M466" t="str">
        <f t="shared" si="53"/>
        <v/>
      </c>
      <c r="N466" t="str">
        <f t="shared" si="54"/>
        <v/>
      </c>
      <c r="O466" t="str">
        <f t="shared" si="55"/>
        <v/>
      </c>
      <c r="P466">
        <f>COUNTIF(Homematches[Match ID],Homematches[[#This Row],[Match ID]])</f>
        <v>1</v>
      </c>
    </row>
    <row r="467" spans="1:16" x14ac:dyDescent="0.25">
      <c r="A467" s="2" t="s">
        <v>544</v>
      </c>
      <c r="B467" s="3">
        <v>46480</v>
      </c>
      <c r="C467" t="s">
        <v>14</v>
      </c>
      <c r="D467" t="s">
        <v>4</v>
      </c>
      <c r="I467" t="str">
        <f t="shared" si="49"/>
        <v/>
      </c>
      <c r="J467" t="str">
        <f t="shared" si="50"/>
        <v/>
      </c>
      <c r="K467" t="str">
        <f t="shared" si="51"/>
        <v/>
      </c>
      <c r="L467" t="str">
        <f t="shared" si="52"/>
        <v/>
      </c>
      <c r="M467" t="str">
        <f t="shared" si="53"/>
        <v/>
      </c>
      <c r="N467" t="str">
        <f t="shared" si="54"/>
        <v/>
      </c>
      <c r="O467" t="str">
        <f t="shared" si="55"/>
        <v/>
      </c>
      <c r="P467">
        <f>COUNTIF(Homematches[Match ID],Homematches[[#This Row],[Match ID]])</f>
        <v>1</v>
      </c>
    </row>
    <row r="468" spans="1:16" x14ac:dyDescent="0.25">
      <c r="A468" s="2" t="s">
        <v>545</v>
      </c>
      <c r="B468" s="3">
        <v>46480</v>
      </c>
      <c r="C468" t="s">
        <v>15</v>
      </c>
      <c r="D468" t="s">
        <v>17</v>
      </c>
      <c r="I468" t="str">
        <f t="shared" si="49"/>
        <v/>
      </c>
      <c r="J468" t="str">
        <f t="shared" si="50"/>
        <v/>
      </c>
      <c r="K468" t="str">
        <f t="shared" si="51"/>
        <v/>
      </c>
      <c r="L468" t="str">
        <f t="shared" si="52"/>
        <v/>
      </c>
      <c r="M468" t="str">
        <f t="shared" si="53"/>
        <v/>
      </c>
      <c r="N468" t="str">
        <f t="shared" si="54"/>
        <v/>
      </c>
      <c r="O468" t="str">
        <f t="shared" si="55"/>
        <v/>
      </c>
      <c r="P468">
        <f>COUNTIF(Homematches[Match ID],Homematches[[#This Row],[Match ID]])</f>
        <v>1</v>
      </c>
    </row>
    <row r="469" spans="1:16" x14ac:dyDescent="0.25">
      <c r="A469" s="2" t="s">
        <v>546</v>
      </c>
      <c r="B469" s="3">
        <v>46480</v>
      </c>
      <c r="C469" t="s">
        <v>19</v>
      </c>
      <c r="D469" t="s">
        <v>22</v>
      </c>
      <c r="I469" t="str">
        <f t="shared" si="49"/>
        <v/>
      </c>
      <c r="J469" t="str">
        <f t="shared" si="50"/>
        <v/>
      </c>
      <c r="K469" t="str">
        <f t="shared" si="51"/>
        <v/>
      </c>
      <c r="L469" t="str">
        <f t="shared" si="52"/>
        <v/>
      </c>
      <c r="M469" t="str">
        <f t="shared" si="53"/>
        <v/>
      </c>
      <c r="N469" t="str">
        <f t="shared" si="54"/>
        <v/>
      </c>
      <c r="O469" t="str">
        <f t="shared" si="55"/>
        <v/>
      </c>
      <c r="P469">
        <f>COUNTIF(Homematches[Match ID],Homematches[[#This Row],[Match ID]])</f>
        <v>1</v>
      </c>
    </row>
    <row r="470" spans="1:16" x14ac:dyDescent="0.25">
      <c r="A470" s="2" t="s">
        <v>547</v>
      </c>
      <c r="B470" s="3">
        <v>46487</v>
      </c>
      <c r="C470" t="s">
        <v>0</v>
      </c>
      <c r="D470" t="s">
        <v>3</v>
      </c>
      <c r="I470" t="str">
        <f t="shared" si="49"/>
        <v/>
      </c>
      <c r="J470" t="str">
        <f t="shared" si="50"/>
        <v/>
      </c>
      <c r="K470" t="str">
        <f t="shared" si="51"/>
        <v/>
      </c>
      <c r="L470" t="str">
        <f t="shared" si="52"/>
        <v/>
      </c>
      <c r="M470" t="str">
        <f t="shared" si="53"/>
        <v/>
      </c>
      <c r="N470" t="str">
        <f t="shared" si="54"/>
        <v/>
      </c>
      <c r="O470" t="str">
        <f t="shared" si="55"/>
        <v/>
      </c>
      <c r="P470">
        <f>COUNTIF(Homematches[Match ID],Homematches[[#This Row],[Match ID]])</f>
        <v>1</v>
      </c>
    </row>
    <row r="471" spans="1:16" x14ac:dyDescent="0.25">
      <c r="A471" s="2" t="s">
        <v>548</v>
      </c>
      <c r="B471" s="3">
        <v>46487</v>
      </c>
      <c r="C471" t="s">
        <v>1</v>
      </c>
      <c r="D471" t="s">
        <v>15</v>
      </c>
      <c r="I471" t="str">
        <f t="shared" si="49"/>
        <v/>
      </c>
      <c r="J471" t="str">
        <f t="shared" si="50"/>
        <v/>
      </c>
      <c r="K471" t="str">
        <f t="shared" si="51"/>
        <v/>
      </c>
      <c r="L471" t="str">
        <f t="shared" si="52"/>
        <v/>
      </c>
      <c r="M471" t="str">
        <f t="shared" si="53"/>
        <v/>
      </c>
      <c r="N471" t="str">
        <f t="shared" si="54"/>
        <v/>
      </c>
      <c r="O471" t="str">
        <f t="shared" si="55"/>
        <v/>
      </c>
      <c r="P471">
        <f>COUNTIF(Homematches[Match ID],Homematches[[#This Row],[Match ID]])</f>
        <v>1</v>
      </c>
    </row>
    <row r="472" spans="1:16" x14ac:dyDescent="0.25">
      <c r="A472" s="2" t="s">
        <v>549</v>
      </c>
      <c r="B472" s="3">
        <v>46487</v>
      </c>
      <c r="C472" t="s">
        <v>2</v>
      </c>
      <c r="D472" t="s">
        <v>8</v>
      </c>
      <c r="I472" t="str">
        <f t="shared" si="49"/>
        <v/>
      </c>
      <c r="J472" t="str">
        <f t="shared" si="50"/>
        <v/>
      </c>
      <c r="K472" t="str">
        <f t="shared" si="51"/>
        <v/>
      </c>
      <c r="L472" t="str">
        <f t="shared" si="52"/>
        <v/>
      </c>
      <c r="M472" t="str">
        <f t="shared" si="53"/>
        <v/>
      </c>
      <c r="N472" t="str">
        <f t="shared" si="54"/>
        <v/>
      </c>
      <c r="O472" t="str">
        <f t="shared" si="55"/>
        <v/>
      </c>
      <c r="P472">
        <f>COUNTIF(Homematches[Match ID],Homematches[[#This Row],[Match ID]])</f>
        <v>1</v>
      </c>
    </row>
    <row r="473" spans="1:16" x14ac:dyDescent="0.25">
      <c r="A473" s="2" t="s">
        <v>550</v>
      </c>
      <c r="B473" s="3">
        <v>46487</v>
      </c>
      <c r="C473" t="s">
        <v>4</v>
      </c>
      <c r="D473" t="s">
        <v>11</v>
      </c>
      <c r="I473" t="str">
        <f t="shared" si="49"/>
        <v/>
      </c>
      <c r="J473" t="str">
        <f t="shared" si="50"/>
        <v/>
      </c>
      <c r="K473" t="str">
        <f t="shared" si="51"/>
        <v/>
      </c>
      <c r="L473" t="str">
        <f t="shared" si="52"/>
        <v/>
      </c>
      <c r="M473" t="str">
        <f t="shared" si="53"/>
        <v/>
      </c>
      <c r="N473" t="str">
        <f t="shared" si="54"/>
        <v/>
      </c>
      <c r="O473" t="str">
        <f t="shared" si="55"/>
        <v/>
      </c>
      <c r="P473">
        <f>COUNTIF(Homematches[Match ID],Homematches[[#This Row],[Match ID]])</f>
        <v>1</v>
      </c>
    </row>
    <row r="474" spans="1:16" x14ac:dyDescent="0.25">
      <c r="A474" s="2" t="s">
        <v>551</v>
      </c>
      <c r="B474" s="3">
        <v>46487</v>
      </c>
      <c r="C474" t="s">
        <v>6</v>
      </c>
      <c r="D474" t="s">
        <v>13</v>
      </c>
      <c r="I474" t="str">
        <f t="shared" si="49"/>
        <v/>
      </c>
      <c r="J474" t="str">
        <f t="shared" si="50"/>
        <v/>
      </c>
      <c r="K474" t="str">
        <f t="shared" si="51"/>
        <v/>
      </c>
      <c r="L474" t="str">
        <f t="shared" si="52"/>
        <v/>
      </c>
      <c r="M474" t="str">
        <f t="shared" si="53"/>
        <v/>
      </c>
      <c r="N474" t="str">
        <f t="shared" si="54"/>
        <v/>
      </c>
      <c r="O474" t="str">
        <f t="shared" si="55"/>
        <v/>
      </c>
      <c r="P474">
        <f>COUNTIF(Homematches[Match ID],Homematches[[#This Row],[Match ID]])</f>
        <v>1</v>
      </c>
    </row>
    <row r="475" spans="1:16" x14ac:dyDescent="0.25">
      <c r="A475" s="2" t="s">
        <v>552</v>
      </c>
      <c r="B475" s="3">
        <v>46487</v>
      </c>
      <c r="C475" t="s">
        <v>10</v>
      </c>
      <c r="D475" t="s">
        <v>33</v>
      </c>
      <c r="I475" t="str">
        <f t="shared" si="49"/>
        <v/>
      </c>
      <c r="J475" t="str">
        <f t="shared" si="50"/>
        <v/>
      </c>
      <c r="K475" t="str">
        <f t="shared" si="51"/>
        <v/>
      </c>
      <c r="L475" t="str">
        <f t="shared" si="52"/>
        <v/>
      </c>
      <c r="M475" t="str">
        <f t="shared" si="53"/>
        <v/>
      </c>
      <c r="N475" t="str">
        <f t="shared" si="54"/>
        <v/>
      </c>
      <c r="O475" t="str">
        <f t="shared" si="55"/>
        <v/>
      </c>
      <c r="P475">
        <f>COUNTIF(Homematches[Match ID],Homematches[[#This Row],[Match ID]])</f>
        <v>1</v>
      </c>
    </row>
    <row r="476" spans="1:16" x14ac:dyDescent="0.25">
      <c r="A476" s="2" t="s">
        <v>553</v>
      </c>
      <c r="B476" s="3">
        <v>46487</v>
      </c>
      <c r="C476" t="s">
        <v>16</v>
      </c>
      <c r="D476" t="s">
        <v>14</v>
      </c>
      <c r="I476" t="str">
        <f t="shared" si="49"/>
        <v/>
      </c>
      <c r="J476" t="str">
        <f t="shared" si="50"/>
        <v/>
      </c>
      <c r="K476" t="str">
        <f t="shared" si="51"/>
        <v/>
      </c>
      <c r="L476" t="str">
        <f t="shared" si="52"/>
        <v/>
      </c>
      <c r="M476" t="str">
        <f t="shared" si="53"/>
        <v/>
      </c>
      <c r="N476" t="str">
        <f t="shared" si="54"/>
        <v/>
      </c>
      <c r="O476" t="str">
        <f t="shared" si="55"/>
        <v/>
      </c>
      <c r="P476">
        <f>COUNTIF(Homematches[Match ID],Homematches[[#This Row],[Match ID]])</f>
        <v>1</v>
      </c>
    </row>
    <row r="477" spans="1:16" x14ac:dyDescent="0.25">
      <c r="A477" s="2" t="s">
        <v>554</v>
      </c>
      <c r="B477" s="3">
        <v>46487</v>
      </c>
      <c r="C477" t="s">
        <v>17</v>
      </c>
      <c r="D477" t="s">
        <v>5</v>
      </c>
      <c r="I477" t="str">
        <f t="shared" si="49"/>
        <v/>
      </c>
      <c r="J477" t="str">
        <f t="shared" si="50"/>
        <v/>
      </c>
      <c r="K477" t="str">
        <f t="shared" si="51"/>
        <v/>
      </c>
      <c r="L477" t="str">
        <f t="shared" si="52"/>
        <v/>
      </c>
      <c r="M477" t="str">
        <f t="shared" si="53"/>
        <v/>
      </c>
      <c r="N477" t="str">
        <f t="shared" si="54"/>
        <v/>
      </c>
      <c r="O477" t="str">
        <f t="shared" si="55"/>
        <v/>
      </c>
      <c r="P477">
        <f>COUNTIF(Homematches[Match ID],Homematches[[#This Row],[Match ID]])</f>
        <v>1</v>
      </c>
    </row>
    <row r="478" spans="1:16" x14ac:dyDescent="0.25">
      <c r="A478" s="2" t="s">
        <v>555</v>
      </c>
      <c r="B478" s="3">
        <v>46487</v>
      </c>
      <c r="C478" t="s">
        <v>18</v>
      </c>
      <c r="D478" t="s">
        <v>9</v>
      </c>
      <c r="I478" t="str">
        <f t="shared" si="49"/>
        <v/>
      </c>
      <c r="J478" t="str">
        <f t="shared" si="50"/>
        <v/>
      </c>
      <c r="K478" t="str">
        <f t="shared" si="51"/>
        <v/>
      </c>
      <c r="L478" t="str">
        <f t="shared" si="52"/>
        <v/>
      </c>
      <c r="M478" t="str">
        <f t="shared" si="53"/>
        <v/>
      </c>
      <c r="N478" t="str">
        <f t="shared" si="54"/>
        <v/>
      </c>
      <c r="O478" t="str">
        <f t="shared" si="55"/>
        <v/>
      </c>
      <c r="P478">
        <f>COUNTIF(Homematches[Match ID],Homematches[[#This Row],[Match ID]])</f>
        <v>1</v>
      </c>
    </row>
    <row r="479" spans="1:16" x14ac:dyDescent="0.25">
      <c r="A479" s="2" t="s">
        <v>556</v>
      </c>
      <c r="B479" s="3">
        <v>46487</v>
      </c>
      <c r="C479" t="s">
        <v>20</v>
      </c>
      <c r="D479" t="s">
        <v>19</v>
      </c>
      <c r="I479" t="str">
        <f t="shared" si="49"/>
        <v/>
      </c>
      <c r="J479" t="str">
        <f t="shared" si="50"/>
        <v/>
      </c>
      <c r="K479" t="str">
        <f t="shared" si="51"/>
        <v/>
      </c>
      <c r="L479" t="str">
        <f t="shared" si="52"/>
        <v/>
      </c>
      <c r="M479" t="str">
        <f t="shared" si="53"/>
        <v/>
      </c>
      <c r="N479" t="str">
        <f t="shared" si="54"/>
        <v/>
      </c>
      <c r="O479" t="str">
        <f t="shared" si="55"/>
        <v/>
      </c>
      <c r="P479">
        <f>COUNTIF(Homematches[Match ID],Homematches[[#This Row],[Match ID]])</f>
        <v>1</v>
      </c>
    </row>
    <row r="480" spans="1:16" x14ac:dyDescent="0.25">
      <c r="A480" s="2" t="s">
        <v>557</v>
      </c>
      <c r="B480" s="3">
        <v>46487</v>
      </c>
      <c r="C480" t="s">
        <v>21</v>
      </c>
      <c r="D480" t="s">
        <v>7</v>
      </c>
      <c r="I480" t="str">
        <f t="shared" si="49"/>
        <v/>
      </c>
      <c r="J480" t="str">
        <f t="shared" si="50"/>
        <v/>
      </c>
      <c r="K480" t="str">
        <f t="shared" si="51"/>
        <v/>
      </c>
      <c r="L480" t="str">
        <f t="shared" si="52"/>
        <v/>
      </c>
      <c r="M480" t="str">
        <f t="shared" si="53"/>
        <v/>
      </c>
      <c r="N480" t="str">
        <f t="shared" si="54"/>
        <v/>
      </c>
      <c r="O480" t="str">
        <f t="shared" si="55"/>
        <v/>
      </c>
      <c r="P480">
        <f>COUNTIF(Homematches[Match ID],Homematches[[#This Row],[Match ID]])</f>
        <v>1</v>
      </c>
    </row>
    <row r="481" spans="1:16" x14ac:dyDescent="0.25">
      <c r="A481" s="2" t="s">
        <v>558</v>
      </c>
      <c r="B481" s="3">
        <v>46487</v>
      </c>
      <c r="C481" t="s">
        <v>22</v>
      </c>
      <c r="D481" t="s">
        <v>12</v>
      </c>
      <c r="I481" t="str">
        <f t="shared" si="49"/>
        <v/>
      </c>
      <c r="J481" t="str">
        <f t="shared" si="50"/>
        <v/>
      </c>
      <c r="K481" t="str">
        <f t="shared" si="51"/>
        <v/>
      </c>
      <c r="L481" t="str">
        <f t="shared" si="52"/>
        <v/>
      </c>
      <c r="M481" t="str">
        <f t="shared" si="53"/>
        <v/>
      </c>
      <c r="N481" t="str">
        <f t="shared" si="54"/>
        <v/>
      </c>
      <c r="O481" t="str">
        <f t="shared" si="55"/>
        <v/>
      </c>
      <c r="P481">
        <f>COUNTIF(Homematches[Match ID],Homematches[[#This Row],[Match ID]])</f>
        <v>1</v>
      </c>
    </row>
    <row r="482" spans="1:16" x14ac:dyDescent="0.25">
      <c r="A482" s="2" t="s">
        <v>559</v>
      </c>
      <c r="B482" s="3">
        <v>46490</v>
      </c>
      <c r="C482" t="s">
        <v>0</v>
      </c>
      <c r="D482" t="s">
        <v>6</v>
      </c>
      <c r="I482" t="str">
        <f t="shared" si="49"/>
        <v/>
      </c>
      <c r="J482" t="str">
        <f t="shared" si="50"/>
        <v/>
      </c>
      <c r="K482" t="str">
        <f t="shared" si="51"/>
        <v/>
      </c>
      <c r="L482" t="str">
        <f t="shared" si="52"/>
        <v/>
      </c>
      <c r="M482" t="str">
        <f t="shared" si="53"/>
        <v/>
      </c>
      <c r="N482" t="str">
        <f t="shared" si="54"/>
        <v/>
      </c>
      <c r="O482" t="str">
        <f t="shared" si="55"/>
        <v/>
      </c>
      <c r="P482">
        <f>COUNTIF(Homematches[Match ID],Homematches[[#This Row],[Match ID]])</f>
        <v>1</v>
      </c>
    </row>
    <row r="483" spans="1:16" x14ac:dyDescent="0.25">
      <c r="A483" s="2" t="s">
        <v>560</v>
      </c>
      <c r="B483" s="3">
        <v>46490</v>
      </c>
      <c r="C483" t="s">
        <v>1</v>
      </c>
      <c r="D483" t="s">
        <v>3</v>
      </c>
      <c r="I483" t="str">
        <f t="shared" si="49"/>
        <v/>
      </c>
      <c r="J483" t="str">
        <f t="shared" si="50"/>
        <v/>
      </c>
      <c r="K483" t="str">
        <f t="shared" si="51"/>
        <v/>
      </c>
      <c r="L483" t="str">
        <f t="shared" si="52"/>
        <v/>
      </c>
      <c r="M483" t="str">
        <f t="shared" si="53"/>
        <v/>
      </c>
      <c r="N483" t="str">
        <f t="shared" si="54"/>
        <v/>
      </c>
      <c r="O483" t="str">
        <f t="shared" si="55"/>
        <v/>
      </c>
      <c r="P483">
        <f>COUNTIF(Homematches[Match ID],Homematches[[#This Row],[Match ID]])</f>
        <v>1</v>
      </c>
    </row>
    <row r="484" spans="1:16" x14ac:dyDescent="0.25">
      <c r="A484" s="2" t="s">
        <v>561</v>
      </c>
      <c r="B484" s="3">
        <v>46490</v>
      </c>
      <c r="C484" t="s">
        <v>2</v>
      </c>
      <c r="D484" t="s">
        <v>13</v>
      </c>
      <c r="I484" t="str">
        <f t="shared" si="49"/>
        <v/>
      </c>
      <c r="J484" t="str">
        <f t="shared" si="50"/>
        <v/>
      </c>
      <c r="K484" t="str">
        <f t="shared" si="51"/>
        <v/>
      </c>
      <c r="L484" t="str">
        <f t="shared" si="52"/>
        <v/>
      </c>
      <c r="M484" t="str">
        <f t="shared" si="53"/>
        <v/>
      </c>
      <c r="N484" t="str">
        <f t="shared" si="54"/>
        <v/>
      </c>
      <c r="O484" t="str">
        <f t="shared" si="55"/>
        <v/>
      </c>
      <c r="P484">
        <f>COUNTIF(Homematches[Match ID],Homematches[[#This Row],[Match ID]])</f>
        <v>1</v>
      </c>
    </row>
    <row r="485" spans="1:16" x14ac:dyDescent="0.25">
      <c r="A485" s="2" t="s">
        <v>562</v>
      </c>
      <c r="B485" s="3">
        <v>46490</v>
      </c>
      <c r="C485" t="s">
        <v>4</v>
      </c>
      <c r="D485" t="s">
        <v>33</v>
      </c>
      <c r="I485" t="str">
        <f t="shared" si="49"/>
        <v/>
      </c>
      <c r="J485" t="str">
        <f t="shared" si="50"/>
        <v/>
      </c>
      <c r="K485" t="str">
        <f t="shared" si="51"/>
        <v/>
      </c>
      <c r="L485" t="str">
        <f t="shared" si="52"/>
        <v/>
      </c>
      <c r="M485" t="str">
        <f t="shared" si="53"/>
        <v/>
      </c>
      <c r="N485" t="str">
        <f t="shared" si="54"/>
        <v/>
      </c>
      <c r="O485" t="str">
        <f t="shared" si="55"/>
        <v/>
      </c>
      <c r="P485">
        <f>COUNTIF(Homematches[Match ID],Homematches[[#This Row],[Match ID]])</f>
        <v>1</v>
      </c>
    </row>
    <row r="486" spans="1:16" x14ac:dyDescent="0.25">
      <c r="A486" s="2" t="s">
        <v>563</v>
      </c>
      <c r="B486" s="3">
        <v>46490</v>
      </c>
      <c r="C486" t="s">
        <v>5</v>
      </c>
      <c r="D486" t="s">
        <v>16</v>
      </c>
      <c r="I486" t="str">
        <f t="shared" si="49"/>
        <v/>
      </c>
      <c r="J486" t="str">
        <f t="shared" si="50"/>
        <v/>
      </c>
      <c r="K486" t="str">
        <f t="shared" si="51"/>
        <v/>
      </c>
      <c r="L486" t="str">
        <f t="shared" si="52"/>
        <v/>
      </c>
      <c r="M486" t="str">
        <f t="shared" si="53"/>
        <v/>
      </c>
      <c r="N486" t="str">
        <f t="shared" si="54"/>
        <v/>
      </c>
      <c r="O486" t="str">
        <f t="shared" si="55"/>
        <v/>
      </c>
      <c r="P486">
        <f>COUNTIF(Homematches[Match ID],Homematches[[#This Row],[Match ID]])</f>
        <v>1</v>
      </c>
    </row>
    <row r="487" spans="1:16" x14ac:dyDescent="0.25">
      <c r="A487" s="2" t="s">
        <v>564</v>
      </c>
      <c r="B487" s="3">
        <v>46490</v>
      </c>
      <c r="C487" t="s">
        <v>10</v>
      </c>
      <c r="D487" t="s">
        <v>12</v>
      </c>
      <c r="I487" t="str">
        <f t="shared" si="49"/>
        <v/>
      </c>
      <c r="J487" t="str">
        <f t="shared" si="50"/>
        <v/>
      </c>
      <c r="K487" t="str">
        <f t="shared" si="51"/>
        <v/>
      </c>
      <c r="L487" t="str">
        <f t="shared" si="52"/>
        <v/>
      </c>
      <c r="M487" t="str">
        <f t="shared" si="53"/>
        <v/>
      </c>
      <c r="N487" t="str">
        <f t="shared" si="54"/>
        <v/>
      </c>
      <c r="O487" t="str">
        <f t="shared" si="55"/>
        <v/>
      </c>
      <c r="P487">
        <f>COUNTIF(Homematches[Match ID],Homematches[[#This Row],[Match ID]])</f>
        <v>1</v>
      </c>
    </row>
    <row r="488" spans="1:16" x14ac:dyDescent="0.25">
      <c r="A488" s="2" t="s">
        <v>565</v>
      </c>
      <c r="B488" s="3">
        <v>46490</v>
      </c>
      <c r="C488" t="s">
        <v>11</v>
      </c>
      <c r="D488" t="s">
        <v>8</v>
      </c>
      <c r="I488" t="str">
        <f t="shared" si="49"/>
        <v/>
      </c>
      <c r="J488" t="str">
        <f t="shared" si="50"/>
        <v/>
      </c>
      <c r="K488" t="str">
        <f t="shared" si="51"/>
        <v/>
      </c>
      <c r="L488" t="str">
        <f t="shared" si="52"/>
        <v/>
      </c>
      <c r="M488" t="str">
        <f t="shared" si="53"/>
        <v/>
      </c>
      <c r="N488" t="str">
        <f t="shared" si="54"/>
        <v/>
      </c>
      <c r="O488" t="str">
        <f t="shared" si="55"/>
        <v/>
      </c>
      <c r="P488">
        <f>COUNTIF(Homematches[Match ID],Homematches[[#This Row],[Match ID]])</f>
        <v>1</v>
      </c>
    </row>
    <row r="489" spans="1:16" x14ac:dyDescent="0.25">
      <c r="A489" s="2" t="s">
        <v>566</v>
      </c>
      <c r="B489" s="3">
        <v>46490</v>
      </c>
      <c r="C489" t="s">
        <v>14</v>
      </c>
      <c r="D489" t="s">
        <v>7</v>
      </c>
      <c r="I489" t="str">
        <f t="shared" si="49"/>
        <v/>
      </c>
      <c r="J489" t="str">
        <f t="shared" si="50"/>
        <v/>
      </c>
      <c r="K489" t="str">
        <f t="shared" si="51"/>
        <v/>
      </c>
      <c r="L489" t="str">
        <f t="shared" si="52"/>
        <v/>
      </c>
      <c r="M489" t="str">
        <f t="shared" si="53"/>
        <v/>
      </c>
      <c r="N489" t="str">
        <f t="shared" si="54"/>
        <v/>
      </c>
      <c r="O489" t="str">
        <f t="shared" si="55"/>
        <v/>
      </c>
      <c r="P489">
        <f>COUNTIF(Homematches[Match ID],Homematches[[#This Row],[Match ID]])</f>
        <v>1</v>
      </c>
    </row>
    <row r="490" spans="1:16" x14ac:dyDescent="0.25">
      <c r="A490" s="2" t="s">
        <v>567</v>
      </c>
      <c r="B490" s="3">
        <v>46490</v>
      </c>
      <c r="C490" t="s">
        <v>15</v>
      </c>
      <c r="D490" t="s">
        <v>20</v>
      </c>
      <c r="I490" t="str">
        <f t="shared" si="49"/>
        <v/>
      </c>
      <c r="J490" t="str">
        <f t="shared" si="50"/>
        <v/>
      </c>
      <c r="K490" t="str">
        <f t="shared" si="51"/>
        <v/>
      </c>
      <c r="L490" t="str">
        <f t="shared" si="52"/>
        <v/>
      </c>
      <c r="M490" t="str">
        <f t="shared" si="53"/>
        <v/>
      </c>
      <c r="N490" t="str">
        <f t="shared" si="54"/>
        <v/>
      </c>
      <c r="O490" t="str">
        <f t="shared" si="55"/>
        <v/>
      </c>
      <c r="P490">
        <f>COUNTIF(Homematches[Match ID],Homematches[[#This Row],[Match ID]])</f>
        <v>1</v>
      </c>
    </row>
    <row r="491" spans="1:16" x14ac:dyDescent="0.25">
      <c r="A491" s="2" t="s">
        <v>568</v>
      </c>
      <c r="B491" s="3">
        <v>46490</v>
      </c>
      <c r="C491" t="s">
        <v>17</v>
      </c>
      <c r="D491" t="s">
        <v>22</v>
      </c>
      <c r="I491" t="str">
        <f t="shared" si="49"/>
        <v/>
      </c>
      <c r="J491" t="str">
        <f t="shared" si="50"/>
        <v/>
      </c>
      <c r="K491" t="str">
        <f t="shared" si="51"/>
        <v/>
      </c>
      <c r="L491" t="str">
        <f t="shared" si="52"/>
        <v/>
      </c>
      <c r="M491" t="str">
        <f t="shared" si="53"/>
        <v/>
      </c>
      <c r="N491" t="str">
        <f t="shared" si="54"/>
        <v/>
      </c>
      <c r="O491" t="str">
        <f t="shared" si="55"/>
        <v/>
      </c>
      <c r="P491">
        <f>COUNTIF(Homematches[Match ID],Homematches[[#This Row],[Match ID]])</f>
        <v>1</v>
      </c>
    </row>
    <row r="492" spans="1:16" x14ac:dyDescent="0.25">
      <c r="A492" s="2" t="s">
        <v>569</v>
      </c>
      <c r="B492" s="3">
        <v>46490</v>
      </c>
      <c r="C492" t="s">
        <v>18</v>
      </c>
      <c r="D492" t="s">
        <v>19</v>
      </c>
      <c r="I492" t="str">
        <f t="shared" si="49"/>
        <v/>
      </c>
      <c r="J492" t="str">
        <f t="shared" si="50"/>
        <v/>
      </c>
      <c r="K492" t="str">
        <f t="shared" si="51"/>
        <v/>
      </c>
      <c r="L492" t="str">
        <f t="shared" si="52"/>
        <v/>
      </c>
      <c r="M492" t="str">
        <f t="shared" si="53"/>
        <v/>
      </c>
      <c r="N492" t="str">
        <f t="shared" si="54"/>
        <v/>
      </c>
      <c r="O492" t="str">
        <f t="shared" si="55"/>
        <v/>
      </c>
      <c r="P492">
        <f>COUNTIF(Homematches[Match ID],Homematches[[#This Row],[Match ID]])</f>
        <v>1</v>
      </c>
    </row>
    <row r="493" spans="1:16" x14ac:dyDescent="0.25">
      <c r="A493" s="2" t="s">
        <v>570</v>
      </c>
      <c r="B493" s="3">
        <v>46490</v>
      </c>
      <c r="C493" t="s">
        <v>21</v>
      </c>
      <c r="D493" t="s">
        <v>9</v>
      </c>
      <c r="I493" t="str">
        <f t="shared" si="49"/>
        <v/>
      </c>
      <c r="J493" t="str">
        <f t="shared" si="50"/>
        <v/>
      </c>
      <c r="K493" t="str">
        <f t="shared" si="51"/>
        <v/>
      </c>
      <c r="L493" t="str">
        <f t="shared" si="52"/>
        <v/>
      </c>
      <c r="M493" t="str">
        <f t="shared" si="53"/>
        <v/>
      </c>
      <c r="N493" t="str">
        <f t="shared" si="54"/>
        <v/>
      </c>
      <c r="O493" t="str">
        <f t="shared" si="55"/>
        <v/>
      </c>
      <c r="P493">
        <f>COUNTIF(Homematches[Match ID],Homematches[[#This Row],[Match ID]])</f>
        <v>1</v>
      </c>
    </row>
    <row r="494" spans="1:16" x14ac:dyDescent="0.25">
      <c r="A494" s="2" t="s">
        <v>571</v>
      </c>
      <c r="B494" s="3">
        <v>46494</v>
      </c>
      <c r="C494" t="s">
        <v>3</v>
      </c>
      <c r="D494" t="s">
        <v>11</v>
      </c>
      <c r="I494" t="str">
        <f t="shared" si="49"/>
        <v/>
      </c>
      <c r="J494" t="str">
        <f t="shared" si="50"/>
        <v/>
      </c>
      <c r="K494" t="str">
        <f t="shared" si="51"/>
        <v/>
      </c>
      <c r="L494" t="str">
        <f t="shared" si="52"/>
        <v/>
      </c>
      <c r="M494" t="str">
        <f t="shared" si="53"/>
        <v/>
      </c>
      <c r="N494" t="str">
        <f t="shared" si="54"/>
        <v/>
      </c>
      <c r="O494" t="str">
        <f t="shared" si="55"/>
        <v/>
      </c>
      <c r="P494">
        <f>COUNTIF(Homematches[Match ID],Homematches[[#This Row],[Match ID]])</f>
        <v>1</v>
      </c>
    </row>
    <row r="495" spans="1:16" x14ac:dyDescent="0.25">
      <c r="A495" s="2" t="s">
        <v>572</v>
      </c>
      <c r="B495" s="3">
        <v>46494</v>
      </c>
      <c r="C495" t="s">
        <v>6</v>
      </c>
      <c r="D495" t="s">
        <v>14</v>
      </c>
      <c r="I495" t="str">
        <f t="shared" si="49"/>
        <v/>
      </c>
      <c r="J495" t="str">
        <f t="shared" si="50"/>
        <v/>
      </c>
      <c r="K495" t="str">
        <f t="shared" si="51"/>
        <v/>
      </c>
      <c r="L495" t="str">
        <f t="shared" si="52"/>
        <v/>
      </c>
      <c r="M495" t="str">
        <f t="shared" si="53"/>
        <v/>
      </c>
      <c r="N495" t="str">
        <f t="shared" si="54"/>
        <v/>
      </c>
      <c r="O495" t="str">
        <f t="shared" si="55"/>
        <v/>
      </c>
      <c r="P495">
        <f>COUNTIF(Homematches[Match ID],Homematches[[#This Row],[Match ID]])</f>
        <v>1</v>
      </c>
    </row>
    <row r="496" spans="1:16" x14ac:dyDescent="0.25">
      <c r="A496" s="2" t="s">
        <v>573</v>
      </c>
      <c r="B496" s="3">
        <v>46494</v>
      </c>
      <c r="C496" t="s">
        <v>7</v>
      </c>
      <c r="D496" t="s">
        <v>15</v>
      </c>
      <c r="I496" t="str">
        <f t="shared" si="49"/>
        <v/>
      </c>
      <c r="J496" t="str">
        <f t="shared" si="50"/>
        <v/>
      </c>
      <c r="K496" t="str">
        <f t="shared" si="51"/>
        <v/>
      </c>
      <c r="L496" t="str">
        <f t="shared" si="52"/>
        <v/>
      </c>
      <c r="M496" t="str">
        <f t="shared" si="53"/>
        <v/>
      </c>
      <c r="N496" t="str">
        <f t="shared" si="54"/>
        <v/>
      </c>
      <c r="O496" t="str">
        <f t="shared" si="55"/>
        <v/>
      </c>
      <c r="P496">
        <f>COUNTIF(Homematches[Match ID],Homematches[[#This Row],[Match ID]])</f>
        <v>1</v>
      </c>
    </row>
    <row r="497" spans="1:16" x14ac:dyDescent="0.25">
      <c r="A497" s="2" t="s">
        <v>574</v>
      </c>
      <c r="B497" s="3">
        <v>46494</v>
      </c>
      <c r="C497" t="s">
        <v>8</v>
      </c>
      <c r="D497" t="s">
        <v>4</v>
      </c>
      <c r="I497" t="str">
        <f t="shared" si="49"/>
        <v/>
      </c>
      <c r="J497" t="str">
        <f t="shared" si="50"/>
        <v/>
      </c>
      <c r="K497" t="str">
        <f t="shared" si="51"/>
        <v/>
      </c>
      <c r="L497" t="str">
        <f t="shared" si="52"/>
        <v/>
      </c>
      <c r="M497" t="str">
        <f t="shared" si="53"/>
        <v/>
      </c>
      <c r="N497" t="str">
        <f t="shared" si="54"/>
        <v/>
      </c>
      <c r="O497" t="str">
        <f t="shared" si="55"/>
        <v/>
      </c>
      <c r="P497">
        <f>COUNTIF(Homematches[Match ID],Homematches[[#This Row],[Match ID]])</f>
        <v>1</v>
      </c>
    </row>
    <row r="498" spans="1:16" x14ac:dyDescent="0.25">
      <c r="A498" s="2" t="s">
        <v>575</v>
      </c>
      <c r="B498" s="3">
        <v>46494</v>
      </c>
      <c r="C498" t="s">
        <v>9</v>
      </c>
      <c r="D498" t="s">
        <v>1</v>
      </c>
      <c r="I498" t="str">
        <f t="shared" si="49"/>
        <v/>
      </c>
      <c r="J498" t="str">
        <f t="shared" si="50"/>
        <v/>
      </c>
      <c r="K498" t="str">
        <f t="shared" si="51"/>
        <v/>
      </c>
      <c r="L498" t="str">
        <f t="shared" si="52"/>
        <v/>
      </c>
      <c r="M498" t="str">
        <f t="shared" si="53"/>
        <v/>
      </c>
      <c r="N498" t="str">
        <f t="shared" si="54"/>
        <v/>
      </c>
      <c r="O498" t="str">
        <f t="shared" si="55"/>
        <v/>
      </c>
      <c r="P498">
        <f>COUNTIF(Homematches[Match ID],Homematches[[#This Row],[Match ID]])</f>
        <v>1</v>
      </c>
    </row>
    <row r="499" spans="1:16" x14ac:dyDescent="0.25">
      <c r="A499" s="2" t="s">
        <v>576</v>
      </c>
      <c r="B499" s="3">
        <v>46494</v>
      </c>
      <c r="C499" t="s">
        <v>12</v>
      </c>
      <c r="D499" t="s">
        <v>5</v>
      </c>
      <c r="I499" t="str">
        <f t="shared" si="49"/>
        <v/>
      </c>
      <c r="J499" t="str">
        <f t="shared" si="50"/>
        <v/>
      </c>
      <c r="K499" t="str">
        <f t="shared" si="51"/>
        <v/>
      </c>
      <c r="L499" t="str">
        <f t="shared" si="52"/>
        <v/>
      </c>
      <c r="M499" t="str">
        <f t="shared" si="53"/>
        <v/>
      </c>
      <c r="N499" t="str">
        <f t="shared" si="54"/>
        <v/>
      </c>
      <c r="O499" t="str">
        <f t="shared" si="55"/>
        <v/>
      </c>
      <c r="P499">
        <f>COUNTIF(Homematches[Match ID],Homematches[[#This Row],[Match ID]])</f>
        <v>1</v>
      </c>
    </row>
    <row r="500" spans="1:16" x14ac:dyDescent="0.25">
      <c r="A500" s="2" t="s">
        <v>577</v>
      </c>
      <c r="B500" s="3">
        <v>46494</v>
      </c>
      <c r="C500" t="s">
        <v>33</v>
      </c>
      <c r="D500" t="s">
        <v>0</v>
      </c>
      <c r="I500" t="str">
        <f t="shared" si="49"/>
        <v/>
      </c>
      <c r="J500" t="str">
        <f t="shared" si="50"/>
        <v/>
      </c>
      <c r="K500" t="str">
        <f t="shared" si="51"/>
        <v/>
      </c>
      <c r="L500" t="str">
        <f t="shared" si="52"/>
        <v/>
      </c>
      <c r="M500" t="str">
        <f t="shared" si="53"/>
        <v/>
      </c>
      <c r="N500" t="str">
        <f t="shared" si="54"/>
        <v/>
      </c>
      <c r="O500" t="str">
        <f t="shared" si="55"/>
        <v/>
      </c>
      <c r="P500">
        <f>COUNTIF(Homematches[Match ID],Homematches[[#This Row],[Match ID]])</f>
        <v>1</v>
      </c>
    </row>
    <row r="501" spans="1:16" x14ac:dyDescent="0.25">
      <c r="A501" s="2" t="s">
        <v>578</v>
      </c>
      <c r="B501" s="3">
        <v>46494</v>
      </c>
      <c r="C501" t="s">
        <v>13</v>
      </c>
      <c r="D501" t="s">
        <v>17</v>
      </c>
      <c r="I501" t="str">
        <f t="shared" si="49"/>
        <v/>
      </c>
      <c r="J501" t="str">
        <f t="shared" si="50"/>
        <v/>
      </c>
      <c r="K501" t="str">
        <f t="shared" si="51"/>
        <v/>
      </c>
      <c r="L501" t="str">
        <f t="shared" si="52"/>
        <v/>
      </c>
      <c r="M501" t="str">
        <f t="shared" si="53"/>
        <v/>
      </c>
      <c r="N501" t="str">
        <f t="shared" si="54"/>
        <v/>
      </c>
      <c r="O501" t="str">
        <f t="shared" si="55"/>
        <v/>
      </c>
      <c r="P501">
        <f>COUNTIF(Homematches[Match ID],Homematches[[#This Row],[Match ID]])</f>
        <v>1</v>
      </c>
    </row>
    <row r="502" spans="1:16" x14ac:dyDescent="0.25">
      <c r="A502" s="2" t="s">
        <v>579</v>
      </c>
      <c r="B502" s="3">
        <v>46494</v>
      </c>
      <c r="C502" t="s">
        <v>16</v>
      </c>
      <c r="D502" t="s">
        <v>2</v>
      </c>
      <c r="I502" t="str">
        <f t="shared" si="49"/>
        <v/>
      </c>
      <c r="J502" t="str">
        <f t="shared" si="50"/>
        <v/>
      </c>
      <c r="K502" t="str">
        <f t="shared" si="51"/>
        <v/>
      </c>
      <c r="L502" t="str">
        <f t="shared" si="52"/>
        <v/>
      </c>
      <c r="M502" t="str">
        <f t="shared" si="53"/>
        <v/>
      </c>
      <c r="N502" t="str">
        <f t="shared" si="54"/>
        <v/>
      </c>
      <c r="O502" t="str">
        <f t="shared" si="55"/>
        <v/>
      </c>
      <c r="P502">
        <f>COUNTIF(Homematches[Match ID],Homematches[[#This Row],[Match ID]])</f>
        <v>1</v>
      </c>
    </row>
    <row r="503" spans="1:16" x14ac:dyDescent="0.25">
      <c r="A503" s="2" t="s">
        <v>580</v>
      </c>
      <c r="B503" s="3">
        <v>46494</v>
      </c>
      <c r="C503" t="s">
        <v>19</v>
      </c>
      <c r="D503" t="s">
        <v>10</v>
      </c>
      <c r="I503" t="str">
        <f t="shared" si="49"/>
        <v/>
      </c>
      <c r="J503" t="str">
        <f t="shared" si="50"/>
        <v/>
      </c>
      <c r="K503" t="str">
        <f t="shared" si="51"/>
        <v/>
      </c>
      <c r="L503" t="str">
        <f t="shared" si="52"/>
        <v/>
      </c>
      <c r="M503" t="str">
        <f t="shared" si="53"/>
        <v/>
      </c>
      <c r="N503" t="str">
        <f t="shared" si="54"/>
        <v/>
      </c>
      <c r="O503" t="str">
        <f t="shared" si="55"/>
        <v/>
      </c>
      <c r="P503">
        <f>COUNTIF(Homematches[Match ID],Homematches[[#This Row],[Match ID]])</f>
        <v>1</v>
      </c>
    </row>
    <row r="504" spans="1:16" x14ac:dyDescent="0.25">
      <c r="A504" s="2" t="s">
        <v>581</v>
      </c>
      <c r="B504" s="3">
        <v>46494</v>
      </c>
      <c r="C504" t="s">
        <v>20</v>
      </c>
      <c r="D504" t="s">
        <v>18</v>
      </c>
      <c r="I504" t="str">
        <f t="shared" si="49"/>
        <v/>
      </c>
      <c r="J504" t="str">
        <f t="shared" si="50"/>
        <v/>
      </c>
      <c r="K504" t="str">
        <f t="shared" si="51"/>
        <v/>
      </c>
      <c r="L504" t="str">
        <f t="shared" si="52"/>
        <v/>
      </c>
      <c r="M504" t="str">
        <f t="shared" si="53"/>
        <v/>
      </c>
      <c r="N504" t="str">
        <f t="shared" si="54"/>
        <v/>
      </c>
      <c r="O504" t="str">
        <f t="shared" si="55"/>
        <v/>
      </c>
      <c r="P504">
        <f>COUNTIF(Homematches[Match ID],Homematches[[#This Row],[Match ID]])</f>
        <v>1</v>
      </c>
    </row>
    <row r="505" spans="1:16" x14ac:dyDescent="0.25">
      <c r="A505" s="2" t="s">
        <v>582</v>
      </c>
      <c r="B505" s="3">
        <v>46494</v>
      </c>
      <c r="C505" t="s">
        <v>22</v>
      </c>
      <c r="D505" t="s">
        <v>21</v>
      </c>
      <c r="I505" t="str">
        <f t="shared" si="49"/>
        <v/>
      </c>
      <c r="J505" t="str">
        <f t="shared" si="50"/>
        <v/>
      </c>
      <c r="K505" t="str">
        <f t="shared" si="51"/>
        <v/>
      </c>
      <c r="L505" t="str">
        <f t="shared" si="52"/>
        <v/>
      </c>
      <c r="M505" t="str">
        <f t="shared" si="53"/>
        <v/>
      </c>
      <c r="N505" t="str">
        <f t="shared" si="54"/>
        <v/>
      </c>
      <c r="O505" t="str">
        <f t="shared" si="55"/>
        <v/>
      </c>
      <c r="P505">
        <f>COUNTIF(Homematches[Match ID],Homematches[[#This Row],[Match ID]])</f>
        <v>1</v>
      </c>
    </row>
    <row r="506" spans="1:16" x14ac:dyDescent="0.25">
      <c r="A506" s="2" t="s">
        <v>583</v>
      </c>
      <c r="B506" s="3">
        <v>46501</v>
      </c>
      <c r="C506" t="s">
        <v>0</v>
      </c>
      <c r="D506" t="s">
        <v>16</v>
      </c>
      <c r="I506" t="str">
        <f t="shared" si="49"/>
        <v/>
      </c>
      <c r="J506" t="str">
        <f t="shared" si="50"/>
        <v/>
      </c>
      <c r="K506" t="str">
        <f t="shared" si="51"/>
        <v/>
      </c>
      <c r="L506" t="str">
        <f t="shared" si="52"/>
        <v/>
      </c>
      <c r="M506" t="str">
        <f t="shared" si="53"/>
        <v/>
      </c>
      <c r="N506" t="str">
        <f t="shared" si="54"/>
        <v/>
      </c>
      <c r="O506" t="str">
        <f t="shared" si="55"/>
        <v/>
      </c>
      <c r="P506">
        <f>COUNTIF(Homematches[Match ID],Homematches[[#This Row],[Match ID]])</f>
        <v>1</v>
      </c>
    </row>
    <row r="507" spans="1:16" x14ac:dyDescent="0.25">
      <c r="A507" s="2" t="s">
        <v>584</v>
      </c>
      <c r="B507" s="3">
        <v>46501</v>
      </c>
      <c r="C507" t="s">
        <v>1</v>
      </c>
      <c r="D507" t="s">
        <v>20</v>
      </c>
      <c r="I507" t="str">
        <f t="shared" si="49"/>
        <v/>
      </c>
      <c r="J507" t="str">
        <f t="shared" si="50"/>
        <v/>
      </c>
      <c r="K507" t="str">
        <f t="shared" si="51"/>
        <v/>
      </c>
      <c r="L507" t="str">
        <f t="shared" si="52"/>
        <v/>
      </c>
      <c r="M507" t="str">
        <f t="shared" si="53"/>
        <v/>
      </c>
      <c r="N507" t="str">
        <f t="shared" si="54"/>
        <v/>
      </c>
      <c r="O507" t="str">
        <f t="shared" si="55"/>
        <v/>
      </c>
      <c r="P507">
        <f>COUNTIF(Homematches[Match ID],Homematches[[#This Row],[Match ID]])</f>
        <v>1</v>
      </c>
    </row>
    <row r="508" spans="1:16" x14ac:dyDescent="0.25">
      <c r="A508" s="2" t="s">
        <v>585</v>
      </c>
      <c r="B508" s="3">
        <v>46501</v>
      </c>
      <c r="C508" t="s">
        <v>2</v>
      </c>
      <c r="D508" t="s">
        <v>6</v>
      </c>
      <c r="I508" t="str">
        <f t="shared" si="49"/>
        <v/>
      </c>
      <c r="J508" t="str">
        <f t="shared" si="50"/>
        <v/>
      </c>
      <c r="K508" t="str">
        <f t="shared" si="51"/>
        <v/>
      </c>
      <c r="L508" t="str">
        <f t="shared" si="52"/>
        <v/>
      </c>
      <c r="M508" t="str">
        <f t="shared" si="53"/>
        <v/>
      </c>
      <c r="N508" t="str">
        <f t="shared" si="54"/>
        <v/>
      </c>
      <c r="O508" t="str">
        <f t="shared" si="55"/>
        <v/>
      </c>
      <c r="P508">
        <f>COUNTIF(Homematches[Match ID],Homematches[[#This Row],[Match ID]])</f>
        <v>1</v>
      </c>
    </row>
    <row r="509" spans="1:16" x14ac:dyDescent="0.25">
      <c r="A509" s="2" t="s">
        <v>586</v>
      </c>
      <c r="B509" s="3">
        <v>46501</v>
      </c>
      <c r="C509" t="s">
        <v>4</v>
      </c>
      <c r="D509" t="s">
        <v>12</v>
      </c>
      <c r="I509" t="str">
        <f t="shared" si="49"/>
        <v/>
      </c>
      <c r="J509" t="str">
        <f t="shared" si="50"/>
        <v/>
      </c>
      <c r="K509" t="str">
        <f t="shared" si="51"/>
        <v/>
      </c>
      <c r="L509" t="str">
        <f t="shared" si="52"/>
        <v/>
      </c>
      <c r="M509" t="str">
        <f t="shared" si="53"/>
        <v/>
      </c>
      <c r="N509" t="str">
        <f t="shared" si="54"/>
        <v/>
      </c>
      <c r="O509" t="str">
        <f t="shared" si="55"/>
        <v/>
      </c>
      <c r="P509">
        <f>COUNTIF(Homematches[Match ID],Homematches[[#This Row],[Match ID]])</f>
        <v>1</v>
      </c>
    </row>
    <row r="510" spans="1:16" x14ac:dyDescent="0.25">
      <c r="A510" s="2" t="s">
        <v>587</v>
      </c>
      <c r="B510" s="3">
        <v>46501</v>
      </c>
      <c r="C510" t="s">
        <v>5</v>
      </c>
      <c r="D510" t="s">
        <v>7</v>
      </c>
      <c r="I510" t="str">
        <f t="shared" si="49"/>
        <v/>
      </c>
      <c r="J510" t="str">
        <f t="shared" si="50"/>
        <v/>
      </c>
      <c r="K510" t="str">
        <f t="shared" si="51"/>
        <v/>
      </c>
      <c r="L510" t="str">
        <f t="shared" si="52"/>
        <v/>
      </c>
      <c r="M510" t="str">
        <f t="shared" si="53"/>
        <v/>
      </c>
      <c r="N510" t="str">
        <f t="shared" si="54"/>
        <v/>
      </c>
      <c r="O510" t="str">
        <f t="shared" si="55"/>
        <v/>
      </c>
      <c r="P510">
        <f>COUNTIF(Homematches[Match ID],Homematches[[#This Row],[Match ID]])</f>
        <v>1</v>
      </c>
    </row>
    <row r="511" spans="1:16" x14ac:dyDescent="0.25">
      <c r="A511" s="2" t="s">
        <v>588</v>
      </c>
      <c r="B511" s="3">
        <v>46501</v>
      </c>
      <c r="C511" t="s">
        <v>10</v>
      </c>
      <c r="D511" t="s">
        <v>3</v>
      </c>
      <c r="I511" t="str">
        <f t="shared" si="49"/>
        <v/>
      </c>
      <c r="J511" t="str">
        <f t="shared" si="50"/>
        <v/>
      </c>
      <c r="K511" t="str">
        <f t="shared" si="51"/>
        <v/>
      </c>
      <c r="L511" t="str">
        <f t="shared" si="52"/>
        <v/>
      </c>
      <c r="M511" t="str">
        <f t="shared" si="53"/>
        <v/>
      </c>
      <c r="N511" t="str">
        <f t="shared" si="54"/>
        <v/>
      </c>
      <c r="O511" t="str">
        <f t="shared" si="55"/>
        <v/>
      </c>
      <c r="P511">
        <f>COUNTIF(Homematches[Match ID],Homematches[[#This Row],[Match ID]])</f>
        <v>1</v>
      </c>
    </row>
    <row r="512" spans="1:16" x14ac:dyDescent="0.25">
      <c r="A512" s="2" t="s">
        <v>589</v>
      </c>
      <c r="B512" s="3">
        <v>46501</v>
      </c>
      <c r="C512" t="s">
        <v>11</v>
      </c>
      <c r="D512" t="s">
        <v>22</v>
      </c>
      <c r="I512" t="str">
        <f t="shared" si="49"/>
        <v/>
      </c>
      <c r="J512" t="str">
        <f t="shared" si="50"/>
        <v/>
      </c>
      <c r="K512" t="str">
        <f t="shared" si="51"/>
        <v/>
      </c>
      <c r="L512" t="str">
        <f t="shared" si="52"/>
        <v/>
      </c>
      <c r="M512" t="str">
        <f t="shared" si="53"/>
        <v/>
      </c>
      <c r="N512" t="str">
        <f t="shared" si="54"/>
        <v/>
      </c>
      <c r="O512" t="str">
        <f t="shared" si="55"/>
        <v/>
      </c>
      <c r="P512">
        <f>COUNTIF(Homematches[Match ID],Homematches[[#This Row],[Match ID]])</f>
        <v>1</v>
      </c>
    </row>
    <row r="513" spans="1:16" x14ac:dyDescent="0.25">
      <c r="A513" s="2" t="s">
        <v>590</v>
      </c>
      <c r="B513" s="3">
        <v>46501</v>
      </c>
      <c r="C513" t="s">
        <v>14</v>
      </c>
      <c r="D513" t="s">
        <v>13</v>
      </c>
      <c r="I513" t="str">
        <f t="shared" si="49"/>
        <v/>
      </c>
      <c r="J513" t="str">
        <f t="shared" si="50"/>
        <v/>
      </c>
      <c r="K513" t="str">
        <f t="shared" si="51"/>
        <v/>
      </c>
      <c r="L513" t="str">
        <f t="shared" si="52"/>
        <v/>
      </c>
      <c r="M513" t="str">
        <f t="shared" si="53"/>
        <v/>
      </c>
      <c r="N513" t="str">
        <f t="shared" si="54"/>
        <v/>
      </c>
      <c r="O513" t="str">
        <f t="shared" si="55"/>
        <v/>
      </c>
      <c r="P513">
        <f>COUNTIF(Homematches[Match ID],Homematches[[#This Row],[Match ID]])</f>
        <v>1</v>
      </c>
    </row>
    <row r="514" spans="1:16" x14ac:dyDescent="0.25">
      <c r="A514" s="2" t="s">
        <v>591</v>
      </c>
      <c r="B514" s="3">
        <v>46501</v>
      </c>
      <c r="C514" t="s">
        <v>15</v>
      </c>
      <c r="D514" t="s">
        <v>9</v>
      </c>
      <c r="I514" t="str">
        <f t="shared" ref="I514:I553" si="56">IF(E514="","",E514-F514)</f>
        <v/>
      </c>
      <c r="J514" t="str">
        <f t="shared" ref="J514:J553" si="57">IF(G514="","",G514-H514)</f>
        <v/>
      </c>
      <c r="K514" t="str">
        <f t="shared" ref="K514:K553" si="58">IF(E514="","",E514+F514)</f>
        <v/>
      </c>
      <c r="L514" t="str">
        <f t="shared" ref="L514:L553" si="59">IF(G514="","",G514+H514)</f>
        <v/>
      </c>
      <c r="M514" t="str">
        <f t="shared" ref="M514:M553" si="60">IF(G514="","",G514-E514)</f>
        <v/>
      </c>
      <c r="N514" t="str">
        <f t="shared" ref="N514:N553" si="61">IF(H514="","",H514-F514)</f>
        <v/>
      </c>
      <c r="O514" t="str">
        <f t="shared" ref="O514:O553" si="62">IF(G514="","",IF(G514&gt;H514,"Home Win",IF(G514&lt;H514,"Away Win","Draw")))</f>
        <v/>
      </c>
      <c r="P514">
        <f>COUNTIF(Homematches[Match ID],Homematches[[#This Row],[Match ID]])</f>
        <v>1</v>
      </c>
    </row>
    <row r="515" spans="1:16" x14ac:dyDescent="0.25">
      <c r="A515" s="2" t="s">
        <v>592</v>
      </c>
      <c r="B515" s="3">
        <v>46501</v>
      </c>
      <c r="C515" t="s">
        <v>17</v>
      </c>
      <c r="D515" t="s">
        <v>8</v>
      </c>
      <c r="I515" t="str">
        <f t="shared" si="56"/>
        <v/>
      </c>
      <c r="J515" t="str">
        <f t="shared" si="57"/>
        <v/>
      </c>
      <c r="K515" t="str">
        <f t="shared" si="58"/>
        <v/>
      </c>
      <c r="L515" t="str">
        <f t="shared" si="59"/>
        <v/>
      </c>
      <c r="M515" t="str">
        <f t="shared" si="60"/>
        <v/>
      </c>
      <c r="N515" t="str">
        <f t="shared" si="61"/>
        <v/>
      </c>
      <c r="O515" t="str">
        <f t="shared" si="62"/>
        <v/>
      </c>
      <c r="P515">
        <f>COUNTIF(Homematches[Match ID],Homematches[[#This Row],[Match ID]])</f>
        <v>1</v>
      </c>
    </row>
    <row r="516" spans="1:16" x14ac:dyDescent="0.25">
      <c r="A516" s="2" t="s">
        <v>593</v>
      </c>
      <c r="B516" s="3">
        <v>46501</v>
      </c>
      <c r="C516" t="s">
        <v>18</v>
      </c>
      <c r="D516" t="s">
        <v>33</v>
      </c>
      <c r="I516" t="str">
        <f t="shared" si="56"/>
        <v/>
      </c>
      <c r="J516" t="str">
        <f t="shared" si="57"/>
        <v/>
      </c>
      <c r="K516" t="str">
        <f t="shared" si="58"/>
        <v/>
      </c>
      <c r="L516" t="str">
        <f t="shared" si="59"/>
        <v/>
      </c>
      <c r="M516" t="str">
        <f t="shared" si="60"/>
        <v/>
      </c>
      <c r="N516" t="str">
        <f t="shared" si="61"/>
        <v/>
      </c>
      <c r="O516" t="str">
        <f t="shared" si="62"/>
        <v/>
      </c>
      <c r="P516">
        <f>COUNTIF(Homematches[Match ID],Homematches[[#This Row],[Match ID]])</f>
        <v>1</v>
      </c>
    </row>
    <row r="517" spans="1:16" x14ac:dyDescent="0.25">
      <c r="A517" s="2" t="s">
        <v>594</v>
      </c>
      <c r="B517" s="3">
        <v>46501</v>
      </c>
      <c r="C517" t="s">
        <v>21</v>
      </c>
      <c r="D517" t="s">
        <v>19</v>
      </c>
      <c r="I517" t="str">
        <f t="shared" si="56"/>
        <v/>
      </c>
      <c r="J517" t="str">
        <f t="shared" si="57"/>
        <v/>
      </c>
      <c r="K517" t="str">
        <f t="shared" si="58"/>
        <v/>
      </c>
      <c r="L517" t="str">
        <f t="shared" si="59"/>
        <v/>
      </c>
      <c r="M517" t="str">
        <f t="shared" si="60"/>
        <v/>
      </c>
      <c r="N517" t="str">
        <f t="shared" si="61"/>
        <v/>
      </c>
      <c r="O517" t="str">
        <f t="shared" si="62"/>
        <v/>
      </c>
      <c r="P517">
        <f>COUNTIF(Homematches[Match ID],Homematches[[#This Row],[Match ID]])</f>
        <v>1</v>
      </c>
    </row>
    <row r="518" spans="1:16" x14ac:dyDescent="0.25">
      <c r="A518" s="2" t="s">
        <v>595</v>
      </c>
      <c r="B518" s="3">
        <v>46504</v>
      </c>
      <c r="C518" t="s">
        <v>3</v>
      </c>
      <c r="D518" t="s">
        <v>17</v>
      </c>
      <c r="I518" t="str">
        <f t="shared" si="56"/>
        <v/>
      </c>
      <c r="J518" t="str">
        <f t="shared" si="57"/>
        <v/>
      </c>
      <c r="K518" t="str">
        <f t="shared" si="58"/>
        <v/>
      </c>
      <c r="L518" t="str">
        <f t="shared" si="59"/>
        <v/>
      </c>
      <c r="M518" t="str">
        <f t="shared" si="60"/>
        <v/>
      </c>
      <c r="N518" t="str">
        <f t="shared" si="61"/>
        <v/>
      </c>
      <c r="O518" t="str">
        <f t="shared" si="62"/>
        <v/>
      </c>
      <c r="P518">
        <f>COUNTIF(Homematches[Match ID],Homematches[[#This Row],[Match ID]])</f>
        <v>1</v>
      </c>
    </row>
    <row r="519" spans="1:16" x14ac:dyDescent="0.25">
      <c r="A519" s="2" t="s">
        <v>596</v>
      </c>
      <c r="B519" s="3">
        <v>46504</v>
      </c>
      <c r="C519" t="s">
        <v>6</v>
      </c>
      <c r="D519" t="s">
        <v>18</v>
      </c>
      <c r="I519" t="str">
        <f t="shared" si="56"/>
        <v/>
      </c>
      <c r="J519" t="str">
        <f t="shared" si="57"/>
        <v/>
      </c>
      <c r="K519" t="str">
        <f t="shared" si="58"/>
        <v/>
      </c>
      <c r="L519" t="str">
        <f t="shared" si="59"/>
        <v/>
      </c>
      <c r="M519" t="str">
        <f t="shared" si="60"/>
        <v/>
      </c>
      <c r="N519" t="str">
        <f t="shared" si="61"/>
        <v/>
      </c>
      <c r="O519" t="str">
        <f t="shared" si="62"/>
        <v/>
      </c>
      <c r="P519">
        <f>COUNTIF(Homematches[Match ID],Homematches[[#This Row],[Match ID]])</f>
        <v>1</v>
      </c>
    </row>
    <row r="520" spans="1:16" x14ac:dyDescent="0.25">
      <c r="A520" s="2" t="s">
        <v>597</v>
      </c>
      <c r="B520" s="3">
        <v>46504</v>
      </c>
      <c r="C520" t="s">
        <v>7</v>
      </c>
      <c r="D520" t="s">
        <v>11</v>
      </c>
      <c r="I520" t="str">
        <f t="shared" si="56"/>
        <v/>
      </c>
      <c r="J520" t="str">
        <f t="shared" si="57"/>
        <v/>
      </c>
      <c r="K520" t="str">
        <f t="shared" si="58"/>
        <v/>
      </c>
      <c r="L520" t="str">
        <f t="shared" si="59"/>
        <v/>
      </c>
      <c r="M520" t="str">
        <f t="shared" si="60"/>
        <v/>
      </c>
      <c r="N520" t="str">
        <f t="shared" si="61"/>
        <v/>
      </c>
      <c r="O520" t="str">
        <f t="shared" si="62"/>
        <v/>
      </c>
      <c r="P520">
        <f>COUNTIF(Homematches[Match ID],Homematches[[#This Row],[Match ID]])</f>
        <v>1</v>
      </c>
    </row>
    <row r="521" spans="1:16" x14ac:dyDescent="0.25">
      <c r="A521" s="2" t="s">
        <v>598</v>
      </c>
      <c r="B521" s="3">
        <v>46504</v>
      </c>
      <c r="C521" t="s">
        <v>8</v>
      </c>
      <c r="D521" t="s">
        <v>5</v>
      </c>
      <c r="I521" t="str">
        <f t="shared" si="56"/>
        <v/>
      </c>
      <c r="J521" t="str">
        <f t="shared" si="57"/>
        <v/>
      </c>
      <c r="K521" t="str">
        <f t="shared" si="58"/>
        <v/>
      </c>
      <c r="L521" t="str">
        <f t="shared" si="59"/>
        <v/>
      </c>
      <c r="M521" t="str">
        <f t="shared" si="60"/>
        <v/>
      </c>
      <c r="N521" t="str">
        <f t="shared" si="61"/>
        <v/>
      </c>
      <c r="O521" t="str">
        <f t="shared" si="62"/>
        <v/>
      </c>
      <c r="P521">
        <f>COUNTIF(Homematches[Match ID],Homematches[[#This Row],[Match ID]])</f>
        <v>1</v>
      </c>
    </row>
    <row r="522" spans="1:16" x14ac:dyDescent="0.25">
      <c r="A522" s="2" t="s">
        <v>599</v>
      </c>
      <c r="B522" s="3">
        <v>46504</v>
      </c>
      <c r="C522" t="s">
        <v>9</v>
      </c>
      <c r="D522" t="s">
        <v>2</v>
      </c>
      <c r="I522" t="str">
        <f t="shared" si="56"/>
        <v/>
      </c>
      <c r="J522" t="str">
        <f t="shared" si="57"/>
        <v/>
      </c>
      <c r="K522" t="str">
        <f t="shared" si="58"/>
        <v/>
      </c>
      <c r="L522" t="str">
        <f t="shared" si="59"/>
        <v/>
      </c>
      <c r="M522" t="str">
        <f t="shared" si="60"/>
        <v/>
      </c>
      <c r="N522" t="str">
        <f t="shared" si="61"/>
        <v/>
      </c>
      <c r="O522" t="str">
        <f t="shared" si="62"/>
        <v/>
      </c>
      <c r="P522">
        <f>COUNTIF(Homematches[Match ID],Homematches[[#This Row],[Match ID]])</f>
        <v>1</v>
      </c>
    </row>
    <row r="523" spans="1:16" x14ac:dyDescent="0.25">
      <c r="A523" s="2" t="s">
        <v>600</v>
      </c>
      <c r="B523" s="3">
        <v>46504</v>
      </c>
      <c r="C523" t="s">
        <v>12</v>
      </c>
      <c r="D523" t="s">
        <v>21</v>
      </c>
      <c r="I523" t="str">
        <f t="shared" si="56"/>
        <v/>
      </c>
      <c r="J523" t="str">
        <f t="shared" si="57"/>
        <v/>
      </c>
      <c r="K523" t="str">
        <f t="shared" si="58"/>
        <v/>
      </c>
      <c r="L523" t="str">
        <f t="shared" si="59"/>
        <v/>
      </c>
      <c r="M523" t="str">
        <f t="shared" si="60"/>
        <v/>
      </c>
      <c r="N523" t="str">
        <f t="shared" si="61"/>
        <v/>
      </c>
      <c r="O523" t="str">
        <f t="shared" si="62"/>
        <v/>
      </c>
      <c r="P523">
        <f>COUNTIF(Homematches[Match ID],Homematches[[#This Row],[Match ID]])</f>
        <v>1</v>
      </c>
    </row>
    <row r="524" spans="1:16" x14ac:dyDescent="0.25">
      <c r="A524" s="2" t="s">
        <v>601</v>
      </c>
      <c r="B524" s="3">
        <v>46504</v>
      </c>
      <c r="C524" t="s">
        <v>33</v>
      </c>
      <c r="D524" t="s">
        <v>1</v>
      </c>
      <c r="I524" t="str">
        <f t="shared" si="56"/>
        <v/>
      </c>
      <c r="J524" t="str">
        <f t="shared" si="57"/>
        <v/>
      </c>
      <c r="K524" t="str">
        <f t="shared" si="58"/>
        <v/>
      </c>
      <c r="L524" t="str">
        <f t="shared" si="59"/>
        <v/>
      </c>
      <c r="M524" t="str">
        <f t="shared" si="60"/>
        <v/>
      </c>
      <c r="N524" t="str">
        <f t="shared" si="61"/>
        <v/>
      </c>
      <c r="O524" t="str">
        <f t="shared" si="62"/>
        <v/>
      </c>
      <c r="P524">
        <f>COUNTIF(Homematches[Match ID],Homematches[[#This Row],[Match ID]])</f>
        <v>1</v>
      </c>
    </row>
    <row r="525" spans="1:16" x14ac:dyDescent="0.25">
      <c r="A525" s="2" t="s">
        <v>602</v>
      </c>
      <c r="B525" s="3">
        <v>46504</v>
      </c>
      <c r="C525" t="s">
        <v>13</v>
      </c>
      <c r="D525" t="s">
        <v>15</v>
      </c>
      <c r="I525" t="str">
        <f t="shared" si="56"/>
        <v/>
      </c>
      <c r="J525" t="str">
        <f t="shared" si="57"/>
        <v/>
      </c>
      <c r="K525" t="str">
        <f t="shared" si="58"/>
        <v/>
      </c>
      <c r="L525" t="str">
        <f t="shared" si="59"/>
        <v/>
      </c>
      <c r="M525" t="str">
        <f t="shared" si="60"/>
        <v/>
      </c>
      <c r="N525" t="str">
        <f t="shared" si="61"/>
        <v/>
      </c>
      <c r="O525" t="str">
        <f t="shared" si="62"/>
        <v/>
      </c>
      <c r="P525">
        <f>COUNTIF(Homematches[Match ID],Homematches[[#This Row],[Match ID]])</f>
        <v>1</v>
      </c>
    </row>
    <row r="526" spans="1:16" x14ac:dyDescent="0.25">
      <c r="A526" s="2" t="s">
        <v>603</v>
      </c>
      <c r="B526" s="3">
        <v>46504</v>
      </c>
      <c r="C526" t="s">
        <v>16</v>
      </c>
      <c r="D526" t="s">
        <v>10</v>
      </c>
      <c r="I526" t="str">
        <f t="shared" si="56"/>
        <v/>
      </c>
      <c r="J526" t="str">
        <f t="shared" si="57"/>
        <v/>
      </c>
      <c r="K526" t="str">
        <f t="shared" si="58"/>
        <v/>
      </c>
      <c r="L526" t="str">
        <f t="shared" si="59"/>
        <v/>
      </c>
      <c r="M526" t="str">
        <f t="shared" si="60"/>
        <v/>
      </c>
      <c r="N526" t="str">
        <f t="shared" si="61"/>
        <v/>
      </c>
      <c r="O526" t="str">
        <f t="shared" si="62"/>
        <v/>
      </c>
      <c r="P526">
        <f>COUNTIF(Homematches[Match ID],Homematches[[#This Row],[Match ID]])</f>
        <v>1</v>
      </c>
    </row>
    <row r="527" spans="1:16" x14ac:dyDescent="0.25">
      <c r="A527" s="2" t="s">
        <v>604</v>
      </c>
      <c r="B527" s="3">
        <v>46504</v>
      </c>
      <c r="C527" t="s">
        <v>19</v>
      </c>
      <c r="D527" t="s">
        <v>0</v>
      </c>
      <c r="I527" t="str">
        <f t="shared" si="56"/>
        <v/>
      </c>
      <c r="J527" t="str">
        <f t="shared" si="57"/>
        <v/>
      </c>
      <c r="K527" t="str">
        <f t="shared" si="58"/>
        <v/>
      </c>
      <c r="L527" t="str">
        <f t="shared" si="59"/>
        <v/>
      </c>
      <c r="M527" t="str">
        <f t="shared" si="60"/>
        <v/>
      </c>
      <c r="N527" t="str">
        <f t="shared" si="61"/>
        <v/>
      </c>
      <c r="O527" t="str">
        <f t="shared" si="62"/>
        <v/>
      </c>
      <c r="P527">
        <f>COUNTIF(Homematches[Match ID],Homematches[[#This Row],[Match ID]])</f>
        <v>1</v>
      </c>
    </row>
    <row r="528" spans="1:16" x14ac:dyDescent="0.25">
      <c r="A528" s="2" t="s">
        <v>605</v>
      </c>
      <c r="B528" s="3">
        <v>46504</v>
      </c>
      <c r="C528" t="s">
        <v>20</v>
      </c>
      <c r="D528" t="s">
        <v>14</v>
      </c>
      <c r="I528" t="str">
        <f t="shared" si="56"/>
        <v/>
      </c>
      <c r="J528" t="str">
        <f t="shared" si="57"/>
        <v/>
      </c>
      <c r="K528" t="str">
        <f t="shared" si="58"/>
        <v/>
      </c>
      <c r="L528" t="str">
        <f t="shared" si="59"/>
        <v/>
      </c>
      <c r="M528" t="str">
        <f t="shared" si="60"/>
        <v/>
      </c>
      <c r="N528" t="str">
        <f t="shared" si="61"/>
        <v/>
      </c>
      <c r="O528" t="str">
        <f t="shared" si="62"/>
        <v/>
      </c>
      <c r="P528">
        <f>COUNTIF(Homematches[Match ID],Homematches[[#This Row],[Match ID]])</f>
        <v>1</v>
      </c>
    </row>
    <row r="529" spans="1:16" x14ac:dyDescent="0.25">
      <c r="A529" s="2" t="s">
        <v>606</v>
      </c>
      <c r="B529" s="3">
        <v>46504</v>
      </c>
      <c r="C529" t="s">
        <v>22</v>
      </c>
      <c r="D529" t="s">
        <v>4</v>
      </c>
      <c r="I529" t="str">
        <f t="shared" si="56"/>
        <v/>
      </c>
      <c r="J529" t="str">
        <f t="shared" si="57"/>
        <v/>
      </c>
      <c r="K529" t="str">
        <f t="shared" si="58"/>
        <v/>
      </c>
      <c r="L529" t="str">
        <f t="shared" si="59"/>
        <v/>
      </c>
      <c r="M529" t="str">
        <f t="shared" si="60"/>
        <v/>
      </c>
      <c r="N529" t="str">
        <f t="shared" si="61"/>
        <v/>
      </c>
      <c r="O529" t="str">
        <f t="shared" si="62"/>
        <v/>
      </c>
      <c r="P529">
        <f>COUNTIF(Homematches[Match ID],Homematches[[#This Row],[Match ID]])</f>
        <v>1</v>
      </c>
    </row>
    <row r="530" spans="1:16" x14ac:dyDescent="0.25">
      <c r="A530" s="2" t="s">
        <v>607</v>
      </c>
      <c r="B530" s="3">
        <v>46508</v>
      </c>
      <c r="C530" t="s">
        <v>1</v>
      </c>
      <c r="D530" t="s">
        <v>0</v>
      </c>
      <c r="I530" t="str">
        <f t="shared" si="56"/>
        <v/>
      </c>
      <c r="J530" t="str">
        <f t="shared" si="57"/>
        <v/>
      </c>
      <c r="K530" t="str">
        <f t="shared" si="58"/>
        <v/>
      </c>
      <c r="L530" t="str">
        <f t="shared" si="59"/>
        <v/>
      </c>
      <c r="M530" t="str">
        <f t="shared" si="60"/>
        <v/>
      </c>
      <c r="N530" t="str">
        <f t="shared" si="61"/>
        <v/>
      </c>
      <c r="O530" t="str">
        <f t="shared" si="62"/>
        <v/>
      </c>
      <c r="P530">
        <f>COUNTIF(Homematches[Match ID],Homematches[[#This Row],[Match ID]])</f>
        <v>1</v>
      </c>
    </row>
    <row r="531" spans="1:16" x14ac:dyDescent="0.25">
      <c r="A531" s="2" t="s">
        <v>608</v>
      </c>
      <c r="B531" s="3">
        <v>46508</v>
      </c>
      <c r="C531" t="s">
        <v>2</v>
      </c>
      <c r="D531" t="s">
        <v>19</v>
      </c>
      <c r="I531" t="str">
        <f t="shared" si="56"/>
        <v/>
      </c>
      <c r="J531" t="str">
        <f t="shared" si="57"/>
        <v/>
      </c>
      <c r="K531" t="str">
        <f t="shared" si="58"/>
        <v/>
      </c>
      <c r="L531" t="str">
        <f t="shared" si="59"/>
        <v/>
      </c>
      <c r="M531" t="str">
        <f t="shared" si="60"/>
        <v/>
      </c>
      <c r="N531" t="str">
        <f t="shared" si="61"/>
        <v/>
      </c>
      <c r="O531" t="str">
        <f t="shared" si="62"/>
        <v/>
      </c>
      <c r="P531">
        <f>COUNTIF(Homematches[Match ID],Homematches[[#This Row],[Match ID]])</f>
        <v>1</v>
      </c>
    </row>
    <row r="532" spans="1:16" x14ac:dyDescent="0.25">
      <c r="A532" s="2" t="s">
        <v>609</v>
      </c>
      <c r="B532" s="3">
        <v>46508</v>
      </c>
      <c r="C532" t="s">
        <v>3</v>
      </c>
      <c r="D532" t="s">
        <v>22</v>
      </c>
      <c r="I532" t="str">
        <f t="shared" si="56"/>
        <v/>
      </c>
      <c r="J532" t="str">
        <f t="shared" si="57"/>
        <v/>
      </c>
      <c r="K532" t="str">
        <f t="shared" si="58"/>
        <v/>
      </c>
      <c r="L532" t="str">
        <f t="shared" si="59"/>
        <v/>
      </c>
      <c r="M532" t="str">
        <f t="shared" si="60"/>
        <v/>
      </c>
      <c r="N532" t="str">
        <f t="shared" si="61"/>
        <v/>
      </c>
      <c r="O532" t="str">
        <f t="shared" si="62"/>
        <v/>
      </c>
      <c r="P532">
        <f>COUNTIF(Homematches[Match ID],Homematches[[#This Row],[Match ID]])</f>
        <v>1</v>
      </c>
    </row>
    <row r="533" spans="1:16" x14ac:dyDescent="0.25">
      <c r="A533" s="2" t="s">
        <v>610</v>
      </c>
      <c r="B533" s="3">
        <v>46508</v>
      </c>
      <c r="C533" t="s">
        <v>5</v>
      </c>
      <c r="D533" t="s">
        <v>4</v>
      </c>
      <c r="I533" t="str">
        <f t="shared" si="56"/>
        <v/>
      </c>
      <c r="J533" t="str">
        <f t="shared" si="57"/>
        <v/>
      </c>
      <c r="K533" t="str">
        <f t="shared" si="58"/>
        <v/>
      </c>
      <c r="L533" t="str">
        <f t="shared" si="59"/>
        <v/>
      </c>
      <c r="M533" t="str">
        <f t="shared" si="60"/>
        <v/>
      </c>
      <c r="N533" t="str">
        <f t="shared" si="61"/>
        <v/>
      </c>
      <c r="O533" t="str">
        <f t="shared" si="62"/>
        <v/>
      </c>
      <c r="P533">
        <f>COUNTIF(Homematches[Match ID],Homematches[[#This Row],[Match ID]])</f>
        <v>1</v>
      </c>
    </row>
    <row r="534" spans="1:16" x14ac:dyDescent="0.25">
      <c r="A534" s="2" t="s">
        <v>611</v>
      </c>
      <c r="B534" s="3">
        <v>46508</v>
      </c>
      <c r="C534" t="s">
        <v>6</v>
      </c>
      <c r="D534" t="s">
        <v>11</v>
      </c>
      <c r="I534" t="str">
        <f t="shared" si="56"/>
        <v/>
      </c>
      <c r="J534" t="str">
        <f t="shared" si="57"/>
        <v/>
      </c>
      <c r="K534" t="str">
        <f t="shared" si="58"/>
        <v/>
      </c>
      <c r="L534" t="str">
        <f t="shared" si="59"/>
        <v/>
      </c>
      <c r="M534" t="str">
        <f t="shared" si="60"/>
        <v/>
      </c>
      <c r="N534" t="str">
        <f t="shared" si="61"/>
        <v/>
      </c>
      <c r="O534" t="str">
        <f t="shared" si="62"/>
        <v/>
      </c>
      <c r="P534">
        <f>COUNTIF(Homematches[Match ID],Homematches[[#This Row],[Match ID]])</f>
        <v>1</v>
      </c>
    </row>
    <row r="535" spans="1:16" x14ac:dyDescent="0.25">
      <c r="A535" s="2" t="s">
        <v>612</v>
      </c>
      <c r="B535" s="3">
        <v>46508</v>
      </c>
      <c r="C535" t="s">
        <v>8</v>
      </c>
      <c r="D535" t="s">
        <v>7</v>
      </c>
      <c r="I535" t="str">
        <f t="shared" si="56"/>
        <v/>
      </c>
      <c r="J535" t="str">
        <f t="shared" si="57"/>
        <v/>
      </c>
      <c r="K535" t="str">
        <f t="shared" si="58"/>
        <v/>
      </c>
      <c r="L535" t="str">
        <f t="shared" si="59"/>
        <v/>
      </c>
      <c r="M535" t="str">
        <f t="shared" si="60"/>
        <v/>
      </c>
      <c r="N535" t="str">
        <f t="shared" si="61"/>
        <v/>
      </c>
      <c r="O535" t="str">
        <f t="shared" si="62"/>
        <v/>
      </c>
      <c r="P535">
        <f>COUNTIF(Homematches[Match ID],Homematches[[#This Row],[Match ID]])</f>
        <v>1</v>
      </c>
    </row>
    <row r="536" spans="1:16" x14ac:dyDescent="0.25">
      <c r="A536" s="2" t="s">
        <v>613</v>
      </c>
      <c r="B536" s="3">
        <v>46508</v>
      </c>
      <c r="C536" t="s">
        <v>10</v>
      </c>
      <c r="D536" t="s">
        <v>20</v>
      </c>
      <c r="I536" t="str">
        <f t="shared" si="56"/>
        <v/>
      </c>
      <c r="J536" t="str">
        <f t="shared" si="57"/>
        <v/>
      </c>
      <c r="K536" t="str">
        <f t="shared" si="58"/>
        <v/>
      </c>
      <c r="L536" t="str">
        <f t="shared" si="59"/>
        <v/>
      </c>
      <c r="M536" t="str">
        <f t="shared" si="60"/>
        <v/>
      </c>
      <c r="N536" t="str">
        <f t="shared" si="61"/>
        <v/>
      </c>
      <c r="O536" t="str">
        <f t="shared" si="62"/>
        <v/>
      </c>
      <c r="P536">
        <f>COUNTIF(Homematches[Match ID],Homematches[[#This Row],[Match ID]])</f>
        <v>1</v>
      </c>
    </row>
    <row r="537" spans="1:16" x14ac:dyDescent="0.25">
      <c r="A537" s="2" t="s">
        <v>614</v>
      </c>
      <c r="B537" s="3">
        <v>46508</v>
      </c>
      <c r="C537" t="s">
        <v>12</v>
      </c>
      <c r="D537" t="s">
        <v>9</v>
      </c>
      <c r="I537" t="str">
        <f t="shared" si="56"/>
        <v/>
      </c>
      <c r="J537" t="str">
        <f t="shared" si="57"/>
        <v/>
      </c>
      <c r="K537" t="str">
        <f t="shared" si="58"/>
        <v/>
      </c>
      <c r="L537" t="str">
        <f t="shared" si="59"/>
        <v/>
      </c>
      <c r="M537" t="str">
        <f t="shared" si="60"/>
        <v/>
      </c>
      <c r="N537" t="str">
        <f t="shared" si="61"/>
        <v/>
      </c>
      <c r="O537" t="str">
        <f t="shared" si="62"/>
        <v/>
      </c>
      <c r="P537">
        <f>COUNTIF(Homematches[Match ID],Homematches[[#This Row],[Match ID]])</f>
        <v>1</v>
      </c>
    </row>
    <row r="538" spans="1:16" x14ac:dyDescent="0.25">
      <c r="A538" s="2" t="s">
        <v>615</v>
      </c>
      <c r="B538" s="3">
        <v>46508</v>
      </c>
      <c r="C538" t="s">
        <v>13</v>
      </c>
      <c r="D538" t="s">
        <v>33</v>
      </c>
      <c r="I538" t="str">
        <f t="shared" si="56"/>
        <v/>
      </c>
      <c r="J538" t="str">
        <f t="shared" si="57"/>
        <v/>
      </c>
      <c r="K538" t="str">
        <f t="shared" si="58"/>
        <v/>
      </c>
      <c r="L538" t="str">
        <f t="shared" si="59"/>
        <v/>
      </c>
      <c r="M538" t="str">
        <f t="shared" si="60"/>
        <v/>
      </c>
      <c r="N538" t="str">
        <f t="shared" si="61"/>
        <v/>
      </c>
      <c r="O538" t="str">
        <f t="shared" si="62"/>
        <v/>
      </c>
      <c r="P538">
        <f>COUNTIF(Homematches[Match ID],Homematches[[#This Row],[Match ID]])</f>
        <v>1</v>
      </c>
    </row>
    <row r="539" spans="1:16" x14ac:dyDescent="0.25">
      <c r="A539" s="2" t="s">
        <v>616</v>
      </c>
      <c r="B539" s="3">
        <v>46508</v>
      </c>
      <c r="C539" t="s">
        <v>14</v>
      </c>
      <c r="D539" t="s">
        <v>15</v>
      </c>
      <c r="I539" t="str">
        <f t="shared" si="56"/>
        <v/>
      </c>
      <c r="J539" t="str">
        <f t="shared" si="57"/>
        <v/>
      </c>
      <c r="K539" t="str">
        <f t="shared" si="58"/>
        <v/>
      </c>
      <c r="L539" t="str">
        <f t="shared" si="59"/>
        <v/>
      </c>
      <c r="M539" t="str">
        <f t="shared" si="60"/>
        <v/>
      </c>
      <c r="N539" t="str">
        <f t="shared" si="61"/>
        <v/>
      </c>
      <c r="O539" t="str">
        <f t="shared" si="62"/>
        <v/>
      </c>
      <c r="P539">
        <f>COUNTIF(Homematches[Match ID],Homematches[[#This Row],[Match ID]])</f>
        <v>1</v>
      </c>
    </row>
    <row r="540" spans="1:16" x14ac:dyDescent="0.25">
      <c r="A540" s="2" t="s">
        <v>617</v>
      </c>
      <c r="B540" s="3">
        <v>46508</v>
      </c>
      <c r="C540" t="s">
        <v>16</v>
      </c>
      <c r="D540" t="s">
        <v>21</v>
      </c>
      <c r="I540" t="str">
        <f t="shared" si="56"/>
        <v/>
      </c>
      <c r="J540" t="str">
        <f t="shared" si="57"/>
        <v/>
      </c>
      <c r="K540" t="str">
        <f t="shared" si="58"/>
        <v/>
      </c>
      <c r="L540" t="str">
        <f t="shared" si="59"/>
        <v/>
      </c>
      <c r="M540" t="str">
        <f t="shared" si="60"/>
        <v/>
      </c>
      <c r="N540" t="str">
        <f t="shared" si="61"/>
        <v/>
      </c>
      <c r="O540" t="str">
        <f t="shared" si="62"/>
        <v/>
      </c>
      <c r="P540">
        <f>COUNTIF(Homematches[Match ID],Homematches[[#This Row],[Match ID]])</f>
        <v>1</v>
      </c>
    </row>
    <row r="541" spans="1:16" x14ac:dyDescent="0.25">
      <c r="A541" s="2" t="s">
        <v>618</v>
      </c>
      <c r="B541" s="3">
        <v>46508</v>
      </c>
      <c r="C541" t="s">
        <v>17</v>
      </c>
      <c r="D541" t="s">
        <v>18</v>
      </c>
      <c r="I541" t="str">
        <f t="shared" si="56"/>
        <v/>
      </c>
      <c r="J541" t="str">
        <f t="shared" si="57"/>
        <v/>
      </c>
      <c r="K541" t="str">
        <f t="shared" si="58"/>
        <v/>
      </c>
      <c r="L541" t="str">
        <f t="shared" si="59"/>
        <v/>
      </c>
      <c r="M541" t="str">
        <f t="shared" si="60"/>
        <v/>
      </c>
      <c r="N541" t="str">
        <f t="shared" si="61"/>
        <v/>
      </c>
      <c r="O541" t="str">
        <f t="shared" si="62"/>
        <v/>
      </c>
      <c r="P541">
        <f>COUNTIF(Homematches[Match ID],Homematches[[#This Row],[Match ID]])</f>
        <v>1</v>
      </c>
    </row>
    <row r="542" spans="1:16" x14ac:dyDescent="0.25">
      <c r="A542" s="2" t="s">
        <v>619</v>
      </c>
      <c r="B542" s="3">
        <v>46515</v>
      </c>
      <c r="C542" t="s">
        <v>0</v>
      </c>
      <c r="D542" t="s">
        <v>13</v>
      </c>
      <c r="I542" t="str">
        <f t="shared" si="56"/>
        <v/>
      </c>
      <c r="J542" t="str">
        <f t="shared" si="57"/>
        <v/>
      </c>
      <c r="K542" t="str">
        <f t="shared" si="58"/>
        <v/>
      </c>
      <c r="L542" t="str">
        <f t="shared" si="59"/>
        <v/>
      </c>
      <c r="M542" t="str">
        <f t="shared" si="60"/>
        <v/>
      </c>
      <c r="N542" t="str">
        <f t="shared" si="61"/>
        <v/>
      </c>
      <c r="O542" t="str">
        <f t="shared" si="62"/>
        <v/>
      </c>
      <c r="P542">
        <f>COUNTIF(Homematches[Match ID],Homematches[[#This Row],[Match ID]])</f>
        <v>1</v>
      </c>
    </row>
    <row r="543" spans="1:16" x14ac:dyDescent="0.25">
      <c r="A543" s="2" t="s">
        <v>620</v>
      </c>
      <c r="B543" s="3">
        <v>46515</v>
      </c>
      <c r="C543" t="s">
        <v>4</v>
      </c>
      <c r="D543" t="s">
        <v>16</v>
      </c>
      <c r="I543" t="str">
        <f t="shared" si="56"/>
        <v/>
      </c>
      <c r="J543" t="str">
        <f t="shared" si="57"/>
        <v/>
      </c>
      <c r="K543" t="str">
        <f t="shared" si="58"/>
        <v/>
      </c>
      <c r="L543" t="str">
        <f t="shared" si="59"/>
        <v/>
      </c>
      <c r="M543" t="str">
        <f t="shared" si="60"/>
        <v/>
      </c>
      <c r="N543" t="str">
        <f t="shared" si="61"/>
        <v/>
      </c>
      <c r="O543" t="str">
        <f t="shared" si="62"/>
        <v/>
      </c>
      <c r="P543">
        <f>COUNTIF(Homematches[Match ID],Homematches[[#This Row],[Match ID]])</f>
        <v>1</v>
      </c>
    </row>
    <row r="544" spans="1:16" x14ac:dyDescent="0.25">
      <c r="A544" s="2" t="s">
        <v>621</v>
      </c>
      <c r="B544" s="3">
        <v>46515</v>
      </c>
      <c r="C544" t="s">
        <v>7</v>
      </c>
      <c r="D544" t="s">
        <v>17</v>
      </c>
      <c r="I544" t="str">
        <f t="shared" si="56"/>
        <v/>
      </c>
      <c r="J544" t="str">
        <f t="shared" si="57"/>
        <v/>
      </c>
      <c r="K544" t="str">
        <f t="shared" si="58"/>
        <v/>
      </c>
      <c r="L544" t="str">
        <f t="shared" si="59"/>
        <v/>
      </c>
      <c r="M544" t="str">
        <f t="shared" si="60"/>
        <v/>
      </c>
      <c r="N544" t="str">
        <f t="shared" si="61"/>
        <v/>
      </c>
      <c r="O544" t="str">
        <f t="shared" si="62"/>
        <v/>
      </c>
      <c r="P544">
        <f>COUNTIF(Homematches[Match ID],Homematches[[#This Row],[Match ID]])</f>
        <v>1</v>
      </c>
    </row>
    <row r="545" spans="1:16" x14ac:dyDescent="0.25">
      <c r="A545" s="2" t="s">
        <v>622</v>
      </c>
      <c r="B545" s="3">
        <v>46515</v>
      </c>
      <c r="C545" t="s">
        <v>9</v>
      </c>
      <c r="D545" t="s">
        <v>6</v>
      </c>
      <c r="I545" t="str">
        <f t="shared" si="56"/>
        <v/>
      </c>
      <c r="J545" t="str">
        <f t="shared" si="57"/>
        <v/>
      </c>
      <c r="K545" t="str">
        <f t="shared" si="58"/>
        <v/>
      </c>
      <c r="L545" t="str">
        <f t="shared" si="59"/>
        <v/>
      </c>
      <c r="M545" t="str">
        <f t="shared" si="60"/>
        <v/>
      </c>
      <c r="N545" t="str">
        <f t="shared" si="61"/>
        <v/>
      </c>
      <c r="O545" t="str">
        <f t="shared" si="62"/>
        <v/>
      </c>
      <c r="P545">
        <f>COUNTIF(Homematches[Match ID],Homematches[[#This Row],[Match ID]])</f>
        <v>1</v>
      </c>
    </row>
    <row r="546" spans="1:16" x14ac:dyDescent="0.25">
      <c r="A546" s="2" t="s">
        <v>623</v>
      </c>
      <c r="B546" s="3">
        <v>46515</v>
      </c>
      <c r="C546" t="s">
        <v>11</v>
      </c>
      <c r="D546" t="s">
        <v>2</v>
      </c>
      <c r="I546" t="str">
        <f t="shared" si="56"/>
        <v/>
      </c>
      <c r="J546" t="str">
        <f t="shared" si="57"/>
        <v/>
      </c>
      <c r="K546" t="str">
        <f t="shared" si="58"/>
        <v/>
      </c>
      <c r="L546" t="str">
        <f t="shared" si="59"/>
        <v/>
      </c>
      <c r="M546" t="str">
        <f t="shared" si="60"/>
        <v/>
      </c>
      <c r="N546" t="str">
        <f t="shared" si="61"/>
        <v/>
      </c>
      <c r="O546" t="str">
        <f t="shared" si="62"/>
        <v/>
      </c>
      <c r="P546">
        <f>COUNTIF(Homematches[Match ID],Homematches[[#This Row],[Match ID]])</f>
        <v>1</v>
      </c>
    </row>
    <row r="547" spans="1:16" x14ac:dyDescent="0.25">
      <c r="A547" s="2" t="s">
        <v>624</v>
      </c>
      <c r="B547" s="3">
        <v>46515</v>
      </c>
      <c r="C547" t="s">
        <v>33</v>
      </c>
      <c r="D547" t="s">
        <v>3</v>
      </c>
      <c r="I547" t="str">
        <f t="shared" si="56"/>
        <v/>
      </c>
      <c r="J547" t="str">
        <f t="shared" si="57"/>
        <v/>
      </c>
      <c r="K547" t="str">
        <f t="shared" si="58"/>
        <v/>
      </c>
      <c r="L547" t="str">
        <f t="shared" si="59"/>
        <v/>
      </c>
      <c r="M547" t="str">
        <f t="shared" si="60"/>
        <v/>
      </c>
      <c r="N547" t="str">
        <f t="shared" si="61"/>
        <v/>
      </c>
      <c r="O547" t="str">
        <f t="shared" si="62"/>
        <v/>
      </c>
      <c r="P547">
        <f>COUNTIF(Homematches[Match ID],Homematches[[#This Row],[Match ID]])</f>
        <v>1</v>
      </c>
    </row>
    <row r="548" spans="1:16" x14ac:dyDescent="0.25">
      <c r="A548" s="2" t="s">
        <v>625</v>
      </c>
      <c r="B548" s="3">
        <v>46515</v>
      </c>
      <c r="C548" t="s">
        <v>15</v>
      </c>
      <c r="D548" t="s">
        <v>10</v>
      </c>
      <c r="I548" t="str">
        <f t="shared" si="56"/>
        <v/>
      </c>
      <c r="J548" t="str">
        <f t="shared" si="57"/>
        <v/>
      </c>
      <c r="K548" t="str">
        <f t="shared" si="58"/>
        <v/>
      </c>
      <c r="L548" t="str">
        <f t="shared" si="59"/>
        <v/>
      </c>
      <c r="M548" t="str">
        <f t="shared" si="60"/>
        <v/>
      </c>
      <c r="N548" t="str">
        <f t="shared" si="61"/>
        <v/>
      </c>
      <c r="O548" t="str">
        <f t="shared" si="62"/>
        <v/>
      </c>
      <c r="P548">
        <f>COUNTIF(Homematches[Match ID],Homematches[[#This Row],[Match ID]])</f>
        <v>1</v>
      </c>
    </row>
    <row r="549" spans="1:16" x14ac:dyDescent="0.25">
      <c r="A549" s="2" t="s">
        <v>626</v>
      </c>
      <c r="B549" s="3">
        <v>46515</v>
      </c>
      <c r="C549" t="s">
        <v>18</v>
      </c>
      <c r="D549" t="s">
        <v>14</v>
      </c>
      <c r="I549" t="str">
        <f t="shared" si="56"/>
        <v/>
      </c>
      <c r="J549" t="str">
        <f t="shared" si="57"/>
        <v/>
      </c>
      <c r="K549" t="str">
        <f t="shared" si="58"/>
        <v/>
      </c>
      <c r="L549" t="str">
        <f t="shared" si="59"/>
        <v/>
      </c>
      <c r="M549" t="str">
        <f t="shared" si="60"/>
        <v/>
      </c>
      <c r="N549" t="str">
        <f t="shared" si="61"/>
        <v/>
      </c>
      <c r="O549" t="str">
        <f t="shared" si="62"/>
        <v/>
      </c>
      <c r="P549">
        <f>COUNTIF(Homematches[Match ID],Homematches[[#This Row],[Match ID]])</f>
        <v>1</v>
      </c>
    </row>
    <row r="550" spans="1:16" x14ac:dyDescent="0.25">
      <c r="A550" s="2" t="s">
        <v>627</v>
      </c>
      <c r="B550" s="3">
        <v>46515</v>
      </c>
      <c r="C550" t="s">
        <v>19</v>
      </c>
      <c r="D550" t="s">
        <v>8</v>
      </c>
      <c r="I550" t="str">
        <f t="shared" si="56"/>
        <v/>
      </c>
      <c r="J550" t="str">
        <f t="shared" si="57"/>
        <v/>
      </c>
      <c r="K550" t="str">
        <f t="shared" si="58"/>
        <v/>
      </c>
      <c r="L550" t="str">
        <f t="shared" si="59"/>
        <v/>
      </c>
      <c r="M550" t="str">
        <f t="shared" si="60"/>
        <v/>
      </c>
      <c r="N550" t="str">
        <f t="shared" si="61"/>
        <v/>
      </c>
      <c r="O550" t="str">
        <f t="shared" si="62"/>
        <v/>
      </c>
      <c r="P550">
        <f>COUNTIF(Homematches[Match ID],Homematches[[#This Row],[Match ID]])</f>
        <v>1</v>
      </c>
    </row>
    <row r="551" spans="1:16" x14ac:dyDescent="0.25">
      <c r="A551" s="2" t="s">
        <v>628</v>
      </c>
      <c r="B551" s="3">
        <v>46515</v>
      </c>
      <c r="C551" t="s">
        <v>20</v>
      </c>
      <c r="D551" t="s">
        <v>12</v>
      </c>
      <c r="I551" t="str">
        <f t="shared" si="56"/>
        <v/>
      </c>
      <c r="J551" t="str">
        <f t="shared" si="57"/>
        <v/>
      </c>
      <c r="K551" t="str">
        <f t="shared" si="58"/>
        <v/>
      </c>
      <c r="L551" t="str">
        <f t="shared" si="59"/>
        <v/>
      </c>
      <c r="M551" t="str">
        <f t="shared" si="60"/>
        <v/>
      </c>
      <c r="N551" t="str">
        <f t="shared" si="61"/>
        <v/>
      </c>
      <c r="O551" t="str">
        <f t="shared" si="62"/>
        <v/>
      </c>
      <c r="P551">
        <f>COUNTIF(Homematches[Match ID],Homematches[[#This Row],[Match ID]])</f>
        <v>1</v>
      </c>
    </row>
    <row r="552" spans="1:16" x14ac:dyDescent="0.25">
      <c r="A552" s="2" t="s">
        <v>629</v>
      </c>
      <c r="B552" s="3">
        <v>46515</v>
      </c>
      <c r="C552" t="s">
        <v>21</v>
      </c>
      <c r="D552" t="s">
        <v>5</v>
      </c>
      <c r="I552" t="str">
        <f t="shared" si="56"/>
        <v/>
      </c>
      <c r="J552" t="str">
        <f t="shared" si="57"/>
        <v/>
      </c>
      <c r="K552" t="str">
        <f t="shared" si="58"/>
        <v/>
      </c>
      <c r="L552" t="str">
        <f t="shared" si="59"/>
        <v/>
      </c>
      <c r="M552" t="str">
        <f t="shared" si="60"/>
        <v/>
      </c>
      <c r="N552" t="str">
        <f t="shared" si="61"/>
        <v/>
      </c>
      <c r="O552" t="str">
        <f t="shared" si="62"/>
        <v/>
      </c>
      <c r="P552">
        <f>COUNTIF(Homematches[Match ID],Homematches[[#This Row],[Match ID]])</f>
        <v>1</v>
      </c>
    </row>
    <row r="553" spans="1:16" x14ac:dyDescent="0.25">
      <c r="A553" s="2" t="s">
        <v>630</v>
      </c>
      <c r="B553" s="3">
        <v>46515</v>
      </c>
      <c r="C553" t="s">
        <v>22</v>
      </c>
      <c r="D553" t="s">
        <v>1</v>
      </c>
      <c r="I553" t="str">
        <f t="shared" si="56"/>
        <v/>
      </c>
      <c r="J553" t="str">
        <f t="shared" si="57"/>
        <v/>
      </c>
      <c r="K553" t="str">
        <f t="shared" si="58"/>
        <v/>
      </c>
      <c r="L553" t="str">
        <f t="shared" si="59"/>
        <v/>
      </c>
      <c r="M553" t="str">
        <f t="shared" si="60"/>
        <v/>
      </c>
      <c r="N553" t="str">
        <f t="shared" si="61"/>
        <v/>
      </c>
      <c r="O553" t="str">
        <f t="shared" si="62"/>
        <v/>
      </c>
      <c r="P553">
        <f>COUNTIF(Homematches[Match ID],Homematches[[#This Row],[Match ID]])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FC2B-AC67-40EB-81E7-B00EDD592D00}">
  <dimension ref="A1:L553"/>
  <sheetViews>
    <sheetView topLeftCell="A37" workbookViewId="0">
      <selection activeCell="E60" sqref="E60"/>
    </sheetView>
  </sheetViews>
  <sheetFormatPr defaultRowHeight="15" x14ac:dyDescent="0.25"/>
  <cols>
    <col min="1" max="1" width="8.85546875" bestFit="1" customWidth="1"/>
    <col min="2" max="2" width="10.42578125" style="6" bestFit="1" customWidth="1"/>
    <col min="3" max="4" width="20.28515625" bestFit="1" customWidth="1"/>
    <col min="5" max="5" width="8.7109375" bestFit="1" customWidth="1"/>
    <col min="6" max="6" width="12.85546875" bestFit="1" customWidth="1"/>
    <col min="7" max="7" width="11.28515625" bestFit="1" customWidth="1"/>
    <col min="8" max="8" width="15.5703125" bestFit="1" customWidth="1"/>
    <col min="9" max="9" width="8.28515625" bestFit="1" customWidth="1"/>
    <col min="10" max="10" width="10.85546875" bestFit="1" customWidth="1"/>
    <col min="11" max="11" width="14.42578125" bestFit="1" customWidth="1"/>
    <col min="12" max="12" width="6.85546875" customWidth="1"/>
  </cols>
  <sheetData>
    <row r="1" spans="1:12" x14ac:dyDescent="0.25">
      <c r="A1" t="s">
        <v>23</v>
      </c>
      <c r="B1" s="6" t="s">
        <v>24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32</v>
      </c>
      <c r="J1" t="s">
        <v>37</v>
      </c>
      <c r="K1" t="s">
        <v>644</v>
      </c>
      <c r="L1" t="s">
        <v>48</v>
      </c>
    </row>
    <row r="2" spans="1:12" x14ac:dyDescent="0.25">
      <c r="A2" t="s">
        <v>79</v>
      </c>
      <c r="B2" s="6">
        <v>46249</v>
      </c>
      <c r="C2" t="s">
        <v>1</v>
      </c>
      <c r="D2" t="s">
        <v>4</v>
      </c>
      <c r="E2">
        <v>1.32</v>
      </c>
      <c r="F2">
        <v>1.42</v>
      </c>
      <c r="G2">
        <v>0</v>
      </c>
      <c r="H2">
        <v>1</v>
      </c>
      <c r="I2">
        <v>2.74</v>
      </c>
      <c r="J2">
        <v>1</v>
      </c>
      <c r="K2">
        <v>1</v>
      </c>
      <c r="L2" t="s">
        <v>34</v>
      </c>
    </row>
    <row r="3" spans="1:12" x14ac:dyDescent="0.25">
      <c r="A3" t="s">
        <v>80</v>
      </c>
      <c r="B3" s="6">
        <v>46249</v>
      </c>
      <c r="C3" t="s">
        <v>2</v>
      </c>
      <c r="D3" t="s">
        <v>22</v>
      </c>
      <c r="E3">
        <v>2.37</v>
      </c>
      <c r="F3">
        <v>1.29</v>
      </c>
      <c r="G3">
        <v>1</v>
      </c>
      <c r="H3">
        <v>1</v>
      </c>
      <c r="I3">
        <v>3.66</v>
      </c>
      <c r="J3">
        <v>2</v>
      </c>
      <c r="K3">
        <v>1</v>
      </c>
      <c r="L3" t="s">
        <v>34</v>
      </c>
    </row>
    <row r="4" spans="1:12" x14ac:dyDescent="0.25">
      <c r="A4" t="s">
        <v>81</v>
      </c>
      <c r="B4" s="6">
        <v>46249</v>
      </c>
      <c r="C4" t="s">
        <v>3</v>
      </c>
      <c r="D4" t="s">
        <v>15</v>
      </c>
      <c r="E4">
        <v>1.97</v>
      </c>
      <c r="F4">
        <v>1.1100000000000001</v>
      </c>
      <c r="G4">
        <v>2</v>
      </c>
      <c r="H4">
        <v>0</v>
      </c>
      <c r="I4">
        <v>3.08</v>
      </c>
      <c r="J4">
        <v>2</v>
      </c>
      <c r="K4">
        <v>1</v>
      </c>
      <c r="L4" t="s">
        <v>34</v>
      </c>
    </row>
    <row r="5" spans="1:12" x14ac:dyDescent="0.25">
      <c r="A5" t="s">
        <v>82</v>
      </c>
      <c r="B5" s="6">
        <v>46249</v>
      </c>
      <c r="C5" t="s">
        <v>5</v>
      </c>
      <c r="D5" t="s">
        <v>19</v>
      </c>
      <c r="E5">
        <v>0.94</v>
      </c>
      <c r="F5">
        <v>0.53</v>
      </c>
      <c r="G5">
        <v>1</v>
      </c>
      <c r="H5">
        <v>1</v>
      </c>
      <c r="I5">
        <v>1.47</v>
      </c>
      <c r="J5">
        <v>2</v>
      </c>
      <c r="K5">
        <v>1</v>
      </c>
      <c r="L5" t="s">
        <v>34</v>
      </c>
    </row>
    <row r="6" spans="1:12" x14ac:dyDescent="0.25">
      <c r="A6" t="s">
        <v>83</v>
      </c>
      <c r="B6" s="6">
        <v>46249</v>
      </c>
      <c r="C6" t="s">
        <v>6</v>
      </c>
      <c r="D6" t="s">
        <v>21</v>
      </c>
      <c r="E6">
        <v>1.74</v>
      </c>
      <c r="F6">
        <v>2.2000000000000002</v>
      </c>
      <c r="G6">
        <v>3</v>
      </c>
      <c r="H6">
        <v>2</v>
      </c>
      <c r="I6">
        <v>3.9400000000000004</v>
      </c>
      <c r="J6">
        <v>5</v>
      </c>
      <c r="K6">
        <v>1</v>
      </c>
      <c r="L6" t="s">
        <v>34</v>
      </c>
    </row>
    <row r="7" spans="1:12" x14ac:dyDescent="0.25">
      <c r="A7" t="s">
        <v>84</v>
      </c>
      <c r="B7" s="6">
        <v>46249</v>
      </c>
      <c r="C7" t="s">
        <v>8</v>
      </c>
      <c r="D7" t="s">
        <v>0</v>
      </c>
      <c r="E7">
        <v>1.24</v>
      </c>
      <c r="F7">
        <v>0.38</v>
      </c>
      <c r="G7">
        <v>3</v>
      </c>
      <c r="H7">
        <v>0</v>
      </c>
      <c r="I7">
        <v>1.62</v>
      </c>
      <c r="J7">
        <v>3</v>
      </c>
      <c r="K7">
        <v>1</v>
      </c>
      <c r="L7" t="s">
        <v>34</v>
      </c>
    </row>
    <row r="8" spans="1:12" x14ac:dyDescent="0.25">
      <c r="A8" t="s">
        <v>85</v>
      </c>
      <c r="B8" s="6">
        <v>46249</v>
      </c>
      <c r="C8" t="s">
        <v>10</v>
      </c>
      <c r="D8" t="s">
        <v>18</v>
      </c>
      <c r="E8">
        <v>1.38</v>
      </c>
      <c r="F8">
        <v>2.84</v>
      </c>
      <c r="G8">
        <v>1</v>
      </c>
      <c r="H8">
        <v>2</v>
      </c>
      <c r="I8">
        <v>4.22</v>
      </c>
      <c r="J8">
        <v>3</v>
      </c>
      <c r="K8">
        <v>1</v>
      </c>
      <c r="L8" t="s">
        <v>34</v>
      </c>
    </row>
    <row r="9" spans="1:12" x14ac:dyDescent="0.25">
      <c r="A9" t="s">
        <v>86</v>
      </c>
      <c r="B9" s="6">
        <v>46249</v>
      </c>
      <c r="C9" t="s">
        <v>12</v>
      </c>
      <c r="D9" t="s">
        <v>7</v>
      </c>
      <c r="E9">
        <v>1.44</v>
      </c>
      <c r="F9">
        <v>1.06</v>
      </c>
      <c r="G9">
        <v>2</v>
      </c>
      <c r="H9">
        <v>1</v>
      </c>
      <c r="I9">
        <v>2.5</v>
      </c>
      <c r="J9">
        <v>3</v>
      </c>
      <c r="K9">
        <v>1</v>
      </c>
      <c r="L9" t="s">
        <v>34</v>
      </c>
    </row>
    <row r="10" spans="1:12" x14ac:dyDescent="0.25">
      <c r="A10" t="s">
        <v>87</v>
      </c>
      <c r="B10" s="6">
        <v>46249</v>
      </c>
      <c r="C10" t="s">
        <v>13</v>
      </c>
      <c r="D10" t="s">
        <v>9</v>
      </c>
      <c r="E10">
        <v>2.1800000000000002</v>
      </c>
      <c r="F10">
        <v>0.74</v>
      </c>
      <c r="G10">
        <v>1</v>
      </c>
      <c r="H10">
        <v>1</v>
      </c>
      <c r="I10">
        <v>2.92</v>
      </c>
      <c r="J10">
        <v>2</v>
      </c>
      <c r="K10">
        <v>1</v>
      </c>
      <c r="L10" t="s">
        <v>34</v>
      </c>
    </row>
    <row r="11" spans="1:12" x14ac:dyDescent="0.25">
      <c r="A11" t="s">
        <v>88</v>
      </c>
      <c r="B11" s="6">
        <v>46249</v>
      </c>
      <c r="C11" t="s">
        <v>14</v>
      </c>
      <c r="D11" t="s">
        <v>33</v>
      </c>
      <c r="E11">
        <v>1.83</v>
      </c>
      <c r="F11">
        <v>2.2000000000000002</v>
      </c>
      <c r="G11">
        <v>2</v>
      </c>
      <c r="H11">
        <v>2</v>
      </c>
      <c r="I11">
        <v>4.03</v>
      </c>
      <c r="J11">
        <v>4</v>
      </c>
      <c r="K11">
        <v>1</v>
      </c>
      <c r="L11" t="s">
        <v>34</v>
      </c>
    </row>
    <row r="12" spans="1:12" x14ac:dyDescent="0.25">
      <c r="A12" t="s">
        <v>89</v>
      </c>
      <c r="B12" s="6">
        <v>46249</v>
      </c>
      <c r="C12" t="s">
        <v>16</v>
      </c>
      <c r="D12" t="s">
        <v>20</v>
      </c>
      <c r="E12">
        <v>0.92</v>
      </c>
      <c r="F12">
        <v>1.81</v>
      </c>
      <c r="G12">
        <v>1</v>
      </c>
      <c r="H12">
        <v>3</v>
      </c>
      <c r="I12">
        <v>2.73</v>
      </c>
      <c r="J12">
        <v>4</v>
      </c>
      <c r="K12">
        <v>1</v>
      </c>
      <c r="L12" t="s">
        <v>34</v>
      </c>
    </row>
    <row r="13" spans="1:12" x14ac:dyDescent="0.25">
      <c r="A13" t="s">
        <v>90</v>
      </c>
      <c r="B13" s="6">
        <v>46249</v>
      </c>
      <c r="C13" t="s">
        <v>17</v>
      </c>
      <c r="D13" t="s">
        <v>11</v>
      </c>
      <c r="E13">
        <v>1.61</v>
      </c>
      <c r="F13">
        <v>1.65</v>
      </c>
      <c r="G13">
        <v>3</v>
      </c>
      <c r="H13">
        <v>4</v>
      </c>
      <c r="I13">
        <v>3.26</v>
      </c>
      <c r="J13">
        <v>7</v>
      </c>
      <c r="K13">
        <v>1</v>
      </c>
      <c r="L13" t="s">
        <v>34</v>
      </c>
    </row>
    <row r="14" spans="1:12" x14ac:dyDescent="0.25">
      <c r="A14" t="s">
        <v>91</v>
      </c>
      <c r="B14" s="6">
        <v>46254</v>
      </c>
      <c r="C14" t="s">
        <v>18</v>
      </c>
      <c r="D14" t="s">
        <v>3</v>
      </c>
      <c r="E14">
        <v>1.49</v>
      </c>
      <c r="F14">
        <v>0.59</v>
      </c>
      <c r="G14">
        <v>0</v>
      </c>
      <c r="H14">
        <v>1</v>
      </c>
      <c r="I14">
        <v>2.08</v>
      </c>
      <c r="J14">
        <v>1</v>
      </c>
      <c r="K14">
        <v>1</v>
      </c>
      <c r="L14" t="s">
        <v>34</v>
      </c>
    </row>
    <row r="15" spans="1:12" x14ac:dyDescent="0.25">
      <c r="A15" t="s">
        <v>92</v>
      </c>
      <c r="B15" s="6">
        <v>46256</v>
      </c>
      <c r="C15" t="s">
        <v>0</v>
      </c>
      <c r="D15" t="s">
        <v>17</v>
      </c>
      <c r="E15">
        <v>0.37</v>
      </c>
      <c r="F15">
        <v>1.28</v>
      </c>
      <c r="G15">
        <v>0</v>
      </c>
      <c r="H15">
        <v>0</v>
      </c>
      <c r="I15">
        <v>1.65</v>
      </c>
      <c r="J15">
        <v>0</v>
      </c>
      <c r="K15">
        <v>1</v>
      </c>
      <c r="L15" t="s">
        <v>34</v>
      </c>
    </row>
    <row r="16" spans="1:12" x14ac:dyDescent="0.25">
      <c r="A16" t="s">
        <v>93</v>
      </c>
      <c r="B16" s="6">
        <v>46256</v>
      </c>
      <c r="C16" t="s">
        <v>4</v>
      </c>
      <c r="D16" t="s">
        <v>6</v>
      </c>
      <c r="E16">
        <v>0.57999999999999996</v>
      </c>
      <c r="F16">
        <v>0.59</v>
      </c>
      <c r="G16">
        <v>1</v>
      </c>
      <c r="H16">
        <v>1</v>
      </c>
      <c r="I16">
        <v>1.17</v>
      </c>
      <c r="J16">
        <v>2</v>
      </c>
      <c r="K16">
        <v>1</v>
      </c>
      <c r="L16" t="s">
        <v>34</v>
      </c>
    </row>
    <row r="17" spans="1:12" x14ac:dyDescent="0.25">
      <c r="A17" t="s">
        <v>94</v>
      </c>
      <c r="B17" s="6">
        <v>46256</v>
      </c>
      <c r="C17" t="s">
        <v>7</v>
      </c>
      <c r="D17" t="s">
        <v>1</v>
      </c>
      <c r="E17">
        <v>1.82</v>
      </c>
      <c r="F17">
        <v>0.45</v>
      </c>
      <c r="G17">
        <v>0</v>
      </c>
      <c r="H17">
        <v>0</v>
      </c>
      <c r="I17">
        <v>2.27</v>
      </c>
      <c r="J17">
        <v>0</v>
      </c>
      <c r="K17">
        <v>1</v>
      </c>
      <c r="L17" t="s">
        <v>34</v>
      </c>
    </row>
    <row r="18" spans="1:12" x14ac:dyDescent="0.25">
      <c r="A18" t="s">
        <v>95</v>
      </c>
      <c r="B18" s="6">
        <v>46256</v>
      </c>
      <c r="C18" t="s">
        <v>9</v>
      </c>
      <c r="D18" t="s">
        <v>5</v>
      </c>
      <c r="E18">
        <v>1.31</v>
      </c>
      <c r="F18">
        <v>0.81</v>
      </c>
      <c r="G18">
        <v>1</v>
      </c>
      <c r="H18">
        <v>2</v>
      </c>
      <c r="I18">
        <v>2.12</v>
      </c>
      <c r="J18">
        <v>3</v>
      </c>
      <c r="K18">
        <v>1</v>
      </c>
      <c r="L18" t="s">
        <v>34</v>
      </c>
    </row>
    <row r="19" spans="1:12" x14ac:dyDescent="0.25">
      <c r="A19" t="s">
        <v>96</v>
      </c>
      <c r="B19" s="6">
        <v>46256</v>
      </c>
      <c r="C19" t="s">
        <v>11</v>
      </c>
      <c r="D19" t="s">
        <v>13</v>
      </c>
      <c r="E19">
        <v>1.85</v>
      </c>
      <c r="F19">
        <v>0.76</v>
      </c>
      <c r="G19">
        <v>2</v>
      </c>
      <c r="H19">
        <v>2</v>
      </c>
      <c r="I19">
        <v>2.6100000000000003</v>
      </c>
      <c r="J19">
        <v>4</v>
      </c>
      <c r="K19">
        <v>1</v>
      </c>
      <c r="L19" t="s">
        <v>34</v>
      </c>
    </row>
    <row r="20" spans="1:12" x14ac:dyDescent="0.25">
      <c r="A20" t="s">
        <v>97</v>
      </c>
      <c r="B20" s="6">
        <v>46256</v>
      </c>
      <c r="C20" t="s">
        <v>33</v>
      </c>
      <c r="D20" t="s">
        <v>8</v>
      </c>
      <c r="E20">
        <v>1.54</v>
      </c>
      <c r="F20">
        <v>2.2799999999999998</v>
      </c>
      <c r="G20">
        <v>1</v>
      </c>
      <c r="H20">
        <v>1</v>
      </c>
      <c r="I20">
        <v>3.82</v>
      </c>
      <c r="J20">
        <v>2</v>
      </c>
      <c r="K20">
        <v>1</v>
      </c>
      <c r="L20" t="s">
        <v>34</v>
      </c>
    </row>
    <row r="21" spans="1:12" x14ac:dyDescent="0.25">
      <c r="A21" t="s">
        <v>98</v>
      </c>
      <c r="B21" s="6">
        <v>46256</v>
      </c>
      <c r="C21" t="s">
        <v>15</v>
      </c>
      <c r="D21" t="s">
        <v>12</v>
      </c>
      <c r="E21">
        <v>1.39</v>
      </c>
      <c r="F21">
        <v>1.25</v>
      </c>
      <c r="G21">
        <v>2</v>
      </c>
      <c r="H21">
        <v>1</v>
      </c>
      <c r="I21">
        <v>2.6399999999999997</v>
      </c>
      <c r="J21">
        <v>3</v>
      </c>
      <c r="K21">
        <v>1</v>
      </c>
      <c r="L21" t="s">
        <v>34</v>
      </c>
    </row>
    <row r="22" spans="1:12" x14ac:dyDescent="0.25">
      <c r="A22" t="s">
        <v>99</v>
      </c>
      <c r="B22" s="6">
        <v>46256</v>
      </c>
      <c r="C22" t="s">
        <v>19</v>
      </c>
      <c r="D22" t="s">
        <v>14</v>
      </c>
      <c r="E22">
        <v>1.17</v>
      </c>
      <c r="F22">
        <v>1.36</v>
      </c>
      <c r="G22">
        <v>1</v>
      </c>
      <c r="H22">
        <v>2</v>
      </c>
      <c r="I22">
        <v>2.5300000000000002</v>
      </c>
      <c r="J22">
        <v>3</v>
      </c>
      <c r="K22">
        <v>1</v>
      </c>
      <c r="L22" t="s">
        <v>34</v>
      </c>
    </row>
    <row r="23" spans="1:12" x14ac:dyDescent="0.25">
      <c r="A23" t="s">
        <v>100</v>
      </c>
      <c r="B23" s="6">
        <v>46256</v>
      </c>
      <c r="C23" t="s">
        <v>20</v>
      </c>
      <c r="D23" t="s">
        <v>2</v>
      </c>
      <c r="E23">
        <v>3.54</v>
      </c>
      <c r="F23">
        <v>1.79</v>
      </c>
      <c r="G23">
        <v>1</v>
      </c>
      <c r="H23">
        <v>2</v>
      </c>
      <c r="I23">
        <v>5.33</v>
      </c>
      <c r="J23">
        <v>3</v>
      </c>
      <c r="K23">
        <v>1</v>
      </c>
      <c r="L23" t="s">
        <v>34</v>
      </c>
    </row>
    <row r="24" spans="1:12" x14ac:dyDescent="0.25">
      <c r="A24" t="s">
        <v>101</v>
      </c>
      <c r="B24" s="6">
        <v>46256</v>
      </c>
      <c r="C24" t="s">
        <v>21</v>
      </c>
      <c r="D24" t="s">
        <v>10</v>
      </c>
      <c r="E24">
        <v>1.6</v>
      </c>
      <c r="F24">
        <v>1.25</v>
      </c>
      <c r="G24">
        <v>0</v>
      </c>
      <c r="H24">
        <v>2</v>
      </c>
      <c r="I24">
        <v>2.85</v>
      </c>
      <c r="J24">
        <v>2</v>
      </c>
      <c r="K24">
        <v>1</v>
      </c>
      <c r="L24" t="s">
        <v>34</v>
      </c>
    </row>
    <row r="25" spans="1:12" x14ac:dyDescent="0.25">
      <c r="A25" t="s">
        <v>102</v>
      </c>
      <c r="B25" s="6">
        <v>46256</v>
      </c>
      <c r="C25" t="s">
        <v>22</v>
      </c>
      <c r="D25" t="s">
        <v>16</v>
      </c>
      <c r="E25">
        <v>1.89</v>
      </c>
      <c r="F25">
        <v>0.76</v>
      </c>
      <c r="G25">
        <v>1</v>
      </c>
      <c r="H25">
        <v>1</v>
      </c>
      <c r="I25">
        <v>2.65</v>
      </c>
      <c r="J25">
        <v>2</v>
      </c>
      <c r="K25">
        <v>1</v>
      </c>
      <c r="L25" t="s">
        <v>34</v>
      </c>
    </row>
    <row r="26" spans="1:12" x14ac:dyDescent="0.25">
      <c r="A26" t="s">
        <v>103</v>
      </c>
      <c r="B26" s="6">
        <v>46263</v>
      </c>
      <c r="C26" t="s">
        <v>2</v>
      </c>
      <c r="D26" t="s">
        <v>15</v>
      </c>
      <c r="E26">
        <v>2.73</v>
      </c>
      <c r="F26">
        <v>1.72</v>
      </c>
      <c r="G26">
        <v>4</v>
      </c>
      <c r="H26">
        <v>0</v>
      </c>
      <c r="I26">
        <v>4.45</v>
      </c>
      <c r="J26">
        <v>4</v>
      </c>
      <c r="K26">
        <v>1</v>
      </c>
      <c r="L26" t="s">
        <v>34</v>
      </c>
    </row>
    <row r="27" spans="1:12" x14ac:dyDescent="0.25">
      <c r="A27" t="s">
        <v>104</v>
      </c>
      <c r="B27" s="6">
        <v>46263</v>
      </c>
      <c r="C27" t="s">
        <v>6</v>
      </c>
      <c r="D27" t="s">
        <v>8</v>
      </c>
      <c r="E27">
        <v>1.22</v>
      </c>
      <c r="F27">
        <v>1.1299999999999999</v>
      </c>
      <c r="G27">
        <v>1</v>
      </c>
      <c r="H27">
        <v>2</v>
      </c>
      <c r="I27">
        <v>2.3499999999999996</v>
      </c>
      <c r="J27">
        <v>3</v>
      </c>
      <c r="K27">
        <v>1</v>
      </c>
      <c r="L27" t="s">
        <v>34</v>
      </c>
    </row>
    <row r="28" spans="1:12" x14ac:dyDescent="0.25">
      <c r="A28" t="s">
        <v>105</v>
      </c>
      <c r="B28" s="6">
        <v>46263</v>
      </c>
      <c r="C28" t="s">
        <v>10</v>
      </c>
      <c r="D28" t="s">
        <v>1</v>
      </c>
      <c r="E28">
        <v>0.73</v>
      </c>
      <c r="F28">
        <v>1.99</v>
      </c>
      <c r="G28">
        <v>1</v>
      </c>
      <c r="H28">
        <v>3</v>
      </c>
      <c r="I28">
        <v>2.7199999999999998</v>
      </c>
      <c r="J28">
        <v>4</v>
      </c>
      <c r="K28">
        <v>1</v>
      </c>
      <c r="L28" t="s">
        <v>34</v>
      </c>
    </row>
    <row r="29" spans="1:12" x14ac:dyDescent="0.25">
      <c r="A29" t="s">
        <v>106</v>
      </c>
      <c r="B29" s="6">
        <v>46263</v>
      </c>
      <c r="C29" t="s">
        <v>33</v>
      </c>
      <c r="D29" t="s">
        <v>9</v>
      </c>
      <c r="E29">
        <v>0.56999999999999995</v>
      </c>
      <c r="F29">
        <v>1.53</v>
      </c>
      <c r="G29">
        <v>0</v>
      </c>
      <c r="H29">
        <v>0</v>
      </c>
      <c r="I29">
        <v>2.1</v>
      </c>
      <c r="J29">
        <v>0</v>
      </c>
      <c r="K29">
        <v>1</v>
      </c>
      <c r="L29" t="s">
        <v>34</v>
      </c>
    </row>
    <row r="30" spans="1:12" x14ac:dyDescent="0.25">
      <c r="A30" t="s">
        <v>107</v>
      </c>
      <c r="B30" s="6">
        <v>46263</v>
      </c>
      <c r="C30" t="s">
        <v>13</v>
      </c>
      <c r="D30" t="s">
        <v>5</v>
      </c>
      <c r="E30">
        <v>2.29</v>
      </c>
      <c r="F30">
        <v>0.11</v>
      </c>
      <c r="G30">
        <v>2</v>
      </c>
      <c r="H30">
        <v>1</v>
      </c>
      <c r="I30">
        <v>2.4</v>
      </c>
      <c r="J30">
        <v>3</v>
      </c>
      <c r="K30">
        <v>1</v>
      </c>
      <c r="L30" t="s">
        <v>34</v>
      </c>
    </row>
    <row r="31" spans="1:12" x14ac:dyDescent="0.25">
      <c r="A31" t="s">
        <v>108</v>
      </c>
      <c r="B31" s="6">
        <v>46263</v>
      </c>
      <c r="C31" t="s">
        <v>16</v>
      </c>
      <c r="D31" t="s">
        <v>3</v>
      </c>
      <c r="E31">
        <v>1.1599999999999999</v>
      </c>
      <c r="F31">
        <v>0.9</v>
      </c>
      <c r="G31">
        <v>2</v>
      </c>
      <c r="H31">
        <v>0</v>
      </c>
      <c r="I31">
        <v>2.06</v>
      </c>
      <c r="J31">
        <v>2</v>
      </c>
      <c r="K31">
        <v>1</v>
      </c>
      <c r="L31" t="s">
        <v>34</v>
      </c>
    </row>
    <row r="32" spans="1:12" x14ac:dyDescent="0.25">
      <c r="A32" t="s">
        <v>109</v>
      </c>
      <c r="B32" s="6">
        <v>46263</v>
      </c>
      <c r="C32" t="s">
        <v>18</v>
      </c>
      <c r="D32" t="s">
        <v>4</v>
      </c>
      <c r="E32">
        <v>4.5199999999999996</v>
      </c>
      <c r="F32">
        <v>1.5</v>
      </c>
      <c r="G32">
        <v>7</v>
      </c>
      <c r="H32">
        <v>2</v>
      </c>
      <c r="I32">
        <v>6.02</v>
      </c>
      <c r="J32">
        <v>9</v>
      </c>
      <c r="K32">
        <v>1</v>
      </c>
      <c r="L32" t="s">
        <v>34</v>
      </c>
    </row>
    <row r="33" spans="1:12" x14ac:dyDescent="0.25">
      <c r="A33" t="s">
        <v>110</v>
      </c>
      <c r="B33" s="6">
        <v>46263</v>
      </c>
      <c r="C33" t="s">
        <v>19</v>
      </c>
      <c r="D33" t="s">
        <v>7</v>
      </c>
      <c r="E33">
        <v>0.47</v>
      </c>
      <c r="F33">
        <v>0.65</v>
      </c>
      <c r="G33">
        <v>2</v>
      </c>
      <c r="H33">
        <v>2</v>
      </c>
      <c r="I33">
        <v>1.1200000000000001</v>
      </c>
      <c r="J33">
        <v>4</v>
      </c>
      <c r="K33">
        <v>1</v>
      </c>
      <c r="L33" t="s">
        <v>34</v>
      </c>
    </row>
    <row r="34" spans="1:12" x14ac:dyDescent="0.25">
      <c r="A34" t="s">
        <v>111</v>
      </c>
      <c r="B34" s="6">
        <v>46263</v>
      </c>
      <c r="C34" t="s">
        <v>20</v>
      </c>
      <c r="D34" t="s">
        <v>22</v>
      </c>
      <c r="E34">
        <v>1.34</v>
      </c>
      <c r="F34">
        <v>0.94</v>
      </c>
      <c r="G34">
        <v>5</v>
      </c>
      <c r="H34">
        <v>1</v>
      </c>
      <c r="I34">
        <v>2.2800000000000002</v>
      </c>
      <c r="J34">
        <v>6</v>
      </c>
      <c r="K34">
        <v>1</v>
      </c>
      <c r="L34" t="s">
        <v>34</v>
      </c>
    </row>
    <row r="35" spans="1:12" x14ac:dyDescent="0.25">
      <c r="A35" t="s">
        <v>112</v>
      </c>
      <c r="B35" s="6">
        <v>46264</v>
      </c>
      <c r="C35" t="s">
        <v>0</v>
      </c>
      <c r="D35" t="s">
        <v>21</v>
      </c>
      <c r="E35">
        <v>0.72</v>
      </c>
      <c r="F35">
        <v>2.99</v>
      </c>
      <c r="G35">
        <v>1</v>
      </c>
      <c r="H35">
        <v>0</v>
      </c>
      <c r="I35">
        <v>3.71</v>
      </c>
      <c r="J35">
        <v>1</v>
      </c>
      <c r="K35">
        <v>1</v>
      </c>
      <c r="L35" t="s">
        <v>34</v>
      </c>
    </row>
    <row r="36" spans="1:12" x14ac:dyDescent="0.25">
      <c r="A36" t="s">
        <v>113</v>
      </c>
      <c r="B36" s="6">
        <v>46264</v>
      </c>
      <c r="C36" t="s">
        <v>12</v>
      </c>
      <c r="D36" t="s">
        <v>11</v>
      </c>
      <c r="E36">
        <v>1.37</v>
      </c>
      <c r="F36">
        <v>1.35</v>
      </c>
      <c r="G36">
        <v>5</v>
      </c>
      <c r="H36">
        <v>2</v>
      </c>
      <c r="I36">
        <v>2.72</v>
      </c>
      <c r="J36">
        <v>7</v>
      </c>
      <c r="K36">
        <v>1</v>
      </c>
      <c r="L36" t="s">
        <v>34</v>
      </c>
    </row>
    <row r="37" spans="1:12" x14ac:dyDescent="0.25">
      <c r="A37" t="s">
        <v>114</v>
      </c>
      <c r="B37" s="6">
        <v>46266</v>
      </c>
      <c r="C37" t="s">
        <v>3</v>
      </c>
      <c r="D37" t="s">
        <v>6</v>
      </c>
      <c r="E37">
        <v>2.1800000000000002</v>
      </c>
      <c r="F37">
        <v>0.44</v>
      </c>
      <c r="G37">
        <v>1</v>
      </c>
      <c r="H37">
        <v>2</v>
      </c>
      <c r="I37">
        <v>2.62</v>
      </c>
      <c r="J37">
        <v>3</v>
      </c>
      <c r="K37">
        <v>1</v>
      </c>
      <c r="L37" t="s">
        <v>34</v>
      </c>
    </row>
    <row r="38" spans="1:12" x14ac:dyDescent="0.25">
      <c r="A38" t="s">
        <v>115</v>
      </c>
      <c r="B38" s="6">
        <v>46266</v>
      </c>
      <c r="C38" t="s">
        <v>4</v>
      </c>
      <c r="D38" t="s">
        <v>10</v>
      </c>
      <c r="E38">
        <v>0.63</v>
      </c>
      <c r="F38">
        <v>1.94</v>
      </c>
      <c r="G38">
        <v>0</v>
      </c>
      <c r="H38">
        <v>5</v>
      </c>
      <c r="I38">
        <v>2.57</v>
      </c>
      <c r="J38">
        <v>5</v>
      </c>
      <c r="K38">
        <v>1</v>
      </c>
      <c r="L38" t="s">
        <v>34</v>
      </c>
    </row>
    <row r="39" spans="1:12" x14ac:dyDescent="0.25">
      <c r="A39" t="s">
        <v>116</v>
      </c>
      <c r="B39" s="6">
        <v>46266</v>
      </c>
      <c r="C39" t="s">
        <v>7</v>
      </c>
      <c r="D39" t="s">
        <v>13</v>
      </c>
      <c r="E39">
        <v>1.1200000000000001</v>
      </c>
      <c r="F39">
        <v>0.87</v>
      </c>
      <c r="G39">
        <v>1</v>
      </c>
      <c r="H39">
        <v>1</v>
      </c>
      <c r="I39">
        <v>1.9900000000000002</v>
      </c>
      <c r="J39">
        <v>2</v>
      </c>
      <c r="K39">
        <v>1</v>
      </c>
      <c r="L39" t="s">
        <v>34</v>
      </c>
    </row>
    <row r="40" spans="1:12" x14ac:dyDescent="0.25">
      <c r="A40" t="s">
        <v>117</v>
      </c>
      <c r="B40" s="6">
        <v>46266</v>
      </c>
      <c r="C40" t="s">
        <v>8</v>
      </c>
      <c r="D40" t="s">
        <v>14</v>
      </c>
      <c r="E40">
        <v>3.62</v>
      </c>
      <c r="F40">
        <v>1.01</v>
      </c>
      <c r="G40">
        <v>3</v>
      </c>
      <c r="H40">
        <v>1</v>
      </c>
      <c r="I40">
        <v>4.63</v>
      </c>
      <c r="J40">
        <v>4</v>
      </c>
      <c r="K40">
        <v>1</v>
      </c>
      <c r="L40" t="s">
        <v>34</v>
      </c>
    </row>
    <row r="41" spans="1:12" x14ac:dyDescent="0.25">
      <c r="A41" t="s">
        <v>118</v>
      </c>
      <c r="B41" s="6">
        <v>46266</v>
      </c>
      <c r="C41" t="s">
        <v>9</v>
      </c>
      <c r="D41" t="s">
        <v>16</v>
      </c>
      <c r="E41">
        <v>1.76</v>
      </c>
      <c r="F41">
        <v>1.1299999999999999</v>
      </c>
      <c r="G41">
        <v>2</v>
      </c>
      <c r="H41">
        <v>0</v>
      </c>
      <c r="I41">
        <v>2.8899999999999997</v>
      </c>
      <c r="J41">
        <v>2</v>
      </c>
      <c r="K41">
        <v>1</v>
      </c>
      <c r="L41" t="s">
        <v>34</v>
      </c>
    </row>
    <row r="42" spans="1:12" x14ac:dyDescent="0.25">
      <c r="A42" t="s">
        <v>119</v>
      </c>
      <c r="B42" s="6">
        <v>46266</v>
      </c>
      <c r="C42" t="s">
        <v>15</v>
      </c>
      <c r="D42" t="s">
        <v>19</v>
      </c>
      <c r="E42">
        <v>0.91</v>
      </c>
      <c r="F42">
        <v>0.47</v>
      </c>
      <c r="G42">
        <v>0</v>
      </c>
      <c r="H42">
        <v>0</v>
      </c>
      <c r="I42">
        <v>1.38</v>
      </c>
      <c r="J42">
        <v>0</v>
      </c>
      <c r="K42">
        <v>1</v>
      </c>
      <c r="L42" t="s">
        <v>34</v>
      </c>
    </row>
    <row r="43" spans="1:12" x14ac:dyDescent="0.25">
      <c r="A43" t="s">
        <v>120</v>
      </c>
      <c r="B43" s="6">
        <v>46266</v>
      </c>
      <c r="C43" t="s">
        <v>22</v>
      </c>
      <c r="D43" t="s">
        <v>18</v>
      </c>
      <c r="E43">
        <v>1.02</v>
      </c>
      <c r="F43">
        <v>2.56</v>
      </c>
      <c r="G43">
        <v>1</v>
      </c>
      <c r="H43">
        <v>2</v>
      </c>
      <c r="I43">
        <v>3.58</v>
      </c>
      <c r="J43">
        <v>3</v>
      </c>
      <c r="K43">
        <v>1</v>
      </c>
      <c r="L43" t="s">
        <v>34</v>
      </c>
    </row>
    <row r="44" spans="1:12" x14ac:dyDescent="0.25">
      <c r="A44" t="s">
        <v>121</v>
      </c>
      <c r="B44" s="6">
        <v>46267</v>
      </c>
      <c r="C44" t="s">
        <v>1</v>
      </c>
      <c r="D44" t="s">
        <v>2</v>
      </c>
      <c r="E44">
        <v>1.97</v>
      </c>
      <c r="F44">
        <v>2.4</v>
      </c>
      <c r="G44">
        <v>2</v>
      </c>
      <c r="H44">
        <v>1</v>
      </c>
      <c r="I44">
        <v>4.37</v>
      </c>
      <c r="J44">
        <v>3</v>
      </c>
      <c r="K44">
        <v>1</v>
      </c>
      <c r="L44" t="s">
        <v>34</v>
      </c>
    </row>
    <row r="45" spans="1:12" x14ac:dyDescent="0.25">
      <c r="A45" t="s">
        <v>122</v>
      </c>
      <c r="B45" s="6">
        <v>46267</v>
      </c>
      <c r="C45" t="s">
        <v>5</v>
      </c>
      <c r="D45" t="s">
        <v>0</v>
      </c>
      <c r="E45">
        <v>0.93</v>
      </c>
      <c r="F45">
        <v>1.43</v>
      </c>
      <c r="G45">
        <v>4</v>
      </c>
      <c r="H45">
        <v>1</v>
      </c>
      <c r="I45">
        <v>2.36</v>
      </c>
      <c r="J45">
        <v>5</v>
      </c>
      <c r="K45">
        <v>1</v>
      </c>
      <c r="L45" t="s">
        <v>34</v>
      </c>
    </row>
    <row r="46" spans="1:12" x14ac:dyDescent="0.25">
      <c r="A46" t="s">
        <v>123</v>
      </c>
      <c r="B46" s="6">
        <v>46267</v>
      </c>
      <c r="C46" t="s">
        <v>11</v>
      </c>
      <c r="D46" t="s">
        <v>20</v>
      </c>
      <c r="E46">
        <v>1.4</v>
      </c>
      <c r="F46">
        <v>0.84</v>
      </c>
      <c r="G46">
        <v>2</v>
      </c>
      <c r="H46">
        <v>0</v>
      </c>
      <c r="I46">
        <v>2.2399999999999998</v>
      </c>
      <c r="J46">
        <v>2</v>
      </c>
      <c r="K46">
        <v>1</v>
      </c>
      <c r="L46" t="s">
        <v>34</v>
      </c>
    </row>
    <row r="47" spans="1:12" x14ac:dyDescent="0.25">
      <c r="A47" t="s">
        <v>124</v>
      </c>
      <c r="B47" s="6">
        <v>46267</v>
      </c>
      <c r="C47" t="s">
        <v>17</v>
      </c>
      <c r="D47" t="s">
        <v>12</v>
      </c>
      <c r="E47">
        <v>2.35</v>
      </c>
      <c r="F47">
        <v>2.8</v>
      </c>
      <c r="G47">
        <v>5</v>
      </c>
      <c r="H47">
        <v>0</v>
      </c>
      <c r="I47">
        <v>5.15</v>
      </c>
      <c r="J47">
        <v>5</v>
      </c>
      <c r="K47">
        <v>1</v>
      </c>
      <c r="L47" t="s">
        <v>34</v>
      </c>
    </row>
    <row r="48" spans="1:12" x14ac:dyDescent="0.25">
      <c r="A48" t="s">
        <v>125</v>
      </c>
      <c r="B48" s="6">
        <v>46267</v>
      </c>
      <c r="C48" t="s">
        <v>21</v>
      </c>
      <c r="D48" t="s">
        <v>33</v>
      </c>
      <c r="E48">
        <v>2.68</v>
      </c>
      <c r="F48">
        <v>1.37</v>
      </c>
      <c r="G48">
        <v>3</v>
      </c>
      <c r="H48">
        <v>1</v>
      </c>
      <c r="I48">
        <v>4.0500000000000007</v>
      </c>
      <c r="J48">
        <v>4</v>
      </c>
      <c r="K48">
        <v>1</v>
      </c>
      <c r="L48" t="s">
        <v>34</v>
      </c>
    </row>
    <row r="49" spans="1:12" x14ac:dyDescent="0.25">
      <c r="A49" t="s">
        <v>126</v>
      </c>
      <c r="B49" s="6">
        <v>46270</v>
      </c>
      <c r="C49" t="s">
        <v>1</v>
      </c>
      <c r="D49" t="s">
        <v>19</v>
      </c>
      <c r="E49">
        <v>1.83</v>
      </c>
      <c r="F49">
        <v>1.93</v>
      </c>
      <c r="G49">
        <v>1</v>
      </c>
      <c r="H49">
        <v>5</v>
      </c>
      <c r="I49">
        <v>3.76</v>
      </c>
      <c r="J49">
        <v>6</v>
      </c>
      <c r="K49">
        <v>1</v>
      </c>
      <c r="L49" t="s">
        <v>34</v>
      </c>
    </row>
    <row r="50" spans="1:12" x14ac:dyDescent="0.25">
      <c r="A50" t="s">
        <v>127</v>
      </c>
      <c r="B50" s="6">
        <v>46270</v>
      </c>
      <c r="C50" t="s">
        <v>3</v>
      </c>
      <c r="D50" t="s">
        <v>12</v>
      </c>
      <c r="E50">
        <v>1.03</v>
      </c>
      <c r="F50">
        <v>0.48</v>
      </c>
      <c r="G50">
        <v>1</v>
      </c>
      <c r="H50">
        <v>0</v>
      </c>
      <c r="I50">
        <v>1.51</v>
      </c>
      <c r="J50">
        <v>1</v>
      </c>
      <c r="K50">
        <v>1</v>
      </c>
      <c r="L50" t="s">
        <v>34</v>
      </c>
    </row>
    <row r="51" spans="1:12" x14ac:dyDescent="0.25">
      <c r="A51" t="s">
        <v>128</v>
      </c>
      <c r="B51" s="6">
        <v>46270</v>
      </c>
      <c r="C51" t="s">
        <v>5</v>
      </c>
      <c r="D51" t="s">
        <v>6</v>
      </c>
      <c r="E51">
        <v>2.31</v>
      </c>
      <c r="F51">
        <v>0.9</v>
      </c>
      <c r="G51">
        <v>2</v>
      </c>
      <c r="H51">
        <v>2</v>
      </c>
      <c r="I51">
        <v>3.21</v>
      </c>
      <c r="J51">
        <v>4</v>
      </c>
      <c r="K51">
        <v>1</v>
      </c>
      <c r="L51" t="s">
        <v>34</v>
      </c>
    </row>
    <row r="52" spans="1:12" x14ac:dyDescent="0.25">
      <c r="A52" t="s">
        <v>129</v>
      </c>
      <c r="B52" s="6">
        <v>46270</v>
      </c>
      <c r="C52" t="s">
        <v>7</v>
      </c>
      <c r="D52" t="s">
        <v>16</v>
      </c>
      <c r="E52">
        <v>2.33</v>
      </c>
      <c r="F52">
        <v>2.65</v>
      </c>
      <c r="G52">
        <v>2</v>
      </c>
      <c r="H52">
        <v>3</v>
      </c>
      <c r="I52">
        <v>4.9800000000000004</v>
      </c>
      <c r="J52">
        <v>5</v>
      </c>
      <c r="K52">
        <v>1</v>
      </c>
      <c r="L52" t="s">
        <v>34</v>
      </c>
    </row>
    <row r="53" spans="1:12" x14ac:dyDescent="0.25">
      <c r="A53" t="s">
        <v>130</v>
      </c>
      <c r="B53" s="6">
        <v>46270</v>
      </c>
      <c r="C53" t="s">
        <v>8</v>
      </c>
      <c r="D53" t="s">
        <v>13</v>
      </c>
      <c r="E53">
        <v>1.41</v>
      </c>
      <c r="F53">
        <v>1.24</v>
      </c>
      <c r="G53">
        <v>1</v>
      </c>
      <c r="H53">
        <v>1</v>
      </c>
      <c r="I53">
        <v>2.65</v>
      </c>
      <c r="J53">
        <v>2</v>
      </c>
      <c r="K53">
        <v>1</v>
      </c>
      <c r="L53" t="s">
        <v>34</v>
      </c>
    </row>
    <row r="54" spans="1:12" x14ac:dyDescent="0.25">
      <c r="A54" t="s">
        <v>131</v>
      </c>
      <c r="B54" s="6">
        <v>46270</v>
      </c>
      <c r="C54" t="s">
        <v>9</v>
      </c>
      <c r="D54" t="s">
        <v>14</v>
      </c>
      <c r="E54">
        <v>1.03</v>
      </c>
      <c r="F54">
        <v>2.31</v>
      </c>
      <c r="G54">
        <v>0</v>
      </c>
      <c r="H54">
        <v>4</v>
      </c>
      <c r="I54">
        <v>3.34</v>
      </c>
      <c r="J54">
        <v>4</v>
      </c>
      <c r="K54">
        <v>1</v>
      </c>
      <c r="L54" t="s">
        <v>34</v>
      </c>
    </row>
    <row r="55" spans="1:12" x14ac:dyDescent="0.25">
      <c r="A55" t="s">
        <v>132</v>
      </c>
      <c r="B55" s="6">
        <v>46270</v>
      </c>
      <c r="C55" t="s">
        <v>11</v>
      </c>
      <c r="D55" t="s">
        <v>10</v>
      </c>
      <c r="E55">
        <v>2.21</v>
      </c>
      <c r="F55">
        <v>0.56000000000000005</v>
      </c>
      <c r="G55">
        <v>1</v>
      </c>
      <c r="H55">
        <v>1</v>
      </c>
      <c r="I55">
        <v>2.77</v>
      </c>
      <c r="J55">
        <v>2</v>
      </c>
      <c r="K55">
        <v>1</v>
      </c>
      <c r="L55" t="s">
        <v>34</v>
      </c>
    </row>
    <row r="56" spans="1:12" x14ac:dyDescent="0.25">
      <c r="A56" t="s">
        <v>133</v>
      </c>
      <c r="B56" s="6">
        <v>46270</v>
      </c>
      <c r="C56" t="s">
        <v>15</v>
      </c>
      <c r="D56" t="s">
        <v>18</v>
      </c>
      <c r="E56">
        <v>1.97</v>
      </c>
      <c r="F56">
        <v>1.36</v>
      </c>
      <c r="G56">
        <v>1</v>
      </c>
      <c r="H56">
        <v>2</v>
      </c>
      <c r="I56">
        <v>3.33</v>
      </c>
      <c r="J56">
        <v>3</v>
      </c>
      <c r="K56">
        <v>1</v>
      </c>
      <c r="L56" t="s">
        <v>34</v>
      </c>
    </row>
    <row r="57" spans="1:12" x14ac:dyDescent="0.25">
      <c r="A57" t="s">
        <v>134</v>
      </c>
      <c r="B57" s="6">
        <v>46270</v>
      </c>
      <c r="C57" t="s">
        <v>17</v>
      </c>
      <c r="D57" t="s">
        <v>2</v>
      </c>
      <c r="E57">
        <v>3.5</v>
      </c>
      <c r="F57">
        <v>0.51</v>
      </c>
      <c r="G57">
        <v>3</v>
      </c>
      <c r="H57">
        <v>1</v>
      </c>
      <c r="I57">
        <v>4.01</v>
      </c>
      <c r="J57">
        <v>4</v>
      </c>
      <c r="K57">
        <v>1</v>
      </c>
      <c r="L57" t="s">
        <v>34</v>
      </c>
    </row>
    <row r="58" spans="1:12" x14ac:dyDescent="0.25">
      <c r="A58" t="s">
        <v>135</v>
      </c>
      <c r="B58" s="6">
        <v>46270</v>
      </c>
      <c r="C58" t="s">
        <v>21</v>
      </c>
      <c r="D58" t="s">
        <v>20</v>
      </c>
      <c r="E58">
        <v>0.73</v>
      </c>
      <c r="F58">
        <v>2.15</v>
      </c>
      <c r="G58">
        <v>0</v>
      </c>
      <c r="H58">
        <v>4</v>
      </c>
      <c r="I58">
        <v>2.88</v>
      </c>
      <c r="J58">
        <v>4</v>
      </c>
      <c r="K58">
        <v>1</v>
      </c>
      <c r="L58" t="s">
        <v>34</v>
      </c>
    </row>
    <row r="59" spans="1:12" x14ac:dyDescent="0.25">
      <c r="A59" t="s">
        <v>136</v>
      </c>
      <c r="B59" s="6">
        <v>46270</v>
      </c>
      <c r="C59" t="s">
        <v>22</v>
      </c>
      <c r="D59" t="s">
        <v>33</v>
      </c>
      <c r="E59">
        <v>0.89</v>
      </c>
      <c r="F59">
        <v>1.65</v>
      </c>
      <c r="G59">
        <v>3</v>
      </c>
      <c r="H59">
        <v>3</v>
      </c>
      <c r="I59">
        <v>2.54</v>
      </c>
      <c r="J59">
        <v>6</v>
      </c>
      <c r="K59">
        <v>1</v>
      </c>
      <c r="L59" t="s">
        <v>34</v>
      </c>
    </row>
    <row r="60" spans="1:12" x14ac:dyDescent="0.25">
      <c r="A60" t="s">
        <v>137</v>
      </c>
      <c r="B60" s="6">
        <v>46272</v>
      </c>
      <c r="C60" t="s">
        <v>4</v>
      </c>
      <c r="D60" t="s">
        <v>0</v>
      </c>
      <c r="E60">
        <v>0.55000000000000004</v>
      </c>
      <c r="F60">
        <v>1.22</v>
      </c>
      <c r="G60">
        <v>0</v>
      </c>
      <c r="H60">
        <v>2</v>
      </c>
      <c r="I60">
        <v>1.77</v>
      </c>
      <c r="J60">
        <v>2</v>
      </c>
      <c r="K60">
        <v>1</v>
      </c>
      <c r="L60" t="s">
        <v>34</v>
      </c>
    </row>
    <row r="61" spans="1:12" x14ac:dyDescent="0.25">
      <c r="A61" t="s">
        <v>138</v>
      </c>
      <c r="B61" s="6">
        <v>46273</v>
      </c>
      <c r="C61" t="s">
        <v>14</v>
      </c>
      <c r="D61" t="s">
        <v>17</v>
      </c>
      <c r="K61">
        <v>1</v>
      </c>
      <c r="L61" t="s">
        <v>34</v>
      </c>
    </row>
    <row r="62" spans="1:12" x14ac:dyDescent="0.25">
      <c r="A62" t="s">
        <v>139</v>
      </c>
      <c r="B62" s="6">
        <v>46275</v>
      </c>
      <c r="C62" t="s">
        <v>19</v>
      </c>
      <c r="D62" t="s">
        <v>11</v>
      </c>
      <c r="E62">
        <v>1.31</v>
      </c>
      <c r="F62">
        <v>0.89</v>
      </c>
      <c r="G62">
        <v>2</v>
      </c>
      <c r="H62">
        <v>1</v>
      </c>
      <c r="I62">
        <v>2.2000000000000002</v>
      </c>
      <c r="J62">
        <v>3</v>
      </c>
      <c r="K62">
        <v>1</v>
      </c>
      <c r="L62" t="s">
        <v>34</v>
      </c>
    </row>
    <row r="63" spans="1:12" x14ac:dyDescent="0.25">
      <c r="A63" t="s">
        <v>140</v>
      </c>
      <c r="B63" s="6">
        <v>46277</v>
      </c>
      <c r="C63" t="s">
        <v>0</v>
      </c>
      <c r="D63" t="s">
        <v>7</v>
      </c>
      <c r="E63">
        <v>0.81</v>
      </c>
      <c r="F63">
        <v>2.41</v>
      </c>
      <c r="G63">
        <v>1</v>
      </c>
      <c r="H63">
        <v>0</v>
      </c>
      <c r="I63">
        <v>3.22</v>
      </c>
      <c r="J63">
        <v>1</v>
      </c>
      <c r="K63">
        <v>1</v>
      </c>
      <c r="L63" t="s">
        <v>34</v>
      </c>
    </row>
    <row r="64" spans="1:12" x14ac:dyDescent="0.25">
      <c r="A64" t="s">
        <v>141</v>
      </c>
      <c r="B64" s="6">
        <v>46277</v>
      </c>
      <c r="C64" t="s">
        <v>2</v>
      </c>
      <c r="D64" t="s">
        <v>4</v>
      </c>
      <c r="E64">
        <v>1.17</v>
      </c>
      <c r="F64">
        <v>1.38</v>
      </c>
      <c r="G64">
        <v>2</v>
      </c>
      <c r="H64">
        <v>2</v>
      </c>
      <c r="I64">
        <v>2.5499999999999998</v>
      </c>
      <c r="J64">
        <v>4</v>
      </c>
      <c r="K64">
        <v>1</v>
      </c>
      <c r="L64" t="s">
        <v>34</v>
      </c>
    </row>
    <row r="65" spans="1:12" x14ac:dyDescent="0.25">
      <c r="A65" t="s">
        <v>142</v>
      </c>
      <c r="B65" s="6">
        <v>46277</v>
      </c>
      <c r="C65" t="s">
        <v>6</v>
      </c>
      <c r="D65" t="s">
        <v>17</v>
      </c>
      <c r="E65">
        <v>0.94</v>
      </c>
      <c r="F65">
        <v>1.99</v>
      </c>
      <c r="G65">
        <v>2</v>
      </c>
      <c r="H65">
        <v>1</v>
      </c>
      <c r="I65">
        <v>2.9299999999999997</v>
      </c>
      <c r="J65">
        <v>3</v>
      </c>
      <c r="K65">
        <v>1</v>
      </c>
      <c r="L65" t="s">
        <v>34</v>
      </c>
    </row>
    <row r="66" spans="1:12" x14ac:dyDescent="0.25">
      <c r="A66" t="s">
        <v>143</v>
      </c>
      <c r="B66" s="6">
        <v>46277</v>
      </c>
      <c r="C66" t="s">
        <v>10</v>
      </c>
      <c r="D66" t="s">
        <v>22</v>
      </c>
      <c r="E66">
        <v>0.88</v>
      </c>
      <c r="F66">
        <v>1.1599999999999999</v>
      </c>
      <c r="G66">
        <v>2</v>
      </c>
      <c r="H66">
        <v>3</v>
      </c>
      <c r="I66">
        <v>2.04</v>
      </c>
      <c r="J66">
        <v>5</v>
      </c>
      <c r="K66">
        <v>1</v>
      </c>
      <c r="L66" t="s">
        <v>34</v>
      </c>
    </row>
    <row r="67" spans="1:12" x14ac:dyDescent="0.25">
      <c r="A67" t="s">
        <v>144</v>
      </c>
      <c r="B67" s="6">
        <v>46277</v>
      </c>
      <c r="C67" t="s">
        <v>12</v>
      </c>
      <c r="D67" t="s">
        <v>8</v>
      </c>
      <c r="E67">
        <v>0.86</v>
      </c>
      <c r="F67">
        <v>1.36</v>
      </c>
      <c r="G67">
        <v>0</v>
      </c>
      <c r="H67">
        <v>0</v>
      </c>
      <c r="I67">
        <v>2.2200000000000002</v>
      </c>
      <c r="J67">
        <v>0</v>
      </c>
      <c r="K67">
        <v>1</v>
      </c>
      <c r="L67" t="s">
        <v>34</v>
      </c>
    </row>
    <row r="68" spans="1:12" x14ac:dyDescent="0.25">
      <c r="A68" t="s">
        <v>145</v>
      </c>
      <c r="B68" s="6">
        <v>46277</v>
      </c>
      <c r="C68" t="s">
        <v>33</v>
      </c>
      <c r="D68" t="s">
        <v>15</v>
      </c>
      <c r="E68">
        <v>1.24</v>
      </c>
      <c r="F68">
        <v>1.21</v>
      </c>
      <c r="G68">
        <v>1</v>
      </c>
      <c r="H68">
        <v>1</v>
      </c>
      <c r="I68">
        <v>2.4500000000000002</v>
      </c>
      <c r="J68">
        <v>2</v>
      </c>
      <c r="K68">
        <v>1</v>
      </c>
      <c r="L68" t="s">
        <v>34</v>
      </c>
    </row>
    <row r="69" spans="1:12" x14ac:dyDescent="0.25">
      <c r="A69" t="s">
        <v>146</v>
      </c>
      <c r="B69" s="6">
        <v>46277</v>
      </c>
      <c r="C69" t="s">
        <v>13</v>
      </c>
      <c r="D69" t="s">
        <v>3</v>
      </c>
      <c r="E69">
        <v>0.49</v>
      </c>
      <c r="F69">
        <v>0.5</v>
      </c>
      <c r="G69">
        <v>0</v>
      </c>
      <c r="H69">
        <v>1</v>
      </c>
      <c r="I69">
        <v>0.99</v>
      </c>
      <c r="J69">
        <v>1</v>
      </c>
      <c r="K69">
        <v>1</v>
      </c>
      <c r="L69" t="s">
        <v>34</v>
      </c>
    </row>
    <row r="70" spans="1:12" x14ac:dyDescent="0.25">
      <c r="A70" t="s">
        <v>147</v>
      </c>
      <c r="B70" s="6">
        <v>46277</v>
      </c>
      <c r="C70" t="s">
        <v>14</v>
      </c>
      <c r="D70" t="s">
        <v>5</v>
      </c>
      <c r="E70">
        <v>1.21</v>
      </c>
      <c r="F70">
        <v>0.47</v>
      </c>
      <c r="G70">
        <v>3</v>
      </c>
      <c r="H70">
        <v>0</v>
      </c>
      <c r="I70">
        <v>1.68</v>
      </c>
      <c r="J70">
        <v>3</v>
      </c>
      <c r="K70">
        <v>1</v>
      </c>
      <c r="L70" t="s">
        <v>34</v>
      </c>
    </row>
    <row r="71" spans="1:12" x14ac:dyDescent="0.25">
      <c r="A71" t="s">
        <v>148</v>
      </c>
      <c r="B71" s="6">
        <v>46277</v>
      </c>
      <c r="C71" t="s">
        <v>16</v>
      </c>
      <c r="D71" t="s">
        <v>1</v>
      </c>
      <c r="E71">
        <v>0.99</v>
      </c>
      <c r="F71">
        <v>0.77</v>
      </c>
      <c r="G71">
        <v>3</v>
      </c>
      <c r="H71">
        <v>0</v>
      </c>
      <c r="I71">
        <v>1.76</v>
      </c>
      <c r="J71">
        <v>3</v>
      </c>
      <c r="K71">
        <v>1</v>
      </c>
      <c r="L71" t="s">
        <v>34</v>
      </c>
    </row>
    <row r="72" spans="1:12" x14ac:dyDescent="0.25">
      <c r="A72" t="s">
        <v>149</v>
      </c>
      <c r="B72" s="6">
        <v>46277</v>
      </c>
      <c r="C72" t="s">
        <v>18</v>
      </c>
      <c r="D72" t="s">
        <v>21</v>
      </c>
      <c r="E72">
        <v>0.82</v>
      </c>
      <c r="F72">
        <v>1.59</v>
      </c>
      <c r="G72">
        <v>0</v>
      </c>
      <c r="H72">
        <v>0</v>
      </c>
      <c r="I72">
        <v>2.41</v>
      </c>
      <c r="J72">
        <v>0</v>
      </c>
      <c r="K72">
        <v>1</v>
      </c>
      <c r="L72" t="s">
        <v>34</v>
      </c>
    </row>
    <row r="73" spans="1:12" x14ac:dyDescent="0.25">
      <c r="A73" t="s">
        <v>150</v>
      </c>
      <c r="B73" s="6">
        <v>46277</v>
      </c>
      <c r="C73" t="s">
        <v>20</v>
      </c>
      <c r="D73" t="s">
        <v>9</v>
      </c>
      <c r="E73">
        <v>2.29</v>
      </c>
      <c r="F73">
        <v>1.21</v>
      </c>
      <c r="G73">
        <v>3</v>
      </c>
      <c r="H73">
        <v>4</v>
      </c>
      <c r="I73">
        <v>3.5</v>
      </c>
      <c r="J73">
        <v>7</v>
      </c>
      <c r="K73">
        <v>1</v>
      </c>
      <c r="L73" t="s">
        <v>34</v>
      </c>
    </row>
    <row r="74" spans="1:12" x14ac:dyDescent="0.25">
      <c r="A74" t="s">
        <v>151</v>
      </c>
      <c r="B74" s="6">
        <v>46282</v>
      </c>
      <c r="C74" t="s">
        <v>0</v>
      </c>
      <c r="D74" t="s">
        <v>33</v>
      </c>
      <c r="K74">
        <v>1</v>
      </c>
      <c r="L74" t="s">
        <v>34</v>
      </c>
    </row>
    <row r="75" spans="1:12" x14ac:dyDescent="0.25">
      <c r="A75" t="s">
        <v>152</v>
      </c>
      <c r="B75" s="6">
        <v>46284</v>
      </c>
      <c r="C75" t="s">
        <v>1</v>
      </c>
      <c r="D75" t="s">
        <v>9</v>
      </c>
      <c r="K75">
        <v>1</v>
      </c>
      <c r="L75" t="s">
        <v>34</v>
      </c>
    </row>
    <row r="76" spans="1:12" x14ac:dyDescent="0.25">
      <c r="A76" t="s">
        <v>153</v>
      </c>
      <c r="B76" s="6">
        <v>46284</v>
      </c>
      <c r="C76" t="s">
        <v>2</v>
      </c>
      <c r="D76" t="s">
        <v>16</v>
      </c>
      <c r="K76">
        <v>1</v>
      </c>
      <c r="L76" t="s">
        <v>34</v>
      </c>
    </row>
    <row r="77" spans="1:12" x14ac:dyDescent="0.25">
      <c r="A77" t="s">
        <v>154</v>
      </c>
      <c r="B77" s="6">
        <v>46284</v>
      </c>
      <c r="C77" t="s">
        <v>4</v>
      </c>
      <c r="D77" t="s">
        <v>8</v>
      </c>
      <c r="K77">
        <v>1</v>
      </c>
      <c r="L77" t="s">
        <v>34</v>
      </c>
    </row>
    <row r="78" spans="1:12" x14ac:dyDescent="0.25">
      <c r="A78" t="s">
        <v>155</v>
      </c>
      <c r="B78" s="6">
        <v>46284</v>
      </c>
      <c r="C78" t="s">
        <v>5</v>
      </c>
      <c r="D78" t="s">
        <v>12</v>
      </c>
      <c r="K78">
        <v>1</v>
      </c>
      <c r="L78" t="s">
        <v>34</v>
      </c>
    </row>
    <row r="79" spans="1:12" x14ac:dyDescent="0.25">
      <c r="A79" t="s">
        <v>156</v>
      </c>
      <c r="B79" s="6">
        <v>46284</v>
      </c>
      <c r="C79" t="s">
        <v>10</v>
      </c>
      <c r="D79" t="s">
        <v>19</v>
      </c>
      <c r="K79">
        <v>1</v>
      </c>
      <c r="L79" t="s">
        <v>34</v>
      </c>
    </row>
    <row r="80" spans="1:12" x14ac:dyDescent="0.25">
      <c r="A80" t="s">
        <v>157</v>
      </c>
      <c r="B80" s="6">
        <v>46284</v>
      </c>
      <c r="C80" t="s">
        <v>11</v>
      </c>
      <c r="D80" t="s">
        <v>3</v>
      </c>
      <c r="K80">
        <v>1</v>
      </c>
      <c r="L80" t="s">
        <v>34</v>
      </c>
    </row>
    <row r="81" spans="1:12" x14ac:dyDescent="0.25">
      <c r="A81" t="s">
        <v>158</v>
      </c>
      <c r="B81" s="6">
        <v>46284</v>
      </c>
      <c r="C81" t="s">
        <v>14</v>
      </c>
      <c r="D81" t="s">
        <v>6</v>
      </c>
      <c r="K81">
        <v>1</v>
      </c>
      <c r="L81" t="s">
        <v>34</v>
      </c>
    </row>
    <row r="82" spans="1:12" x14ac:dyDescent="0.25">
      <c r="A82" t="s">
        <v>159</v>
      </c>
      <c r="B82" s="6">
        <v>46284</v>
      </c>
      <c r="C82" t="s">
        <v>15</v>
      </c>
      <c r="D82" t="s">
        <v>7</v>
      </c>
      <c r="K82">
        <v>1</v>
      </c>
      <c r="L82" t="s">
        <v>34</v>
      </c>
    </row>
    <row r="83" spans="1:12" x14ac:dyDescent="0.25">
      <c r="A83" t="s">
        <v>160</v>
      </c>
      <c r="B83" s="6">
        <v>46284</v>
      </c>
      <c r="C83" t="s">
        <v>17</v>
      </c>
      <c r="D83" t="s">
        <v>13</v>
      </c>
      <c r="K83">
        <v>1</v>
      </c>
      <c r="L83" t="s">
        <v>34</v>
      </c>
    </row>
    <row r="84" spans="1:12" x14ac:dyDescent="0.25">
      <c r="A84" t="s">
        <v>161</v>
      </c>
      <c r="B84" s="6">
        <v>46284</v>
      </c>
      <c r="C84" t="s">
        <v>18</v>
      </c>
      <c r="D84" t="s">
        <v>20</v>
      </c>
      <c r="K84">
        <v>1</v>
      </c>
      <c r="L84" t="s">
        <v>34</v>
      </c>
    </row>
    <row r="85" spans="1:12" x14ac:dyDescent="0.25">
      <c r="A85" t="s">
        <v>162</v>
      </c>
      <c r="B85" s="6">
        <v>46284</v>
      </c>
      <c r="C85" t="s">
        <v>21</v>
      </c>
      <c r="D85" t="s">
        <v>22</v>
      </c>
      <c r="K85">
        <v>1</v>
      </c>
      <c r="L85" t="s">
        <v>34</v>
      </c>
    </row>
    <row r="86" spans="1:12" x14ac:dyDescent="0.25">
      <c r="A86" t="s">
        <v>163</v>
      </c>
      <c r="B86" s="6">
        <v>46291</v>
      </c>
      <c r="C86" t="s">
        <v>3</v>
      </c>
      <c r="D86" t="s">
        <v>1</v>
      </c>
      <c r="K86">
        <v>1</v>
      </c>
      <c r="L86" t="s">
        <v>34</v>
      </c>
    </row>
    <row r="87" spans="1:12" x14ac:dyDescent="0.25">
      <c r="A87" t="s">
        <v>164</v>
      </c>
      <c r="B87" s="6">
        <v>46291</v>
      </c>
      <c r="C87" t="s">
        <v>6</v>
      </c>
      <c r="D87" t="s">
        <v>0</v>
      </c>
      <c r="K87">
        <v>1</v>
      </c>
      <c r="L87" t="s">
        <v>34</v>
      </c>
    </row>
    <row r="88" spans="1:12" x14ac:dyDescent="0.25">
      <c r="A88" t="s">
        <v>165</v>
      </c>
      <c r="B88" s="6">
        <v>46291</v>
      </c>
      <c r="C88" t="s">
        <v>7</v>
      </c>
      <c r="D88" t="s">
        <v>14</v>
      </c>
      <c r="K88">
        <v>1</v>
      </c>
      <c r="L88" t="s">
        <v>34</v>
      </c>
    </row>
    <row r="89" spans="1:12" x14ac:dyDescent="0.25">
      <c r="A89" t="s">
        <v>166</v>
      </c>
      <c r="B89" s="6">
        <v>46291</v>
      </c>
      <c r="C89" t="s">
        <v>8</v>
      </c>
      <c r="D89" t="s">
        <v>11</v>
      </c>
      <c r="K89">
        <v>1</v>
      </c>
      <c r="L89" t="s">
        <v>34</v>
      </c>
    </row>
    <row r="90" spans="1:12" x14ac:dyDescent="0.25">
      <c r="A90" t="s">
        <v>167</v>
      </c>
      <c r="B90" s="6">
        <v>46291</v>
      </c>
      <c r="C90" t="s">
        <v>9</v>
      </c>
      <c r="D90" t="s">
        <v>21</v>
      </c>
      <c r="K90">
        <v>1</v>
      </c>
      <c r="L90" t="s">
        <v>34</v>
      </c>
    </row>
    <row r="91" spans="1:12" x14ac:dyDescent="0.25">
      <c r="A91" t="s">
        <v>168</v>
      </c>
      <c r="B91" s="6">
        <v>46291</v>
      </c>
      <c r="C91" t="s">
        <v>12</v>
      </c>
      <c r="D91" t="s">
        <v>10</v>
      </c>
      <c r="K91">
        <v>1</v>
      </c>
      <c r="L91" t="s">
        <v>34</v>
      </c>
    </row>
    <row r="92" spans="1:12" x14ac:dyDescent="0.25">
      <c r="A92" t="s">
        <v>169</v>
      </c>
      <c r="B92" s="6">
        <v>46291</v>
      </c>
      <c r="C92" t="s">
        <v>33</v>
      </c>
      <c r="D92" t="s">
        <v>4</v>
      </c>
      <c r="K92">
        <v>1</v>
      </c>
      <c r="L92" t="s">
        <v>34</v>
      </c>
    </row>
    <row r="93" spans="1:12" x14ac:dyDescent="0.25">
      <c r="A93" t="s">
        <v>170</v>
      </c>
      <c r="B93" s="6">
        <v>46291</v>
      </c>
      <c r="C93" t="s">
        <v>13</v>
      </c>
      <c r="D93" t="s">
        <v>2</v>
      </c>
      <c r="K93">
        <v>1</v>
      </c>
      <c r="L93" t="s">
        <v>34</v>
      </c>
    </row>
    <row r="94" spans="1:12" x14ac:dyDescent="0.25">
      <c r="A94" t="s">
        <v>171</v>
      </c>
      <c r="B94" s="6">
        <v>46291</v>
      </c>
      <c r="C94" t="s">
        <v>16</v>
      </c>
      <c r="D94" t="s">
        <v>5</v>
      </c>
      <c r="K94">
        <v>1</v>
      </c>
      <c r="L94" t="s">
        <v>34</v>
      </c>
    </row>
    <row r="95" spans="1:12" x14ac:dyDescent="0.25">
      <c r="A95" t="s">
        <v>172</v>
      </c>
      <c r="B95" s="6">
        <v>46291</v>
      </c>
      <c r="C95" t="s">
        <v>19</v>
      </c>
      <c r="D95" t="s">
        <v>18</v>
      </c>
      <c r="K95">
        <v>1</v>
      </c>
      <c r="L95" t="s">
        <v>34</v>
      </c>
    </row>
    <row r="96" spans="1:12" x14ac:dyDescent="0.25">
      <c r="A96" t="s">
        <v>173</v>
      </c>
      <c r="B96" s="6">
        <v>46291</v>
      </c>
      <c r="C96" t="s">
        <v>20</v>
      </c>
      <c r="D96" t="s">
        <v>15</v>
      </c>
      <c r="K96">
        <v>1</v>
      </c>
      <c r="L96" t="s">
        <v>34</v>
      </c>
    </row>
    <row r="97" spans="1:12" x14ac:dyDescent="0.25">
      <c r="A97" t="s">
        <v>174</v>
      </c>
      <c r="B97" s="6">
        <v>46291</v>
      </c>
      <c r="C97" t="s">
        <v>22</v>
      </c>
      <c r="D97" t="s">
        <v>17</v>
      </c>
      <c r="K97">
        <v>1</v>
      </c>
      <c r="L97" t="s">
        <v>34</v>
      </c>
    </row>
    <row r="98" spans="1:12" x14ac:dyDescent="0.25">
      <c r="A98" t="s">
        <v>175</v>
      </c>
      <c r="B98" s="6">
        <v>46298</v>
      </c>
      <c r="C98" t="s">
        <v>0</v>
      </c>
      <c r="D98" t="s">
        <v>19</v>
      </c>
      <c r="K98">
        <v>1</v>
      </c>
      <c r="L98" t="s">
        <v>34</v>
      </c>
    </row>
    <row r="99" spans="1:12" x14ac:dyDescent="0.25">
      <c r="A99" t="s">
        <v>176</v>
      </c>
      <c r="B99" s="6">
        <v>46298</v>
      </c>
      <c r="C99" t="s">
        <v>1</v>
      </c>
      <c r="D99" t="s">
        <v>33</v>
      </c>
      <c r="K99">
        <v>1</v>
      </c>
      <c r="L99" t="s">
        <v>34</v>
      </c>
    </row>
    <row r="100" spans="1:12" x14ac:dyDescent="0.25">
      <c r="A100" t="s">
        <v>177</v>
      </c>
      <c r="B100" s="6">
        <v>46298</v>
      </c>
      <c r="C100" t="s">
        <v>2</v>
      </c>
      <c r="D100" t="s">
        <v>9</v>
      </c>
      <c r="K100">
        <v>1</v>
      </c>
      <c r="L100" t="s">
        <v>34</v>
      </c>
    </row>
    <row r="101" spans="1:12" x14ac:dyDescent="0.25">
      <c r="A101" t="s">
        <v>178</v>
      </c>
      <c r="B101" s="6">
        <v>46298</v>
      </c>
      <c r="C101" t="s">
        <v>4</v>
      </c>
      <c r="D101" t="s">
        <v>22</v>
      </c>
      <c r="K101">
        <v>1</v>
      </c>
      <c r="L101" t="s">
        <v>34</v>
      </c>
    </row>
    <row r="102" spans="1:12" x14ac:dyDescent="0.25">
      <c r="A102" t="s">
        <v>179</v>
      </c>
      <c r="B102" s="6">
        <v>46298</v>
      </c>
      <c r="C102" t="s">
        <v>5</v>
      </c>
      <c r="D102" t="s">
        <v>8</v>
      </c>
      <c r="K102">
        <v>1</v>
      </c>
      <c r="L102" t="s">
        <v>34</v>
      </c>
    </row>
    <row r="103" spans="1:12" x14ac:dyDescent="0.25">
      <c r="A103" t="s">
        <v>180</v>
      </c>
      <c r="B103" s="6">
        <v>46298</v>
      </c>
      <c r="C103" t="s">
        <v>10</v>
      </c>
      <c r="D103" t="s">
        <v>16</v>
      </c>
      <c r="K103">
        <v>1</v>
      </c>
      <c r="L103" t="s">
        <v>34</v>
      </c>
    </row>
    <row r="104" spans="1:12" x14ac:dyDescent="0.25">
      <c r="A104" t="s">
        <v>181</v>
      </c>
      <c r="B104" s="6">
        <v>46298</v>
      </c>
      <c r="C104" t="s">
        <v>11</v>
      </c>
      <c r="D104" t="s">
        <v>7</v>
      </c>
      <c r="K104">
        <v>1</v>
      </c>
      <c r="L104" t="s">
        <v>34</v>
      </c>
    </row>
    <row r="105" spans="1:12" x14ac:dyDescent="0.25">
      <c r="A105" t="s">
        <v>182</v>
      </c>
      <c r="B105" s="6">
        <v>46298</v>
      </c>
      <c r="C105" t="s">
        <v>14</v>
      </c>
      <c r="D105" t="s">
        <v>20</v>
      </c>
      <c r="K105">
        <v>1</v>
      </c>
      <c r="L105" t="s">
        <v>34</v>
      </c>
    </row>
    <row r="106" spans="1:12" x14ac:dyDescent="0.25">
      <c r="A106" t="s">
        <v>183</v>
      </c>
      <c r="B106" s="6">
        <v>46298</v>
      </c>
      <c r="C106" t="s">
        <v>15</v>
      </c>
      <c r="D106" t="s">
        <v>13</v>
      </c>
      <c r="K106">
        <v>1</v>
      </c>
      <c r="L106" t="s">
        <v>34</v>
      </c>
    </row>
    <row r="107" spans="1:12" x14ac:dyDescent="0.25">
      <c r="A107" t="s">
        <v>184</v>
      </c>
      <c r="B107" s="6">
        <v>46298</v>
      </c>
      <c r="C107" t="s">
        <v>17</v>
      </c>
      <c r="D107" t="s">
        <v>3</v>
      </c>
      <c r="K107">
        <v>1</v>
      </c>
      <c r="L107" t="s">
        <v>34</v>
      </c>
    </row>
    <row r="108" spans="1:12" x14ac:dyDescent="0.25">
      <c r="A108" t="s">
        <v>185</v>
      </c>
      <c r="B108" s="6">
        <v>46298</v>
      </c>
      <c r="C108" t="s">
        <v>18</v>
      </c>
      <c r="D108" t="s">
        <v>6</v>
      </c>
      <c r="K108">
        <v>1</v>
      </c>
      <c r="L108" t="s">
        <v>34</v>
      </c>
    </row>
    <row r="109" spans="1:12" x14ac:dyDescent="0.25">
      <c r="A109" t="s">
        <v>186</v>
      </c>
      <c r="B109" s="6">
        <v>46298</v>
      </c>
      <c r="C109" t="s">
        <v>21</v>
      </c>
      <c r="D109" t="s">
        <v>12</v>
      </c>
      <c r="K109">
        <v>1</v>
      </c>
      <c r="L109" t="s">
        <v>34</v>
      </c>
    </row>
    <row r="110" spans="1:12" x14ac:dyDescent="0.25">
      <c r="A110" t="s">
        <v>187</v>
      </c>
      <c r="B110" s="6">
        <v>46305</v>
      </c>
      <c r="C110" t="s">
        <v>3</v>
      </c>
      <c r="D110" t="s">
        <v>10</v>
      </c>
      <c r="K110">
        <v>1</v>
      </c>
      <c r="L110" t="s">
        <v>34</v>
      </c>
    </row>
    <row r="111" spans="1:12" x14ac:dyDescent="0.25">
      <c r="A111" t="s">
        <v>188</v>
      </c>
      <c r="B111" s="6">
        <v>46305</v>
      </c>
      <c r="C111" t="s">
        <v>6</v>
      </c>
      <c r="D111" t="s">
        <v>2</v>
      </c>
      <c r="K111">
        <v>1</v>
      </c>
      <c r="L111" t="s">
        <v>34</v>
      </c>
    </row>
    <row r="112" spans="1:12" x14ac:dyDescent="0.25">
      <c r="A112" t="s">
        <v>189</v>
      </c>
      <c r="B112" s="6">
        <v>46305</v>
      </c>
      <c r="C112" t="s">
        <v>7</v>
      </c>
      <c r="D112" t="s">
        <v>5</v>
      </c>
      <c r="K112">
        <v>1</v>
      </c>
      <c r="L112" t="s">
        <v>34</v>
      </c>
    </row>
    <row r="113" spans="1:12" x14ac:dyDescent="0.25">
      <c r="A113" t="s">
        <v>190</v>
      </c>
      <c r="B113" s="6">
        <v>46305</v>
      </c>
      <c r="C113" t="s">
        <v>8</v>
      </c>
      <c r="D113" t="s">
        <v>18</v>
      </c>
      <c r="K113">
        <v>1</v>
      </c>
      <c r="L113" t="s">
        <v>34</v>
      </c>
    </row>
    <row r="114" spans="1:12" x14ac:dyDescent="0.25">
      <c r="A114" t="s">
        <v>191</v>
      </c>
      <c r="B114" s="6">
        <v>46305</v>
      </c>
      <c r="C114" t="s">
        <v>9</v>
      </c>
      <c r="D114" t="s">
        <v>15</v>
      </c>
      <c r="K114">
        <v>1</v>
      </c>
      <c r="L114" t="s">
        <v>34</v>
      </c>
    </row>
    <row r="115" spans="1:12" x14ac:dyDescent="0.25">
      <c r="A115" t="s">
        <v>192</v>
      </c>
      <c r="B115" s="6">
        <v>46305</v>
      </c>
      <c r="C115" t="s">
        <v>12</v>
      </c>
      <c r="D115" t="s">
        <v>4</v>
      </c>
      <c r="K115">
        <v>1</v>
      </c>
      <c r="L115" t="s">
        <v>34</v>
      </c>
    </row>
    <row r="116" spans="1:12" x14ac:dyDescent="0.25">
      <c r="A116" t="s">
        <v>193</v>
      </c>
      <c r="B116" s="6">
        <v>46305</v>
      </c>
      <c r="C116" t="s">
        <v>33</v>
      </c>
      <c r="D116" t="s">
        <v>17</v>
      </c>
      <c r="K116">
        <v>1</v>
      </c>
      <c r="L116" t="s">
        <v>34</v>
      </c>
    </row>
    <row r="117" spans="1:12" x14ac:dyDescent="0.25">
      <c r="A117" t="s">
        <v>194</v>
      </c>
      <c r="B117" s="6">
        <v>46305</v>
      </c>
      <c r="C117" t="s">
        <v>13</v>
      </c>
      <c r="D117" t="s">
        <v>14</v>
      </c>
      <c r="K117">
        <v>1</v>
      </c>
      <c r="L117" t="s">
        <v>34</v>
      </c>
    </row>
    <row r="118" spans="1:12" x14ac:dyDescent="0.25">
      <c r="A118" t="s">
        <v>195</v>
      </c>
      <c r="B118" s="6">
        <v>46305</v>
      </c>
      <c r="C118" t="s">
        <v>16</v>
      </c>
      <c r="D118" t="s">
        <v>0</v>
      </c>
      <c r="K118">
        <v>1</v>
      </c>
      <c r="L118" t="s">
        <v>34</v>
      </c>
    </row>
    <row r="119" spans="1:12" x14ac:dyDescent="0.25">
      <c r="A119" t="s">
        <v>196</v>
      </c>
      <c r="B119" s="6">
        <v>46305</v>
      </c>
      <c r="C119" t="s">
        <v>19</v>
      </c>
      <c r="D119" t="s">
        <v>21</v>
      </c>
      <c r="K119">
        <v>1</v>
      </c>
      <c r="L119" t="s">
        <v>34</v>
      </c>
    </row>
    <row r="120" spans="1:12" x14ac:dyDescent="0.25">
      <c r="A120" t="s">
        <v>197</v>
      </c>
      <c r="B120" s="6">
        <v>46305</v>
      </c>
      <c r="C120" t="s">
        <v>20</v>
      </c>
      <c r="D120" t="s">
        <v>1</v>
      </c>
      <c r="K120">
        <v>1</v>
      </c>
      <c r="L120" t="s">
        <v>34</v>
      </c>
    </row>
    <row r="121" spans="1:12" x14ac:dyDescent="0.25">
      <c r="A121" t="s">
        <v>198</v>
      </c>
      <c r="B121" s="6">
        <v>46305</v>
      </c>
      <c r="C121" t="s">
        <v>22</v>
      </c>
      <c r="D121" t="s">
        <v>11</v>
      </c>
      <c r="K121">
        <v>1</v>
      </c>
      <c r="L121" t="s">
        <v>34</v>
      </c>
    </row>
    <row r="122" spans="1:12" x14ac:dyDescent="0.25">
      <c r="A122" t="s">
        <v>199</v>
      </c>
      <c r="B122" s="6">
        <v>46310</v>
      </c>
      <c r="C122" t="s">
        <v>12</v>
      </c>
      <c r="D122" t="s">
        <v>14</v>
      </c>
      <c r="K122">
        <v>1</v>
      </c>
      <c r="L122" t="s">
        <v>34</v>
      </c>
    </row>
    <row r="123" spans="1:12" x14ac:dyDescent="0.25">
      <c r="A123" t="s">
        <v>200</v>
      </c>
      <c r="B123" s="6">
        <v>46312</v>
      </c>
      <c r="C123" t="s">
        <v>1</v>
      </c>
      <c r="D123" t="s">
        <v>6</v>
      </c>
      <c r="K123">
        <v>1</v>
      </c>
      <c r="L123" t="s">
        <v>34</v>
      </c>
    </row>
    <row r="124" spans="1:12" x14ac:dyDescent="0.25">
      <c r="A124" t="s">
        <v>201</v>
      </c>
      <c r="B124" s="6">
        <v>46312</v>
      </c>
      <c r="C124" t="s">
        <v>3</v>
      </c>
      <c r="D124" t="s">
        <v>19</v>
      </c>
      <c r="K124">
        <v>1</v>
      </c>
      <c r="L124" t="s">
        <v>34</v>
      </c>
    </row>
    <row r="125" spans="1:12" x14ac:dyDescent="0.25">
      <c r="A125" t="s">
        <v>202</v>
      </c>
      <c r="B125" s="6">
        <v>46312</v>
      </c>
      <c r="C125" t="s">
        <v>9</v>
      </c>
      <c r="D125" t="s">
        <v>7</v>
      </c>
      <c r="K125">
        <v>1</v>
      </c>
      <c r="L125" t="s">
        <v>34</v>
      </c>
    </row>
    <row r="126" spans="1:12" x14ac:dyDescent="0.25">
      <c r="A126" t="s">
        <v>203</v>
      </c>
      <c r="B126" s="6">
        <v>46312</v>
      </c>
      <c r="C126" t="s">
        <v>10</v>
      </c>
      <c r="D126" t="s">
        <v>2</v>
      </c>
      <c r="K126">
        <v>1</v>
      </c>
      <c r="L126" t="s">
        <v>34</v>
      </c>
    </row>
    <row r="127" spans="1:12" x14ac:dyDescent="0.25">
      <c r="A127" t="s">
        <v>204</v>
      </c>
      <c r="B127" s="6">
        <v>46312</v>
      </c>
      <c r="C127" t="s">
        <v>33</v>
      </c>
      <c r="D127" t="s">
        <v>11</v>
      </c>
      <c r="K127">
        <v>1</v>
      </c>
      <c r="L127" t="s">
        <v>34</v>
      </c>
    </row>
    <row r="128" spans="1:12" x14ac:dyDescent="0.25">
      <c r="A128" t="s">
        <v>205</v>
      </c>
      <c r="B128" s="6">
        <v>46312</v>
      </c>
      <c r="C128" t="s">
        <v>15</v>
      </c>
      <c r="D128" t="s">
        <v>5</v>
      </c>
      <c r="K128">
        <v>1</v>
      </c>
      <c r="L128" t="s">
        <v>34</v>
      </c>
    </row>
    <row r="129" spans="1:12" x14ac:dyDescent="0.25">
      <c r="A129" t="s">
        <v>206</v>
      </c>
      <c r="B129" s="6">
        <v>46312</v>
      </c>
      <c r="C129" t="s">
        <v>16</v>
      </c>
      <c r="D129" t="s">
        <v>8</v>
      </c>
      <c r="K129">
        <v>1</v>
      </c>
      <c r="L129" t="s">
        <v>34</v>
      </c>
    </row>
    <row r="130" spans="1:12" x14ac:dyDescent="0.25">
      <c r="A130" t="s">
        <v>207</v>
      </c>
      <c r="B130" s="6">
        <v>46312</v>
      </c>
      <c r="C130" t="s">
        <v>18</v>
      </c>
      <c r="D130" t="s">
        <v>0</v>
      </c>
      <c r="K130">
        <v>1</v>
      </c>
      <c r="L130" t="s">
        <v>34</v>
      </c>
    </row>
    <row r="131" spans="1:12" x14ac:dyDescent="0.25">
      <c r="A131" t="s">
        <v>208</v>
      </c>
      <c r="B131" s="6">
        <v>46312</v>
      </c>
      <c r="C131" t="s">
        <v>20</v>
      </c>
      <c r="D131" t="s">
        <v>4</v>
      </c>
      <c r="K131">
        <v>1</v>
      </c>
      <c r="L131" t="s">
        <v>34</v>
      </c>
    </row>
    <row r="132" spans="1:12" x14ac:dyDescent="0.25">
      <c r="A132" t="s">
        <v>209</v>
      </c>
      <c r="B132" s="6">
        <v>46312</v>
      </c>
      <c r="C132" t="s">
        <v>21</v>
      </c>
      <c r="D132" t="s">
        <v>17</v>
      </c>
      <c r="K132">
        <v>1</v>
      </c>
      <c r="L132" t="s">
        <v>34</v>
      </c>
    </row>
    <row r="133" spans="1:12" x14ac:dyDescent="0.25">
      <c r="A133" t="s">
        <v>210</v>
      </c>
      <c r="B133" s="6">
        <v>46312</v>
      </c>
      <c r="C133" t="s">
        <v>22</v>
      </c>
      <c r="D133" t="s">
        <v>13</v>
      </c>
      <c r="K133">
        <v>1</v>
      </c>
      <c r="L133" t="s">
        <v>34</v>
      </c>
    </row>
    <row r="134" spans="1:12" x14ac:dyDescent="0.25">
      <c r="A134" t="s">
        <v>211</v>
      </c>
      <c r="B134" s="6">
        <v>46315</v>
      </c>
      <c r="C134" t="s">
        <v>0</v>
      </c>
      <c r="D134" t="s">
        <v>12</v>
      </c>
      <c r="K134">
        <v>1</v>
      </c>
      <c r="L134" t="s">
        <v>34</v>
      </c>
    </row>
    <row r="135" spans="1:12" x14ac:dyDescent="0.25">
      <c r="A135" t="s">
        <v>212</v>
      </c>
      <c r="B135" s="6">
        <v>46315</v>
      </c>
      <c r="C135" t="s">
        <v>2</v>
      </c>
      <c r="D135" t="s">
        <v>33</v>
      </c>
      <c r="K135">
        <v>1</v>
      </c>
      <c r="L135" t="s">
        <v>34</v>
      </c>
    </row>
    <row r="136" spans="1:12" x14ac:dyDescent="0.25">
      <c r="A136" t="s">
        <v>213</v>
      </c>
      <c r="B136" s="6">
        <v>46315</v>
      </c>
      <c r="C136" t="s">
        <v>4</v>
      </c>
      <c r="D136" t="s">
        <v>9</v>
      </c>
      <c r="K136">
        <v>1</v>
      </c>
      <c r="L136" t="s">
        <v>34</v>
      </c>
    </row>
    <row r="137" spans="1:12" x14ac:dyDescent="0.25">
      <c r="A137" t="s">
        <v>214</v>
      </c>
      <c r="B137" s="6">
        <v>46315</v>
      </c>
      <c r="C137" t="s">
        <v>5</v>
      </c>
      <c r="D137" t="s">
        <v>3</v>
      </c>
      <c r="K137">
        <v>1</v>
      </c>
      <c r="L137" t="s">
        <v>34</v>
      </c>
    </row>
    <row r="138" spans="1:12" x14ac:dyDescent="0.25">
      <c r="A138" t="s">
        <v>215</v>
      </c>
      <c r="B138" s="6">
        <v>46315</v>
      </c>
      <c r="C138" t="s">
        <v>6</v>
      </c>
      <c r="D138" t="s">
        <v>22</v>
      </c>
      <c r="K138">
        <v>1</v>
      </c>
      <c r="L138" t="s">
        <v>34</v>
      </c>
    </row>
    <row r="139" spans="1:12" x14ac:dyDescent="0.25">
      <c r="A139" t="s">
        <v>216</v>
      </c>
      <c r="B139" s="6">
        <v>46315</v>
      </c>
      <c r="C139" t="s">
        <v>7</v>
      </c>
      <c r="D139" t="s">
        <v>20</v>
      </c>
      <c r="K139">
        <v>1</v>
      </c>
      <c r="L139" t="s">
        <v>34</v>
      </c>
    </row>
    <row r="140" spans="1:12" x14ac:dyDescent="0.25">
      <c r="A140" t="s">
        <v>217</v>
      </c>
      <c r="B140" s="6">
        <v>46315</v>
      </c>
      <c r="C140" t="s">
        <v>8</v>
      </c>
      <c r="D140" t="s">
        <v>15</v>
      </c>
      <c r="K140">
        <v>1</v>
      </c>
      <c r="L140" t="s">
        <v>34</v>
      </c>
    </row>
    <row r="141" spans="1:12" x14ac:dyDescent="0.25">
      <c r="A141" t="s">
        <v>218</v>
      </c>
      <c r="B141" s="6">
        <v>46315</v>
      </c>
      <c r="C141" t="s">
        <v>11</v>
      </c>
      <c r="D141" t="s">
        <v>1</v>
      </c>
      <c r="K141">
        <v>1</v>
      </c>
      <c r="L141" t="s">
        <v>34</v>
      </c>
    </row>
    <row r="142" spans="1:12" x14ac:dyDescent="0.25">
      <c r="A142" t="s">
        <v>219</v>
      </c>
      <c r="B142" s="6">
        <v>46315</v>
      </c>
      <c r="C142" t="s">
        <v>13</v>
      </c>
      <c r="D142" t="s">
        <v>18</v>
      </c>
      <c r="K142">
        <v>1</v>
      </c>
      <c r="L142" t="s">
        <v>34</v>
      </c>
    </row>
    <row r="143" spans="1:12" x14ac:dyDescent="0.25">
      <c r="A143" t="s">
        <v>220</v>
      </c>
      <c r="B143" s="6">
        <v>46315</v>
      </c>
      <c r="C143" t="s">
        <v>14</v>
      </c>
      <c r="D143" t="s">
        <v>21</v>
      </c>
      <c r="K143">
        <v>1</v>
      </c>
      <c r="L143" t="s">
        <v>34</v>
      </c>
    </row>
    <row r="144" spans="1:12" x14ac:dyDescent="0.25">
      <c r="A144" t="s">
        <v>221</v>
      </c>
      <c r="B144" s="6">
        <v>46315</v>
      </c>
      <c r="C144" t="s">
        <v>19</v>
      </c>
      <c r="D144" t="s">
        <v>16</v>
      </c>
      <c r="K144">
        <v>1</v>
      </c>
      <c r="L144" t="s">
        <v>34</v>
      </c>
    </row>
    <row r="145" spans="1:12" x14ac:dyDescent="0.25">
      <c r="A145" t="s">
        <v>222</v>
      </c>
      <c r="B145" s="6">
        <v>46316</v>
      </c>
      <c r="C145" t="s">
        <v>17</v>
      </c>
      <c r="D145" t="s">
        <v>10</v>
      </c>
      <c r="K145">
        <v>1</v>
      </c>
      <c r="L145" t="s">
        <v>34</v>
      </c>
    </row>
    <row r="146" spans="1:12" x14ac:dyDescent="0.25">
      <c r="A146" t="s">
        <v>223</v>
      </c>
      <c r="B146" s="6">
        <v>46319</v>
      </c>
      <c r="C146" t="s">
        <v>0</v>
      </c>
      <c r="D146" t="s">
        <v>22</v>
      </c>
      <c r="K146">
        <v>1</v>
      </c>
      <c r="L146" t="s">
        <v>34</v>
      </c>
    </row>
    <row r="147" spans="1:12" x14ac:dyDescent="0.25">
      <c r="A147" t="s">
        <v>224</v>
      </c>
      <c r="B147" s="6">
        <v>46319</v>
      </c>
      <c r="C147" t="s">
        <v>2</v>
      </c>
      <c r="D147" t="s">
        <v>12</v>
      </c>
      <c r="K147">
        <v>1</v>
      </c>
      <c r="L147" t="s">
        <v>34</v>
      </c>
    </row>
    <row r="148" spans="1:12" x14ac:dyDescent="0.25">
      <c r="A148" t="s">
        <v>225</v>
      </c>
      <c r="B148" s="6">
        <v>46319</v>
      </c>
      <c r="C148" t="s">
        <v>4</v>
      </c>
      <c r="D148" t="s">
        <v>15</v>
      </c>
      <c r="K148">
        <v>1</v>
      </c>
      <c r="L148" t="s">
        <v>34</v>
      </c>
    </row>
    <row r="149" spans="1:12" x14ac:dyDescent="0.25">
      <c r="A149" t="s">
        <v>226</v>
      </c>
      <c r="B149" s="6">
        <v>46319</v>
      </c>
      <c r="C149" t="s">
        <v>5</v>
      </c>
      <c r="D149" t="s">
        <v>10</v>
      </c>
      <c r="K149">
        <v>1</v>
      </c>
      <c r="L149" t="s">
        <v>34</v>
      </c>
    </row>
    <row r="150" spans="1:12" x14ac:dyDescent="0.25">
      <c r="A150" t="s">
        <v>227</v>
      </c>
      <c r="B150" s="6">
        <v>46319</v>
      </c>
      <c r="C150" t="s">
        <v>6</v>
      </c>
      <c r="D150" t="s">
        <v>16</v>
      </c>
      <c r="K150">
        <v>1</v>
      </c>
      <c r="L150" t="s">
        <v>34</v>
      </c>
    </row>
    <row r="151" spans="1:12" x14ac:dyDescent="0.25">
      <c r="A151" t="s">
        <v>228</v>
      </c>
      <c r="B151" s="6">
        <v>46319</v>
      </c>
      <c r="C151" t="s">
        <v>7</v>
      </c>
      <c r="D151" t="s">
        <v>18</v>
      </c>
      <c r="K151">
        <v>1</v>
      </c>
      <c r="L151" t="s">
        <v>34</v>
      </c>
    </row>
    <row r="152" spans="1:12" x14ac:dyDescent="0.25">
      <c r="A152" t="s">
        <v>229</v>
      </c>
      <c r="B152" s="6">
        <v>46319</v>
      </c>
      <c r="C152" t="s">
        <v>8</v>
      </c>
      <c r="D152" t="s">
        <v>21</v>
      </c>
      <c r="K152">
        <v>1</v>
      </c>
      <c r="L152" t="s">
        <v>34</v>
      </c>
    </row>
    <row r="153" spans="1:12" x14ac:dyDescent="0.25">
      <c r="A153" t="s">
        <v>230</v>
      </c>
      <c r="B153" s="6">
        <v>46319</v>
      </c>
      <c r="C153" t="s">
        <v>11</v>
      </c>
      <c r="D153" t="s">
        <v>9</v>
      </c>
      <c r="K153">
        <v>1</v>
      </c>
      <c r="L153" t="s">
        <v>34</v>
      </c>
    </row>
    <row r="154" spans="1:12" x14ac:dyDescent="0.25">
      <c r="A154" t="s">
        <v>231</v>
      </c>
      <c r="B154" s="6">
        <v>46319</v>
      </c>
      <c r="C154" t="s">
        <v>13</v>
      </c>
      <c r="D154" t="s">
        <v>20</v>
      </c>
      <c r="K154">
        <v>1</v>
      </c>
      <c r="L154" t="s">
        <v>34</v>
      </c>
    </row>
    <row r="155" spans="1:12" x14ac:dyDescent="0.25">
      <c r="A155" t="s">
        <v>232</v>
      </c>
      <c r="B155" s="6">
        <v>46319</v>
      </c>
      <c r="C155" t="s">
        <v>14</v>
      </c>
      <c r="D155" t="s">
        <v>3</v>
      </c>
      <c r="K155">
        <v>1</v>
      </c>
      <c r="L155" t="s">
        <v>34</v>
      </c>
    </row>
    <row r="156" spans="1:12" x14ac:dyDescent="0.25">
      <c r="A156" t="s">
        <v>233</v>
      </c>
      <c r="B156" s="6">
        <v>46319</v>
      </c>
      <c r="C156" t="s">
        <v>17</v>
      </c>
      <c r="D156" t="s">
        <v>1</v>
      </c>
      <c r="K156">
        <v>1</v>
      </c>
      <c r="L156" t="s">
        <v>34</v>
      </c>
    </row>
    <row r="157" spans="1:12" x14ac:dyDescent="0.25">
      <c r="A157" t="s">
        <v>234</v>
      </c>
      <c r="B157" s="6">
        <v>46319</v>
      </c>
      <c r="C157" t="s">
        <v>19</v>
      </c>
      <c r="D157" t="s">
        <v>33</v>
      </c>
      <c r="K157">
        <v>1</v>
      </c>
      <c r="L157" t="s">
        <v>34</v>
      </c>
    </row>
    <row r="158" spans="1:12" x14ac:dyDescent="0.25">
      <c r="A158" t="s">
        <v>235</v>
      </c>
      <c r="B158" s="6">
        <v>46326</v>
      </c>
      <c r="C158" t="s">
        <v>1</v>
      </c>
      <c r="D158" t="s">
        <v>14</v>
      </c>
      <c r="K158">
        <v>1</v>
      </c>
      <c r="L158" t="s">
        <v>34</v>
      </c>
    </row>
    <row r="159" spans="1:12" x14ac:dyDescent="0.25">
      <c r="A159" t="s">
        <v>236</v>
      </c>
      <c r="B159" s="6">
        <v>46326</v>
      </c>
      <c r="C159" t="s">
        <v>3</v>
      </c>
      <c r="D159" t="s">
        <v>8</v>
      </c>
      <c r="K159">
        <v>1</v>
      </c>
      <c r="L159" t="s">
        <v>34</v>
      </c>
    </row>
    <row r="160" spans="1:12" x14ac:dyDescent="0.25">
      <c r="A160" t="s">
        <v>237</v>
      </c>
      <c r="B160" s="6">
        <v>46326</v>
      </c>
      <c r="C160" t="s">
        <v>9</v>
      </c>
      <c r="D160" t="s">
        <v>19</v>
      </c>
      <c r="K160">
        <v>1</v>
      </c>
      <c r="L160" t="s">
        <v>34</v>
      </c>
    </row>
    <row r="161" spans="1:12" x14ac:dyDescent="0.25">
      <c r="A161" t="s">
        <v>238</v>
      </c>
      <c r="B161" s="6">
        <v>46326</v>
      </c>
      <c r="C161" t="s">
        <v>10</v>
      </c>
      <c r="D161" t="s">
        <v>6</v>
      </c>
      <c r="K161">
        <v>1</v>
      </c>
      <c r="L161" t="s">
        <v>34</v>
      </c>
    </row>
    <row r="162" spans="1:12" x14ac:dyDescent="0.25">
      <c r="A162" t="s">
        <v>239</v>
      </c>
      <c r="B162" s="6">
        <v>46326</v>
      </c>
      <c r="C162" t="s">
        <v>12</v>
      </c>
      <c r="D162" t="s">
        <v>13</v>
      </c>
      <c r="K162">
        <v>1</v>
      </c>
      <c r="L162" t="s">
        <v>34</v>
      </c>
    </row>
    <row r="163" spans="1:12" x14ac:dyDescent="0.25">
      <c r="A163" t="s">
        <v>240</v>
      </c>
      <c r="B163" s="6">
        <v>46326</v>
      </c>
      <c r="C163" t="s">
        <v>33</v>
      </c>
      <c r="D163" t="s">
        <v>7</v>
      </c>
      <c r="K163">
        <v>1</v>
      </c>
      <c r="L163" t="s">
        <v>34</v>
      </c>
    </row>
    <row r="164" spans="1:12" x14ac:dyDescent="0.25">
      <c r="A164" t="s">
        <v>241</v>
      </c>
      <c r="B164" s="6">
        <v>46326</v>
      </c>
      <c r="C164" t="s">
        <v>15</v>
      </c>
      <c r="D164" t="s">
        <v>11</v>
      </c>
      <c r="K164">
        <v>1</v>
      </c>
      <c r="L164" t="s">
        <v>34</v>
      </c>
    </row>
    <row r="165" spans="1:12" x14ac:dyDescent="0.25">
      <c r="A165" t="s">
        <v>242</v>
      </c>
      <c r="B165" s="6">
        <v>46326</v>
      </c>
      <c r="C165" t="s">
        <v>16</v>
      </c>
      <c r="D165" t="s">
        <v>17</v>
      </c>
      <c r="K165">
        <v>1</v>
      </c>
      <c r="L165" t="s">
        <v>34</v>
      </c>
    </row>
    <row r="166" spans="1:12" x14ac:dyDescent="0.25">
      <c r="A166" t="s">
        <v>243</v>
      </c>
      <c r="B166" s="6">
        <v>46326</v>
      </c>
      <c r="C166" t="s">
        <v>20</v>
      </c>
      <c r="D166" t="s">
        <v>0</v>
      </c>
      <c r="K166">
        <v>1</v>
      </c>
      <c r="L166" t="s">
        <v>34</v>
      </c>
    </row>
    <row r="167" spans="1:12" x14ac:dyDescent="0.25">
      <c r="A167" t="s">
        <v>244</v>
      </c>
      <c r="B167" s="6">
        <v>46326</v>
      </c>
      <c r="C167" t="s">
        <v>21</v>
      </c>
      <c r="D167" t="s">
        <v>4</v>
      </c>
      <c r="K167">
        <v>1</v>
      </c>
      <c r="L167" t="s">
        <v>34</v>
      </c>
    </row>
    <row r="168" spans="1:12" x14ac:dyDescent="0.25">
      <c r="A168" t="s">
        <v>245</v>
      </c>
      <c r="B168" s="6">
        <v>46326</v>
      </c>
      <c r="C168" t="s">
        <v>22</v>
      </c>
      <c r="D168" t="s">
        <v>5</v>
      </c>
      <c r="K168">
        <v>1</v>
      </c>
      <c r="L168" t="s">
        <v>34</v>
      </c>
    </row>
    <row r="169" spans="1:12" x14ac:dyDescent="0.25">
      <c r="A169" t="s">
        <v>246</v>
      </c>
      <c r="B169" s="6">
        <v>46327</v>
      </c>
      <c r="C169" t="s">
        <v>18</v>
      </c>
      <c r="D169" t="s">
        <v>2</v>
      </c>
      <c r="K169">
        <v>1</v>
      </c>
      <c r="L169" t="s">
        <v>34</v>
      </c>
    </row>
    <row r="170" spans="1:12" x14ac:dyDescent="0.25">
      <c r="A170" t="s">
        <v>247</v>
      </c>
      <c r="B170" s="6">
        <v>46340</v>
      </c>
      <c r="C170" t="s">
        <v>0</v>
      </c>
      <c r="D170" t="s">
        <v>2</v>
      </c>
      <c r="K170">
        <v>1</v>
      </c>
      <c r="L170" t="s">
        <v>34</v>
      </c>
    </row>
    <row r="171" spans="1:12" x14ac:dyDescent="0.25">
      <c r="A171" t="s">
        <v>248</v>
      </c>
      <c r="B171" s="6">
        <v>46340</v>
      </c>
      <c r="C171" t="s">
        <v>4</v>
      </c>
      <c r="D171" t="s">
        <v>13</v>
      </c>
      <c r="K171">
        <v>1</v>
      </c>
      <c r="L171" t="s">
        <v>34</v>
      </c>
    </row>
    <row r="172" spans="1:12" x14ac:dyDescent="0.25">
      <c r="A172" t="s">
        <v>249</v>
      </c>
      <c r="B172" s="6">
        <v>46340</v>
      </c>
      <c r="C172" t="s">
        <v>7</v>
      </c>
      <c r="D172" t="s">
        <v>10</v>
      </c>
      <c r="K172">
        <v>1</v>
      </c>
      <c r="L172" t="s">
        <v>34</v>
      </c>
    </row>
    <row r="173" spans="1:12" x14ac:dyDescent="0.25">
      <c r="A173" t="s">
        <v>250</v>
      </c>
      <c r="B173" s="6">
        <v>46340</v>
      </c>
      <c r="C173" t="s">
        <v>9</v>
      </c>
      <c r="D173" t="s">
        <v>3</v>
      </c>
      <c r="K173">
        <v>1</v>
      </c>
      <c r="L173" t="s">
        <v>34</v>
      </c>
    </row>
    <row r="174" spans="1:12" x14ac:dyDescent="0.25">
      <c r="A174" t="s">
        <v>251</v>
      </c>
      <c r="B174" s="6">
        <v>46340</v>
      </c>
      <c r="C174" t="s">
        <v>11</v>
      </c>
      <c r="D174" t="s">
        <v>6</v>
      </c>
      <c r="K174">
        <v>1</v>
      </c>
      <c r="L174" t="s">
        <v>34</v>
      </c>
    </row>
    <row r="175" spans="1:12" x14ac:dyDescent="0.25">
      <c r="A175" t="s">
        <v>252</v>
      </c>
      <c r="B175" s="6">
        <v>46340</v>
      </c>
      <c r="C175" t="s">
        <v>33</v>
      </c>
      <c r="D175" t="s">
        <v>5</v>
      </c>
      <c r="K175">
        <v>1</v>
      </c>
      <c r="L175" t="s">
        <v>34</v>
      </c>
    </row>
    <row r="176" spans="1:12" x14ac:dyDescent="0.25">
      <c r="A176" t="s">
        <v>253</v>
      </c>
      <c r="B176" s="6">
        <v>46340</v>
      </c>
      <c r="C176" t="s">
        <v>15</v>
      </c>
      <c r="D176" t="s">
        <v>14</v>
      </c>
      <c r="K176">
        <v>1</v>
      </c>
      <c r="L176" t="s">
        <v>34</v>
      </c>
    </row>
    <row r="177" spans="1:12" x14ac:dyDescent="0.25">
      <c r="A177" t="s">
        <v>254</v>
      </c>
      <c r="B177" s="6">
        <v>46340</v>
      </c>
      <c r="C177" t="s">
        <v>18</v>
      </c>
      <c r="D177" t="s">
        <v>16</v>
      </c>
      <c r="K177">
        <v>1</v>
      </c>
      <c r="L177" t="s">
        <v>34</v>
      </c>
    </row>
    <row r="178" spans="1:12" x14ac:dyDescent="0.25">
      <c r="A178" t="s">
        <v>255</v>
      </c>
      <c r="B178" s="6">
        <v>46340</v>
      </c>
      <c r="C178" t="s">
        <v>19</v>
      </c>
      <c r="D178" t="s">
        <v>12</v>
      </c>
      <c r="K178">
        <v>1</v>
      </c>
      <c r="L178" t="s">
        <v>34</v>
      </c>
    </row>
    <row r="179" spans="1:12" x14ac:dyDescent="0.25">
      <c r="A179" t="s">
        <v>256</v>
      </c>
      <c r="B179" s="6">
        <v>46340</v>
      </c>
      <c r="C179" t="s">
        <v>20</v>
      </c>
      <c r="D179" t="s">
        <v>17</v>
      </c>
      <c r="K179">
        <v>1</v>
      </c>
      <c r="L179" t="s">
        <v>34</v>
      </c>
    </row>
    <row r="180" spans="1:12" x14ac:dyDescent="0.25">
      <c r="A180" t="s">
        <v>257</v>
      </c>
      <c r="B180" s="6">
        <v>46340</v>
      </c>
      <c r="C180" t="s">
        <v>21</v>
      </c>
      <c r="D180" t="s">
        <v>1</v>
      </c>
      <c r="K180">
        <v>1</v>
      </c>
      <c r="L180" t="s">
        <v>34</v>
      </c>
    </row>
    <row r="181" spans="1:12" x14ac:dyDescent="0.25">
      <c r="A181" t="s">
        <v>258</v>
      </c>
      <c r="B181" s="6">
        <v>46340</v>
      </c>
      <c r="C181" t="s">
        <v>22</v>
      </c>
      <c r="D181" t="s">
        <v>8</v>
      </c>
      <c r="K181">
        <v>1</v>
      </c>
      <c r="L181" t="s">
        <v>34</v>
      </c>
    </row>
    <row r="182" spans="1:12" x14ac:dyDescent="0.25">
      <c r="A182" t="s">
        <v>259</v>
      </c>
      <c r="B182" s="6">
        <v>46346</v>
      </c>
      <c r="C182" t="s">
        <v>1</v>
      </c>
      <c r="D182" t="s">
        <v>18</v>
      </c>
      <c r="K182">
        <v>1</v>
      </c>
      <c r="L182" t="s">
        <v>34</v>
      </c>
    </row>
    <row r="183" spans="1:12" x14ac:dyDescent="0.25">
      <c r="A183" t="s">
        <v>260</v>
      </c>
      <c r="B183" s="6">
        <v>46347</v>
      </c>
      <c r="C183" t="s">
        <v>2</v>
      </c>
      <c r="D183" t="s">
        <v>21</v>
      </c>
      <c r="K183">
        <v>1</v>
      </c>
      <c r="L183" t="s">
        <v>34</v>
      </c>
    </row>
    <row r="184" spans="1:12" x14ac:dyDescent="0.25">
      <c r="A184" t="s">
        <v>261</v>
      </c>
      <c r="B184" s="6">
        <v>46347</v>
      </c>
      <c r="C184" t="s">
        <v>3</v>
      </c>
      <c r="D184" t="s">
        <v>7</v>
      </c>
      <c r="K184">
        <v>1</v>
      </c>
      <c r="L184" t="s">
        <v>34</v>
      </c>
    </row>
    <row r="185" spans="1:12" x14ac:dyDescent="0.25">
      <c r="A185" t="s">
        <v>262</v>
      </c>
      <c r="B185" s="6">
        <v>46347</v>
      </c>
      <c r="C185" t="s">
        <v>5</v>
      </c>
      <c r="D185" t="s">
        <v>11</v>
      </c>
      <c r="K185">
        <v>1</v>
      </c>
      <c r="L185" t="s">
        <v>34</v>
      </c>
    </row>
    <row r="186" spans="1:12" x14ac:dyDescent="0.25">
      <c r="A186" t="s">
        <v>263</v>
      </c>
      <c r="B186" s="6">
        <v>46347</v>
      </c>
      <c r="C186" t="s">
        <v>6</v>
      </c>
      <c r="D186" t="s">
        <v>20</v>
      </c>
      <c r="K186">
        <v>1</v>
      </c>
      <c r="L186" t="s">
        <v>34</v>
      </c>
    </row>
    <row r="187" spans="1:12" x14ac:dyDescent="0.25">
      <c r="A187" t="s">
        <v>264</v>
      </c>
      <c r="B187" s="6">
        <v>46347</v>
      </c>
      <c r="C187" t="s">
        <v>8</v>
      </c>
      <c r="D187" t="s">
        <v>9</v>
      </c>
      <c r="K187">
        <v>1</v>
      </c>
      <c r="L187" t="s">
        <v>34</v>
      </c>
    </row>
    <row r="188" spans="1:12" x14ac:dyDescent="0.25">
      <c r="A188" t="s">
        <v>265</v>
      </c>
      <c r="B188" s="6">
        <v>46347</v>
      </c>
      <c r="C188" t="s">
        <v>10</v>
      </c>
      <c r="D188" t="s">
        <v>0</v>
      </c>
      <c r="K188">
        <v>1</v>
      </c>
      <c r="L188" t="s">
        <v>34</v>
      </c>
    </row>
    <row r="189" spans="1:12" x14ac:dyDescent="0.25">
      <c r="A189" t="s">
        <v>266</v>
      </c>
      <c r="B189" s="6">
        <v>46347</v>
      </c>
      <c r="C189" t="s">
        <v>12</v>
      </c>
      <c r="D189" t="s">
        <v>33</v>
      </c>
      <c r="K189">
        <v>1</v>
      </c>
      <c r="L189" t="s">
        <v>34</v>
      </c>
    </row>
    <row r="190" spans="1:12" x14ac:dyDescent="0.25">
      <c r="A190" t="s">
        <v>267</v>
      </c>
      <c r="B190" s="6">
        <v>46347</v>
      </c>
      <c r="C190" t="s">
        <v>13</v>
      </c>
      <c r="D190" t="s">
        <v>19</v>
      </c>
      <c r="K190">
        <v>1</v>
      </c>
      <c r="L190" t="s">
        <v>34</v>
      </c>
    </row>
    <row r="191" spans="1:12" x14ac:dyDescent="0.25">
      <c r="A191" t="s">
        <v>268</v>
      </c>
      <c r="B191" s="6">
        <v>46347</v>
      </c>
      <c r="C191" t="s">
        <v>14</v>
      </c>
      <c r="D191" t="s">
        <v>22</v>
      </c>
      <c r="K191">
        <v>1</v>
      </c>
      <c r="L191" t="s">
        <v>34</v>
      </c>
    </row>
    <row r="192" spans="1:12" x14ac:dyDescent="0.25">
      <c r="A192" t="s">
        <v>269</v>
      </c>
      <c r="B192" s="6">
        <v>46347</v>
      </c>
      <c r="C192" t="s">
        <v>16</v>
      </c>
      <c r="D192" t="s">
        <v>15</v>
      </c>
      <c r="K192">
        <v>1</v>
      </c>
      <c r="L192" t="s">
        <v>34</v>
      </c>
    </row>
    <row r="193" spans="1:12" x14ac:dyDescent="0.25">
      <c r="A193" t="s">
        <v>270</v>
      </c>
      <c r="B193" s="6">
        <v>46347</v>
      </c>
      <c r="C193" t="s">
        <v>17</v>
      </c>
      <c r="D193" t="s">
        <v>4</v>
      </c>
      <c r="K193">
        <v>1</v>
      </c>
      <c r="L193" t="s">
        <v>34</v>
      </c>
    </row>
    <row r="194" spans="1:12" x14ac:dyDescent="0.25">
      <c r="A194" t="s">
        <v>271</v>
      </c>
      <c r="B194" s="6">
        <v>46352</v>
      </c>
      <c r="C194" t="s">
        <v>7</v>
      </c>
      <c r="D194" t="s">
        <v>8</v>
      </c>
      <c r="K194">
        <v>1</v>
      </c>
      <c r="L194" t="s">
        <v>34</v>
      </c>
    </row>
    <row r="195" spans="1:12" x14ac:dyDescent="0.25">
      <c r="A195" t="s">
        <v>272</v>
      </c>
      <c r="B195" s="6">
        <v>46354</v>
      </c>
      <c r="C195" t="s">
        <v>0</v>
      </c>
      <c r="D195" t="s">
        <v>1</v>
      </c>
      <c r="K195">
        <v>1</v>
      </c>
      <c r="L195" t="s">
        <v>34</v>
      </c>
    </row>
    <row r="196" spans="1:12" x14ac:dyDescent="0.25">
      <c r="A196" t="s">
        <v>273</v>
      </c>
      <c r="B196" s="6">
        <v>46354</v>
      </c>
      <c r="C196" t="s">
        <v>4</v>
      </c>
      <c r="D196" t="s">
        <v>5</v>
      </c>
      <c r="K196">
        <v>1</v>
      </c>
      <c r="L196" t="s">
        <v>34</v>
      </c>
    </row>
    <row r="197" spans="1:12" x14ac:dyDescent="0.25">
      <c r="A197" t="s">
        <v>274</v>
      </c>
      <c r="B197" s="6">
        <v>46354</v>
      </c>
      <c r="C197" t="s">
        <v>9</v>
      </c>
      <c r="D197" t="s">
        <v>12</v>
      </c>
      <c r="K197">
        <v>1</v>
      </c>
      <c r="L197" t="s">
        <v>34</v>
      </c>
    </row>
    <row r="198" spans="1:12" x14ac:dyDescent="0.25">
      <c r="A198" t="s">
        <v>275</v>
      </c>
      <c r="B198" s="6">
        <v>46354</v>
      </c>
      <c r="C198" t="s">
        <v>11</v>
      </c>
      <c r="D198" t="s">
        <v>14</v>
      </c>
      <c r="K198">
        <v>1</v>
      </c>
      <c r="L198" t="s">
        <v>34</v>
      </c>
    </row>
    <row r="199" spans="1:12" x14ac:dyDescent="0.25">
      <c r="A199" t="s">
        <v>276</v>
      </c>
      <c r="B199" s="6">
        <v>46354</v>
      </c>
      <c r="C199" t="s">
        <v>33</v>
      </c>
      <c r="D199" t="s">
        <v>13</v>
      </c>
      <c r="K199">
        <v>1</v>
      </c>
      <c r="L199" t="s">
        <v>34</v>
      </c>
    </row>
    <row r="200" spans="1:12" x14ac:dyDescent="0.25">
      <c r="A200" t="s">
        <v>277</v>
      </c>
      <c r="B200" s="6">
        <v>46354</v>
      </c>
      <c r="C200" t="s">
        <v>15</v>
      </c>
      <c r="D200" t="s">
        <v>6</v>
      </c>
      <c r="K200">
        <v>1</v>
      </c>
      <c r="L200" t="s">
        <v>34</v>
      </c>
    </row>
    <row r="201" spans="1:12" x14ac:dyDescent="0.25">
      <c r="A201" t="s">
        <v>278</v>
      </c>
      <c r="B201" s="6">
        <v>46354</v>
      </c>
      <c r="C201" t="s">
        <v>18</v>
      </c>
      <c r="D201" t="s">
        <v>17</v>
      </c>
      <c r="K201">
        <v>1</v>
      </c>
      <c r="L201" t="s">
        <v>34</v>
      </c>
    </row>
    <row r="202" spans="1:12" x14ac:dyDescent="0.25">
      <c r="A202" t="s">
        <v>279</v>
      </c>
      <c r="B202" s="6">
        <v>46354</v>
      </c>
      <c r="C202" t="s">
        <v>19</v>
      </c>
      <c r="D202" t="s">
        <v>2</v>
      </c>
      <c r="K202">
        <v>1</v>
      </c>
      <c r="L202" t="s">
        <v>34</v>
      </c>
    </row>
    <row r="203" spans="1:12" x14ac:dyDescent="0.25">
      <c r="A203" t="s">
        <v>280</v>
      </c>
      <c r="B203" s="6">
        <v>46354</v>
      </c>
      <c r="C203" t="s">
        <v>20</v>
      </c>
      <c r="D203" t="s">
        <v>10</v>
      </c>
      <c r="K203">
        <v>1</v>
      </c>
      <c r="L203" t="s">
        <v>34</v>
      </c>
    </row>
    <row r="204" spans="1:12" x14ac:dyDescent="0.25">
      <c r="A204" t="s">
        <v>281</v>
      </c>
      <c r="B204" s="6">
        <v>46354</v>
      </c>
      <c r="C204" t="s">
        <v>21</v>
      </c>
      <c r="D204" t="s">
        <v>16</v>
      </c>
      <c r="K204">
        <v>1</v>
      </c>
      <c r="L204" t="s">
        <v>34</v>
      </c>
    </row>
    <row r="205" spans="1:12" x14ac:dyDescent="0.25">
      <c r="A205" t="s">
        <v>282</v>
      </c>
      <c r="B205" s="6">
        <v>46354</v>
      </c>
      <c r="C205" t="s">
        <v>22</v>
      </c>
      <c r="D205" t="s">
        <v>3</v>
      </c>
      <c r="K205">
        <v>1</v>
      </c>
      <c r="L205" t="s">
        <v>34</v>
      </c>
    </row>
    <row r="206" spans="1:12" x14ac:dyDescent="0.25">
      <c r="A206" t="s">
        <v>283</v>
      </c>
      <c r="B206" s="6">
        <v>46357</v>
      </c>
      <c r="C206" t="s">
        <v>1</v>
      </c>
      <c r="D206" t="s">
        <v>22</v>
      </c>
      <c r="K206">
        <v>1</v>
      </c>
      <c r="L206" t="s">
        <v>34</v>
      </c>
    </row>
    <row r="207" spans="1:12" x14ac:dyDescent="0.25">
      <c r="A207" t="s">
        <v>284</v>
      </c>
      <c r="B207" s="6">
        <v>46357</v>
      </c>
      <c r="C207" t="s">
        <v>2</v>
      </c>
      <c r="D207" t="s">
        <v>11</v>
      </c>
      <c r="K207">
        <v>1</v>
      </c>
      <c r="L207" t="s">
        <v>34</v>
      </c>
    </row>
    <row r="208" spans="1:12" x14ac:dyDescent="0.25">
      <c r="A208" t="s">
        <v>285</v>
      </c>
      <c r="B208" s="6">
        <v>46357</v>
      </c>
      <c r="C208" t="s">
        <v>3</v>
      </c>
      <c r="D208" t="s">
        <v>33</v>
      </c>
      <c r="K208">
        <v>1</v>
      </c>
      <c r="L208" t="s">
        <v>34</v>
      </c>
    </row>
    <row r="209" spans="1:12" x14ac:dyDescent="0.25">
      <c r="A209" t="s">
        <v>286</v>
      </c>
      <c r="B209" s="6">
        <v>46357</v>
      </c>
      <c r="C209" t="s">
        <v>5</v>
      </c>
      <c r="D209" t="s">
        <v>21</v>
      </c>
      <c r="K209">
        <v>1</v>
      </c>
      <c r="L209" t="s">
        <v>34</v>
      </c>
    </row>
    <row r="210" spans="1:12" x14ac:dyDescent="0.25">
      <c r="A210" t="s">
        <v>287</v>
      </c>
      <c r="B210" s="6">
        <v>46357</v>
      </c>
      <c r="C210" t="s">
        <v>6</v>
      </c>
      <c r="D210" t="s">
        <v>9</v>
      </c>
      <c r="K210">
        <v>1</v>
      </c>
      <c r="L210" t="s">
        <v>34</v>
      </c>
    </row>
    <row r="211" spans="1:12" x14ac:dyDescent="0.25">
      <c r="A211" t="s">
        <v>288</v>
      </c>
      <c r="B211" s="6">
        <v>46357</v>
      </c>
      <c r="C211" t="s">
        <v>8</v>
      </c>
      <c r="D211" t="s">
        <v>19</v>
      </c>
      <c r="K211">
        <v>1</v>
      </c>
      <c r="L211" t="s">
        <v>34</v>
      </c>
    </row>
    <row r="212" spans="1:12" x14ac:dyDescent="0.25">
      <c r="A212" t="s">
        <v>289</v>
      </c>
      <c r="B212" s="6">
        <v>46357</v>
      </c>
      <c r="C212" t="s">
        <v>10</v>
      </c>
      <c r="D212" t="s">
        <v>15</v>
      </c>
      <c r="K212">
        <v>1</v>
      </c>
      <c r="L212" t="s">
        <v>34</v>
      </c>
    </row>
    <row r="213" spans="1:12" x14ac:dyDescent="0.25">
      <c r="A213" t="s">
        <v>290</v>
      </c>
      <c r="B213" s="6">
        <v>46357</v>
      </c>
      <c r="C213" t="s">
        <v>12</v>
      </c>
      <c r="D213" t="s">
        <v>20</v>
      </c>
      <c r="K213">
        <v>1</v>
      </c>
      <c r="L213" t="s">
        <v>34</v>
      </c>
    </row>
    <row r="214" spans="1:12" x14ac:dyDescent="0.25">
      <c r="A214" t="s">
        <v>291</v>
      </c>
      <c r="B214" s="6">
        <v>46357</v>
      </c>
      <c r="C214" t="s">
        <v>13</v>
      </c>
      <c r="D214" t="s">
        <v>0</v>
      </c>
      <c r="K214">
        <v>1</v>
      </c>
      <c r="L214" t="s">
        <v>34</v>
      </c>
    </row>
    <row r="215" spans="1:12" x14ac:dyDescent="0.25">
      <c r="A215" t="s">
        <v>292</v>
      </c>
      <c r="B215" s="6">
        <v>46357</v>
      </c>
      <c r="C215" t="s">
        <v>14</v>
      </c>
      <c r="D215" t="s">
        <v>18</v>
      </c>
      <c r="K215">
        <v>1</v>
      </c>
      <c r="L215" t="s">
        <v>34</v>
      </c>
    </row>
    <row r="216" spans="1:12" x14ac:dyDescent="0.25">
      <c r="A216" t="s">
        <v>293</v>
      </c>
      <c r="B216" s="6">
        <v>46357</v>
      </c>
      <c r="C216" t="s">
        <v>16</v>
      </c>
      <c r="D216" t="s">
        <v>4</v>
      </c>
      <c r="K216">
        <v>1</v>
      </c>
      <c r="L216" t="s">
        <v>34</v>
      </c>
    </row>
    <row r="217" spans="1:12" x14ac:dyDescent="0.25">
      <c r="A217" t="s">
        <v>294</v>
      </c>
      <c r="B217" s="6">
        <v>46357</v>
      </c>
      <c r="C217" t="s">
        <v>17</v>
      </c>
      <c r="D217" t="s">
        <v>7</v>
      </c>
      <c r="K217">
        <v>1</v>
      </c>
      <c r="L217" t="s">
        <v>34</v>
      </c>
    </row>
    <row r="218" spans="1:12" x14ac:dyDescent="0.25">
      <c r="A218" t="s">
        <v>295</v>
      </c>
      <c r="B218" s="6">
        <v>46366</v>
      </c>
      <c r="C218" t="s">
        <v>9</v>
      </c>
      <c r="D218" t="s">
        <v>18</v>
      </c>
      <c r="K218">
        <v>1</v>
      </c>
      <c r="L218" t="s">
        <v>34</v>
      </c>
    </row>
    <row r="219" spans="1:12" x14ac:dyDescent="0.25">
      <c r="A219" t="s">
        <v>296</v>
      </c>
      <c r="B219" s="6">
        <v>46368</v>
      </c>
      <c r="C219" t="s">
        <v>3</v>
      </c>
      <c r="D219" t="s">
        <v>0</v>
      </c>
      <c r="K219">
        <v>1</v>
      </c>
      <c r="L219" t="s">
        <v>34</v>
      </c>
    </row>
    <row r="220" spans="1:12" x14ac:dyDescent="0.25">
      <c r="A220" t="s">
        <v>297</v>
      </c>
      <c r="B220" s="6">
        <v>46368</v>
      </c>
      <c r="C220" t="s">
        <v>5</v>
      </c>
      <c r="D220" t="s">
        <v>17</v>
      </c>
      <c r="K220">
        <v>1</v>
      </c>
      <c r="L220" t="s">
        <v>34</v>
      </c>
    </row>
    <row r="221" spans="1:12" x14ac:dyDescent="0.25">
      <c r="A221" t="s">
        <v>298</v>
      </c>
      <c r="B221" s="6">
        <v>46368</v>
      </c>
      <c r="C221" t="s">
        <v>7</v>
      </c>
      <c r="D221" t="s">
        <v>4</v>
      </c>
      <c r="K221">
        <v>1</v>
      </c>
      <c r="L221" t="s">
        <v>34</v>
      </c>
    </row>
    <row r="222" spans="1:12" x14ac:dyDescent="0.25">
      <c r="A222" t="s">
        <v>299</v>
      </c>
      <c r="B222" s="6">
        <v>46368</v>
      </c>
      <c r="C222" t="s">
        <v>8</v>
      </c>
      <c r="D222" t="s">
        <v>10</v>
      </c>
      <c r="K222">
        <v>1</v>
      </c>
      <c r="L222" t="s">
        <v>34</v>
      </c>
    </row>
    <row r="223" spans="1:12" x14ac:dyDescent="0.25">
      <c r="A223" t="s">
        <v>300</v>
      </c>
      <c r="B223" s="6">
        <v>46368</v>
      </c>
      <c r="C223" t="s">
        <v>11</v>
      </c>
      <c r="D223" t="s">
        <v>21</v>
      </c>
      <c r="K223">
        <v>1</v>
      </c>
      <c r="L223" t="s">
        <v>34</v>
      </c>
    </row>
    <row r="224" spans="1:12" x14ac:dyDescent="0.25">
      <c r="A224" t="s">
        <v>301</v>
      </c>
      <c r="B224" s="6">
        <v>46368</v>
      </c>
      <c r="C224" t="s">
        <v>12</v>
      </c>
      <c r="D224" t="s">
        <v>22</v>
      </c>
      <c r="K224">
        <v>1</v>
      </c>
      <c r="L224" t="s">
        <v>34</v>
      </c>
    </row>
    <row r="225" spans="1:12" x14ac:dyDescent="0.25">
      <c r="A225" t="s">
        <v>302</v>
      </c>
      <c r="B225" s="6">
        <v>46368</v>
      </c>
      <c r="C225" t="s">
        <v>33</v>
      </c>
      <c r="D225" t="s">
        <v>6</v>
      </c>
      <c r="K225">
        <v>1</v>
      </c>
      <c r="L225" t="s">
        <v>34</v>
      </c>
    </row>
    <row r="226" spans="1:12" x14ac:dyDescent="0.25">
      <c r="A226" t="s">
        <v>303</v>
      </c>
      <c r="B226" s="6">
        <v>46368</v>
      </c>
      <c r="C226" t="s">
        <v>13</v>
      </c>
      <c r="D226" t="s">
        <v>16</v>
      </c>
      <c r="K226">
        <v>1</v>
      </c>
      <c r="L226" t="s">
        <v>34</v>
      </c>
    </row>
    <row r="227" spans="1:12" x14ac:dyDescent="0.25">
      <c r="A227" t="s">
        <v>304</v>
      </c>
      <c r="B227" s="6">
        <v>46368</v>
      </c>
      <c r="C227" t="s">
        <v>14</v>
      </c>
      <c r="D227" t="s">
        <v>2</v>
      </c>
      <c r="K227">
        <v>1</v>
      </c>
      <c r="L227" t="s">
        <v>34</v>
      </c>
    </row>
    <row r="228" spans="1:12" x14ac:dyDescent="0.25">
      <c r="A228" t="s">
        <v>305</v>
      </c>
      <c r="B228" s="6">
        <v>46368</v>
      </c>
      <c r="C228" t="s">
        <v>15</v>
      </c>
      <c r="D228" t="s">
        <v>1</v>
      </c>
      <c r="K228">
        <v>1</v>
      </c>
      <c r="L228" t="s">
        <v>34</v>
      </c>
    </row>
    <row r="229" spans="1:12" x14ac:dyDescent="0.25">
      <c r="A229" t="s">
        <v>306</v>
      </c>
      <c r="B229" s="6">
        <v>46368</v>
      </c>
      <c r="C229" t="s">
        <v>19</v>
      </c>
      <c r="D229" t="s">
        <v>20</v>
      </c>
      <c r="K229">
        <v>1</v>
      </c>
      <c r="L229" t="s">
        <v>34</v>
      </c>
    </row>
    <row r="230" spans="1:12" x14ac:dyDescent="0.25">
      <c r="A230" t="s">
        <v>307</v>
      </c>
      <c r="B230" s="6">
        <v>46374</v>
      </c>
      <c r="C230" t="s">
        <v>6</v>
      </c>
      <c r="D230" t="s">
        <v>19</v>
      </c>
      <c r="K230">
        <v>1</v>
      </c>
      <c r="L230" t="s">
        <v>34</v>
      </c>
    </row>
    <row r="231" spans="1:12" x14ac:dyDescent="0.25">
      <c r="A231" t="s">
        <v>308</v>
      </c>
      <c r="B231" s="6">
        <v>46375</v>
      </c>
      <c r="C231" t="s">
        <v>0</v>
      </c>
      <c r="D231" t="s">
        <v>14</v>
      </c>
      <c r="K231">
        <v>1</v>
      </c>
      <c r="L231" t="s">
        <v>34</v>
      </c>
    </row>
    <row r="232" spans="1:12" x14ac:dyDescent="0.25">
      <c r="A232" t="s">
        <v>309</v>
      </c>
      <c r="B232" s="6">
        <v>46375</v>
      </c>
      <c r="C232" t="s">
        <v>1</v>
      </c>
      <c r="D232" t="s">
        <v>8</v>
      </c>
      <c r="K232">
        <v>1</v>
      </c>
      <c r="L232" t="s">
        <v>34</v>
      </c>
    </row>
    <row r="233" spans="1:12" x14ac:dyDescent="0.25">
      <c r="A233" t="s">
        <v>310</v>
      </c>
      <c r="B233" s="6">
        <v>46375</v>
      </c>
      <c r="C233" t="s">
        <v>2</v>
      </c>
      <c r="D233" t="s">
        <v>5</v>
      </c>
      <c r="K233">
        <v>1</v>
      </c>
      <c r="L233" t="s">
        <v>34</v>
      </c>
    </row>
    <row r="234" spans="1:12" x14ac:dyDescent="0.25">
      <c r="A234" t="s">
        <v>311</v>
      </c>
      <c r="B234" s="6">
        <v>46375</v>
      </c>
      <c r="C234" t="s">
        <v>4</v>
      </c>
      <c r="D234" t="s">
        <v>3</v>
      </c>
      <c r="K234">
        <v>1</v>
      </c>
      <c r="L234" t="s">
        <v>34</v>
      </c>
    </row>
    <row r="235" spans="1:12" x14ac:dyDescent="0.25">
      <c r="A235" t="s">
        <v>312</v>
      </c>
      <c r="B235" s="6">
        <v>46375</v>
      </c>
      <c r="C235" t="s">
        <v>10</v>
      </c>
      <c r="D235" t="s">
        <v>13</v>
      </c>
      <c r="K235">
        <v>1</v>
      </c>
      <c r="L235" t="s">
        <v>34</v>
      </c>
    </row>
    <row r="236" spans="1:12" x14ac:dyDescent="0.25">
      <c r="A236" t="s">
        <v>313</v>
      </c>
      <c r="B236" s="6">
        <v>46375</v>
      </c>
      <c r="C236" t="s">
        <v>16</v>
      </c>
      <c r="D236" t="s">
        <v>12</v>
      </c>
      <c r="K236">
        <v>1</v>
      </c>
      <c r="L236" t="s">
        <v>34</v>
      </c>
    </row>
    <row r="237" spans="1:12" x14ac:dyDescent="0.25">
      <c r="A237" t="s">
        <v>314</v>
      </c>
      <c r="B237" s="6">
        <v>46375</v>
      </c>
      <c r="C237" t="s">
        <v>17</v>
      </c>
      <c r="D237" t="s">
        <v>9</v>
      </c>
      <c r="K237">
        <v>1</v>
      </c>
      <c r="L237" t="s">
        <v>34</v>
      </c>
    </row>
    <row r="238" spans="1:12" x14ac:dyDescent="0.25">
      <c r="A238" t="s">
        <v>315</v>
      </c>
      <c r="B238" s="6">
        <v>46375</v>
      </c>
      <c r="C238" t="s">
        <v>18</v>
      </c>
      <c r="D238" t="s">
        <v>11</v>
      </c>
      <c r="K238">
        <v>1</v>
      </c>
      <c r="L238" t="s">
        <v>34</v>
      </c>
    </row>
    <row r="239" spans="1:12" x14ac:dyDescent="0.25">
      <c r="A239" t="s">
        <v>316</v>
      </c>
      <c r="B239" s="6">
        <v>46375</v>
      </c>
      <c r="C239" t="s">
        <v>20</v>
      </c>
      <c r="D239" t="s">
        <v>33</v>
      </c>
      <c r="K239">
        <v>1</v>
      </c>
      <c r="L239" t="s">
        <v>34</v>
      </c>
    </row>
    <row r="240" spans="1:12" x14ac:dyDescent="0.25">
      <c r="A240" t="s">
        <v>317</v>
      </c>
      <c r="B240" s="6">
        <v>46375</v>
      </c>
      <c r="C240" t="s">
        <v>21</v>
      </c>
      <c r="D240" t="s">
        <v>15</v>
      </c>
      <c r="K240">
        <v>1</v>
      </c>
      <c r="L240" t="s">
        <v>34</v>
      </c>
    </row>
    <row r="241" spans="1:12" x14ac:dyDescent="0.25">
      <c r="A241" t="s">
        <v>318</v>
      </c>
      <c r="B241" s="6">
        <v>46375</v>
      </c>
      <c r="C241" t="s">
        <v>22</v>
      </c>
      <c r="D241" t="s">
        <v>7</v>
      </c>
      <c r="K241">
        <v>1</v>
      </c>
      <c r="L241" t="s">
        <v>34</v>
      </c>
    </row>
    <row r="242" spans="1:12" x14ac:dyDescent="0.25">
      <c r="A242" t="s">
        <v>319</v>
      </c>
      <c r="B242" s="6">
        <v>46382</v>
      </c>
      <c r="C242" t="s">
        <v>3</v>
      </c>
      <c r="D242" t="s">
        <v>20</v>
      </c>
      <c r="K242">
        <v>1</v>
      </c>
      <c r="L242" t="s">
        <v>34</v>
      </c>
    </row>
    <row r="243" spans="1:12" x14ac:dyDescent="0.25">
      <c r="A243" t="s">
        <v>320</v>
      </c>
      <c r="B243" s="6">
        <v>46382</v>
      </c>
      <c r="C243" t="s">
        <v>5</v>
      </c>
      <c r="D243" t="s">
        <v>18</v>
      </c>
      <c r="K243">
        <v>1</v>
      </c>
      <c r="L243" t="s">
        <v>34</v>
      </c>
    </row>
    <row r="244" spans="1:12" x14ac:dyDescent="0.25">
      <c r="A244" t="s">
        <v>321</v>
      </c>
      <c r="B244" s="6">
        <v>46382</v>
      </c>
      <c r="C244" t="s">
        <v>7</v>
      </c>
      <c r="D244" t="s">
        <v>21</v>
      </c>
      <c r="K244">
        <v>1</v>
      </c>
      <c r="L244" t="s">
        <v>34</v>
      </c>
    </row>
    <row r="245" spans="1:12" x14ac:dyDescent="0.25">
      <c r="A245" t="s">
        <v>322</v>
      </c>
      <c r="B245" s="6">
        <v>46382</v>
      </c>
      <c r="C245" t="s">
        <v>8</v>
      </c>
      <c r="D245" t="s">
        <v>2</v>
      </c>
      <c r="K245">
        <v>1</v>
      </c>
      <c r="L245" t="s">
        <v>34</v>
      </c>
    </row>
    <row r="246" spans="1:12" x14ac:dyDescent="0.25">
      <c r="A246" t="s">
        <v>323</v>
      </c>
      <c r="B246" s="6">
        <v>46382</v>
      </c>
      <c r="C246" t="s">
        <v>9</v>
      </c>
      <c r="D246" t="s">
        <v>0</v>
      </c>
      <c r="K246">
        <v>1</v>
      </c>
      <c r="L246" t="s">
        <v>34</v>
      </c>
    </row>
    <row r="247" spans="1:12" x14ac:dyDescent="0.25">
      <c r="A247" t="s">
        <v>324</v>
      </c>
      <c r="B247" s="6">
        <v>46382</v>
      </c>
      <c r="C247" t="s">
        <v>11</v>
      </c>
      <c r="D247" t="s">
        <v>4</v>
      </c>
      <c r="K247">
        <v>1</v>
      </c>
      <c r="L247" t="s">
        <v>34</v>
      </c>
    </row>
    <row r="248" spans="1:12" x14ac:dyDescent="0.25">
      <c r="A248" t="s">
        <v>325</v>
      </c>
      <c r="B248" s="6">
        <v>46382</v>
      </c>
      <c r="C248" t="s">
        <v>12</v>
      </c>
      <c r="D248" t="s">
        <v>1</v>
      </c>
      <c r="K248">
        <v>1</v>
      </c>
      <c r="L248" t="s">
        <v>34</v>
      </c>
    </row>
    <row r="249" spans="1:12" x14ac:dyDescent="0.25">
      <c r="A249" t="s">
        <v>326</v>
      </c>
      <c r="B249" s="6">
        <v>46382</v>
      </c>
      <c r="C249" t="s">
        <v>33</v>
      </c>
      <c r="D249" t="s">
        <v>10</v>
      </c>
      <c r="K249">
        <v>1</v>
      </c>
      <c r="L249" t="s">
        <v>34</v>
      </c>
    </row>
    <row r="250" spans="1:12" x14ac:dyDescent="0.25">
      <c r="A250" t="s">
        <v>327</v>
      </c>
      <c r="B250" s="6">
        <v>46382</v>
      </c>
      <c r="C250" t="s">
        <v>13</v>
      </c>
      <c r="D250" t="s">
        <v>6</v>
      </c>
      <c r="K250">
        <v>1</v>
      </c>
      <c r="L250" t="s">
        <v>34</v>
      </c>
    </row>
    <row r="251" spans="1:12" x14ac:dyDescent="0.25">
      <c r="A251" t="s">
        <v>328</v>
      </c>
      <c r="B251" s="6">
        <v>46382</v>
      </c>
      <c r="C251" t="s">
        <v>14</v>
      </c>
      <c r="D251" t="s">
        <v>16</v>
      </c>
      <c r="K251">
        <v>1</v>
      </c>
      <c r="L251" t="s">
        <v>34</v>
      </c>
    </row>
    <row r="252" spans="1:12" x14ac:dyDescent="0.25">
      <c r="A252" t="s">
        <v>329</v>
      </c>
      <c r="B252" s="6">
        <v>46382</v>
      </c>
      <c r="C252" t="s">
        <v>15</v>
      </c>
      <c r="D252" t="s">
        <v>22</v>
      </c>
      <c r="K252">
        <v>1</v>
      </c>
      <c r="L252" t="s">
        <v>34</v>
      </c>
    </row>
    <row r="253" spans="1:12" x14ac:dyDescent="0.25">
      <c r="A253" t="s">
        <v>330</v>
      </c>
      <c r="B253" s="6">
        <v>46382</v>
      </c>
      <c r="C253" t="s">
        <v>19</v>
      </c>
      <c r="D253" t="s">
        <v>17</v>
      </c>
      <c r="K253">
        <v>1</v>
      </c>
      <c r="L253" t="s">
        <v>34</v>
      </c>
    </row>
    <row r="254" spans="1:12" x14ac:dyDescent="0.25">
      <c r="A254" t="s">
        <v>331</v>
      </c>
      <c r="B254" s="6">
        <v>46385</v>
      </c>
      <c r="C254" t="s">
        <v>0</v>
      </c>
      <c r="D254" t="s">
        <v>11</v>
      </c>
      <c r="K254">
        <v>1</v>
      </c>
      <c r="L254" t="s">
        <v>34</v>
      </c>
    </row>
    <row r="255" spans="1:12" x14ac:dyDescent="0.25">
      <c r="A255" t="s">
        <v>332</v>
      </c>
      <c r="B255" s="6">
        <v>46385</v>
      </c>
      <c r="C255" t="s">
        <v>1</v>
      </c>
      <c r="D255" t="s">
        <v>5</v>
      </c>
      <c r="K255">
        <v>1</v>
      </c>
      <c r="L255" t="s">
        <v>34</v>
      </c>
    </row>
    <row r="256" spans="1:12" x14ac:dyDescent="0.25">
      <c r="A256" t="s">
        <v>333</v>
      </c>
      <c r="B256" s="6">
        <v>46385</v>
      </c>
      <c r="C256" t="s">
        <v>2</v>
      </c>
      <c r="D256" t="s">
        <v>3</v>
      </c>
      <c r="K256">
        <v>1</v>
      </c>
      <c r="L256" t="s">
        <v>34</v>
      </c>
    </row>
    <row r="257" spans="1:12" x14ac:dyDescent="0.25">
      <c r="A257" t="s">
        <v>334</v>
      </c>
      <c r="B257" s="6">
        <v>46385</v>
      </c>
      <c r="C257" t="s">
        <v>4</v>
      </c>
      <c r="D257" t="s">
        <v>14</v>
      </c>
      <c r="K257">
        <v>1</v>
      </c>
      <c r="L257" t="s">
        <v>34</v>
      </c>
    </row>
    <row r="258" spans="1:12" x14ac:dyDescent="0.25">
      <c r="A258" t="s">
        <v>335</v>
      </c>
      <c r="B258" s="6">
        <v>46385</v>
      </c>
      <c r="C258" t="s">
        <v>6</v>
      </c>
      <c r="D258" t="s">
        <v>7</v>
      </c>
      <c r="K258">
        <v>1</v>
      </c>
      <c r="L258" t="s">
        <v>34</v>
      </c>
    </row>
    <row r="259" spans="1:12" x14ac:dyDescent="0.25">
      <c r="A259" t="s">
        <v>336</v>
      </c>
      <c r="B259" s="6">
        <v>46385</v>
      </c>
      <c r="C259" t="s">
        <v>10</v>
      </c>
      <c r="D259" t="s">
        <v>9</v>
      </c>
      <c r="K259">
        <v>1</v>
      </c>
      <c r="L259" t="s">
        <v>34</v>
      </c>
    </row>
    <row r="260" spans="1:12" x14ac:dyDescent="0.25">
      <c r="A260" t="s">
        <v>337</v>
      </c>
      <c r="B260" s="6">
        <v>46385</v>
      </c>
      <c r="C260" t="s">
        <v>16</v>
      </c>
      <c r="D260" t="s">
        <v>33</v>
      </c>
      <c r="K260">
        <v>1</v>
      </c>
      <c r="L260" t="s">
        <v>34</v>
      </c>
    </row>
    <row r="261" spans="1:12" x14ac:dyDescent="0.25">
      <c r="A261" t="s">
        <v>338</v>
      </c>
      <c r="B261" s="6">
        <v>46385</v>
      </c>
      <c r="C261" t="s">
        <v>17</v>
      </c>
      <c r="D261" t="s">
        <v>15</v>
      </c>
      <c r="K261">
        <v>1</v>
      </c>
      <c r="L261" t="s">
        <v>34</v>
      </c>
    </row>
    <row r="262" spans="1:12" x14ac:dyDescent="0.25">
      <c r="A262" t="s">
        <v>339</v>
      </c>
      <c r="B262" s="6">
        <v>46385</v>
      </c>
      <c r="C262" t="s">
        <v>18</v>
      </c>
      <c r="D262" t="s">
        <v>12</v>
      </c>
      <c r="K262">
        <v>1</v>
      </c>
      <c r="L262" t="s">
        <v>34</v>
      </c>
    </row>
    <row r="263" spans="1:12" x14ac:dyDescent="0.25">
      <c r="A263" t="s">
        <v>340</v>
      </c>
      <c r="B263" s="6">
        <v>46385</v>
      </c>
      <c r="C263" t="s">
        <v>20</v>
      </c>
      <c r="D263" t="s">
        <v>8</v>
      </c>
      <c r="K263">
        <v>1</v>
      </c>
      <c r="L263" t="s">
        <v>34</v>
      </c>
    </row>
    <row r="264" spans="1:12" x14ac:dyDescent="0.25">
      <c r="A264" t="s">
        <v>341</v>
      </c>
      <c r="B264" s="6">
        <v>46385</v>
      </c>
      <c r="C264" t="s">
        <v>21</v>
      </c>
      <c r="D264" t="s">
        <v>13</v>
      </c>
      <c r="K264">
        <v>1</v>
      </c>
      <c r="L264" t="s">
        <v>34</v>
      </c>
    </row>
    <row r="265" spans="1:12" x14ac:dyDescent="0.25">
      <c r="A265" t="s">
        <v>342</v>
      </c>
      <c r="B265" s="6">
        <v>46385</v>
      </c>
      <c r="C265" t="s">
        <v>22</v>
      </c>
      <c r="D265" t="s">
        <v>19</v>
      </c>
      <c r="K265">
        <v>1</v>
      </c>
      <c r="L265" t="s">
        <v>34</v>
      </c>
    </row>
    <row r="266" spans="1:12" x14ac:dyDescent="0.25">
      <c r="A266" t="s">
        <v>343</v>
      </c>
      <c r="B266" s="6">
        <v>46388</v>
      </c>
      <c r="C266" t="s">
        <v>0</v>
      </c>
      <c r="D266" t="s">
        <v>15</v>
      </c>
      <c r="K266">
        <v>1</v>
      </c>
      <c r="L266" t="s">
        <v>34</v>
      </c>
    </row>
    <row r="267" spans="1:12" x14ac:dyDescent="0.25">
      <c r="A267" t="s">
        <v>344</v>
      </c>
      <c r="B267" s="6">
        <v>46388</v>
      </c>
      <c r="C267" t="s">
        <v>1</v>
      </c>
      <c r="D267" t="s">
        <v>13</v>
      </c>
      <c r="K267">
        <v>1</v>
      </c>
      <c r="L267" t="s">
        <v>34</v>
      </c>
    </row>
    <row r="268" spans="1:12" x14ac:dyDescent="0.25">
      <c r="A268" t="s">
        <v>345</v>
      </c>
      <c r="B268" s="6">
        <v>46388</v>
      </c>
      <c r="C268" t="s">
        <v>2</v>
      </c>
      <c r="D268" t="s">
        <v>7</v>
      </c>
      <c r="K268">
        <v>1</v>
      </c>
      <c r="L268" t="s">
        <v>34</v>
      </c>
    </row>
    <row r="269" spans="1:12" x14ac:dyDescent="0.25">
      <c r="A269" t="s">
        <v>346</v>
      </c>
      <c r="B269" s="6">
        <v>46388</v>
      </c>
      <c r="C269" t="s">
        <v>4</v>
      </c>
      <c r="D269" t="s">
        <v>19</v>
      </c>
      <c r="K269">
        <v>1</v>
      </c>
      <c r="L269" t="s">
        <v>34</v>
      </c>
    </row>
    <row r="270" spans="1:12" x14ac:dyDescent="0.25">
      <c r="A270" t="s">
        <v>347</v>
      </c>
      <c r="B270" s="6">
        <v>46388</v>
      </c>
      <c r="C270" t="s">
        <v>10</v>
      </c>
      <c r="D270" t="s">
        <v>14</v>
      </c>
      <c r="K270">
        <v>1</v>
      </c>
      <c r="L270" t="s">
        <v>34</v>
      </c>
    </row>
    <row r="271" spans="1:12" x14ac:dyDescent="0.25">
      <c r="A271" t="s">
        <v>348</v>
      </c>
      <c r="B271" s="6">
        <v>46388</v>
      </c>
      <c r="C271" t="s">
        <v>17</v>
      </c>
      <c r="D271" t="s">
        <v>33</v>
      </c>
      <c r="K271">
        <v>1</v>
      </c>
      <c r="L271" t="s">
        <v>34</v>
      </c>
    </row>
    <row r="272" spans="1:12" x14ac:dyDescent="0.25">
      <c r="A272" t="s">
        <v>349</v>
      </c>
      <c r="B272" s="6">
        <v>46388</v>
      </c>
      <c r="C272" t="s">
        <v>18</v>
      </c>
      <c r="D272" t="s">
        <v>8</v>
      </c>
      <c r="K272">
        <v>1</v>
      </c>
      <c r="L272" t="s">
        <v>34</v>
      </c>
    </row>
    <row r="273" spans="1:12" x14ac:dyDescent="0.25">
      <c r="A273" t="s">
        <v>350</v>
      </c>
      <c r="B273" s="6">
        <v>46388</v>
      </c>
      <c r="C273" t="s">
        <v>21</v>
      </c>
      <c r="D273" t="s">
        <v>3</v>
      </c>
      <c r="K273">
        <v>1</v>
      </c>
      <c r="L273" t="s">
        <v>34</v>
      </c>
    </row>
    <row r="274" spans="1:12" x14ac:dyDescent="0.25">
      <c r="A274" t="s">
        <v>351</v>
      </c>
      <c r="B274" s="6">
        <v>46388</v>
      </c>
      <c r="C274" t="s">
        <v>22</v>
      </c>
      <c r="D274" t="s">
        <v>9</v>
      </c>
      <c r="K274">
        <v>1</v>
      </c>
      <c r="L274" t="s">
        <v>34</v>
      </c>
    </row>
    <row r="275" spans="1:12" x14ac:dyDescent="0.25">
      <c r="A275" t="s">
        <v>352</v>
      </c>
      <c r="B275" s="6">
        <v>46389</v>
      </c>
      <c r="C275" t="s">
        <v>6</v>
      </c>
      <c r="D275" t="s">
        <v>12</v>
      </c>
      <c r="K275">
        <v>1</v>
      </c>
      <c r="L275" t="s">
        <v>34</v>
      </c>
    </row>
    <row r="276" spans="1:12" x14ac:dyDescent="0.25">
      <c r="A276" t="s">
        <v>353</v>
      </c>
      <c r="B276" s="6">
        <v>46389</v>
      </c>
      <c r="C276" t="s">
        <v>16</v>
      </c>
      <c r="D276" t="s">
        <v>11</v>
      </c>
      <c r="K276">
        <v>1</v>
      </c>
      <c r="L276" t="s">
        <v>34</v>
      </c>
    </row>
    <row r="277" spans="1:12" x14ac:dyDescent="0.25">
      <c r="A277" t="s">
        <v>354</v>
      </c>
      <c r="B277" s="6">
        <v>46389</v>
      </c>
      <c r="C277" t="s">
        <v>20</v>
      </c>
      <c r="D277" t="s">
        <v>5</v>
      </c>
      <c r="K277">
        <v>1</v>
      </c>
      <c r="L277" t="s">
        <v>34</v>
      </c>
    </row>
    <row r="278" spans="1:12" x14ac:dyDescent="0.25">
      <c r="A278" t="s">
        <v>355</v>
      </c>
      <c r="B278" s="6">
        <v>46395</v>
      </c>
      <c r="C278" t="s">
        <v>5</v>
      </c>
      <c r="D278" t="s">
        <v>2</v>
      </c>
      <c r="K278">
        <v>1</v>
      </c>
      <c r="L278" t="s">
        <v>34</v>
      </c>
    </row>
    <row r="279" spans="1:12" x14ac:dyDescent="0.25">
      <c r="A279" t="s">
        <v>356</v>
      </c>
      <c r="B279" s="6">
        <v>46396</v>
      </c>
      <c r="C279" t="s">
        <v>3</v>
      </c>
      <c r="D279" t="s">
        <v>4</v>
      </c>
      <c r="K279">
        <v>1</v>
      </c>
      <c r="L279" t="s">
        <v>34</v>
      </c>
    </row>
    <row r="280" spans="1:12" x14ac:dyDescent="0.25">
      <c r="A280" t="s">
        <v>357</v>
      </c>
      <c r="B280" s="6">
        <v>46396</v>
      </c>
      <c r="C280" t="s">
        <v>7</v>
      </c>
      <c r="D280" t="s">
        <v>22</v>
      </c>
      <c r="K280">
        <v>1</v>
      </c>
      <c r="L280" t="s">
        <v>34</v>
      </c>
    </row>
    <row r="281" spans="1:12" x14ac:dyDescent="0.25">
      <c r="A281" t="s">
        <v>358</v>
      </c>
      <c r="B281" s="6">
        <v>46396</v>
      </c>
      <c r="C281" t="s">
        <v>8</v>
      </c>
      <c r="D281" t="s">
        <v>1</v>
      </c>
      <c r="K281">
        <v>1</v>
      </c>
      <c r="L281" t="s">
        <v>34</v>
      </c>
    </row>
    <row r="282" spans="1:12" x14ac:dyDescent="0.25">
      <c r="A282" t="s">
        <v>359</v>
      </c>
      <c r="B282" s="6">
        <v>46396</v>
      </c>
      <c r="C282" t="s">
        <v>9</v>
      </c>
      <c r="D282" t="s">
        <v>17</v>
      </c>
      <c r="K282">
        <v>1</v>
      </c>
      <c r="L282" t="s">
        <v>34</v>
      </c>
    </row>
    <row r="283" spans="1:12" x14ac:dyDescent="0.25">
      <c r="A283" t="s">
        <v>360</v>
      </c>
      <c r="B283" s="6">
        <v>46396</v>
      </c>
      <c r="C283" t="s">
        <v>11</v>
      </c>
      <c r="D283" t="s">
        <v>18</v>
      </c>
      <c r="K283">
        <v>1</v>
      </c>
      <c r="L283" t="s">
        <v>34</v>
      </c>
    </row>
    <row r="284" spans="1:12" x14ac:dyDescent="0.25">
      <c r="A284" t="s">
        <v>361</v>
      </c>
      <c r="B284" s="6">
        <v>46396</v>
      </c>
      <c r="C284" t="s">
        <v>12</v>
      </c>
      <c r="D284" t="s">
        <v>16</v>
      </c>
      <c r="K284">
        <v>1</v>
      </c>
      <c r="L284" t="s">
        <v>34</v>
      </c>
    </row>
    <row r="285" spans="1:12" x14ac:dyDescent="0.25">
      <c r="A285" t="s">
        <v>362</v>
      </c>
      <c r="B285" s="6">
        <v>46396</v>
      </c>
      <c r="C285" t="s">
        <v>33</v>
      </c>
      <c r="D285" t="s">
        <v>20</v>
      </c>
      <c r="K285">
        <v>1</v>
      </c>
      <c r="L285" t="s">
        <v>34</v>
      </c>
    </row>
    <row r="286" spans="1:12" x14ac:dyDescent="0.25">
      <c r="A286" t="s">
        <v>363</v>
      </c>
      <c r="B286" s="6">
        <v>46396</v>
      </c>
      <c r="C286" t="s">
        <v>13</v>
      </c>
      <c r="D286" t="s">
        <v>10</v>
      </c>
      <c r="K286">
        <v>1</v>
      </c>
      <c r="L286" t="s">
        <v>34</v>
      </c>
    </row>
    <row r="287" spans="1:12" x14ac:dyDescent="0.25">
      <c r="A287" t="s">
        <v>364</v>
      </c>
      <c r="B287" s="6">
        <v>46396</v>
      </c>
      <c r="C287" t="s">
        <v>14</v>
      </c>
      <c r="D287" t="s">
        <v>0</v>
      </c>
      <c r="K287">
        <v>1</v>
      </c>
      <c r="L287" t="s">
        <v>34</v>
      </c>
    </row>
    <row r="288" spans="1:12" x14ac:dyDescent="0.25">
      <c r="A288" t="s">
        <v>365</v>
      </c>
      <c r="B288" s="6">
        <v>46396</v>
      </c>
      <c r="C288" t="s">
        <v>15</v>
      </c>
      <c r="D288" t="s">
        <v>21</v>
      </c>
      <c r="K288">
        <v>1</v>
      </c>
      <c r="L288" t="s">
        <v>34</v>
      </c>
    </row>
    <row r="289" spans="1:12" x14ac:dyDescent="0.25">
      <c r="A289" t="s">
        <v>366</v>
      </c>
      <c r="B289" s="6">
        <v>46396</v>
      </c>
      <c r="C289" t="s">
        <v>19</v>
      </c>
      <c r="D289" t="s">
        <v>6</v>
      </c>
      <c r="K289">
        <v>1</v>
      </c>
      <c r="L289" t="s">
        <v>34</v>
      </c>
    </row>
    <row r="290" spans="1:12" x14ac:dyDescent="0.25">
      <c r="A290" t="s">
        <v>367</v>
      </c>
      <c r="B290" s="6">
        <v>46403</v>
      </c>
      <c r="C290" t="s">
        <v>0</v>
      </c>
      <c r="D290" t="s">
        <v>18</v>
      </c>
      <c r="K290">
        <v>1</v>
      </c>
      <c r="L290" t="s">
        <v>34</v>
      </c>
    </row>
    <row r="291" spans="1:12" x14ac:dyDescent="0.25">
      <c r="A291" t="s">
        <v>368</v>
      </c>
      <c r="B291" s="6">
        <v>46403</v>
      </c>
      <c r="C291" t="s">
        <v>2</v>
      </c>
      <c r="D291" t="s">
        <v>10</v>
      </c>
      <c r="K291">
        <v>1</v>
      </c>
      <c r="L291" t="s">
        <v>34</v>
      </c>
    </row>
    <row r="292" spans="1:12" x14ac:dyDescent="0.25">
      <c r="A292" t="s">
        <v>369</v>
      </c>
      <c r="B292" s="6">
        <v>46403</v>
      </c>
      <c r="C292" t="s">
        <v>4</v>
      </c>
      <c r="D292" t="s">
        <v>20</v>
      </c>
      <c r="K292">
        <v>1</v>
      </c>
      <c r="L292" t="s">
        <v>34</v>
      </c>
    </row>
    <row r="293" spans="1:12" x14ac:dyDescent="0.25">
      <c r="A293" t="s">
        <v>370</v>
      </c>
      <c r="B293" s="6">
        <v>46403</v>
      </c>
      <c r="C293" t="s">
        <v>5</v>
      </c>
      <c r="D293" t="s">
        <v>15</v>
      </c>
      <c r="K293">
        <v>1</v>
      </c>
      <c r="L293" t="s">
        <v>34</v>
      </c>
    </row>
    <row r="294" spans="1:12" x14ac:dyDescent="0.25">
      <c r="A294" t="s">
        <v>371</v>
      </c>
      <c r="B294" s="6">
        <v>46403</v>
      </c>
      <c r="C294" t="s">
        <v>6</v>
      </c>
      <c r="D294" t="s">
        <v>1</v>
      </c>
      <c r="K294">
        <v>1</v>
      </c>
      <c r="L294" t="s">
        <v>34</v>
      </c>
    </row>
    <row r="295" spans="1:12" x14ac:dyDescent="0.25">
      <c r="A295" t="s">
        <v>372</v>
      </c>
      <c r="B295" s="6">
        <v>46403</v>
      </c>
      <c r="C295" t="s">
        <v>7</v>
      </c>
      <c r="D295" t="s">
        <v>9</v>
      </c>
      <c r="K295">
        <v>1</v>
      </c>
      <c r="L295" t="s">
        <v>34</v>
      </c>
    </row>
    <row r="296" spans="1:12" x14ac:dyDescent="0.25">
      <c r="A296" t="s">
        <v>373</v>
      </c>
      <c r="B296" s="6">
        <v>46403</v>
      </c>
      <c r="C296" t="s">
        <v>8</v>
      </c>
      <c r="D296" t="s">
        <v>16</v>
      </c>
      <c r="K296">
        <v>1</v>
      </c>
      <c r="L296" t="s">
        <v>34</v>
      </c>
    </row>
    <row r="297" spans="1:12" x14ac:dyDescent="0.25">
      <c r="A297" t="s">
        <v>374</v>
      </c>
      <c r="B297" s="6">
        <v>46403</v>
      </c>
      <c r="C297" t="s">
        <v>11</v>
      </c>
      <c r="D297" t="s">
        <v>33</v>
      </c>
      <c r="K297">
        <v>1</v>
      </c>
      <c r="L297" t="s">
        <v>34</v>
      </c>
    </row>
    <row r="298" spans="1:12" x14ac:dyDescent="0.25">
      <c r="A298" t="s">
        <v>375</v>
      </c>
      <c r="B298" s="6">
        <v>46403</v>
      </c>
      <c r="C298" t="s">
        <v>13</v>
      </c>
      <c r="D298" t="s">
        <v>22</v>
      </c>
      <c r="K298">
        <v>1</v>
      </c>
      <c r="L298" t="s">
        <v>34</v>
      </c>
    </row>
    <row r="299" spans="1:12" x14ac:dyDescent="0.25">
      <c r="A299" t="s">
        <v>376</v>
      </c>
      <c r="B299" s="6">
        <v>46403</v>
      </c>
      <c r="C299" t="s">
        <v>14</v>
      </c>
      <c r="D299" t="s">
        <v>12</v>
      </c>
      <c r="K299">
        <v>1</v>
      </c>
      <c r="L299" t="s">
        <v>34</v>
      </c>
    </row>
    <row r="300" spans="1:12" x14ac:dyDescent="0.25">
      <c r="A300" t="s">
        <v>377</v>
      </c>
      <c r="B300" s="6">
        <v>46403</v>
      </c>
      <c r="C300" t="s">
        <v>17</v>
      </c>
      <c r="D300" t="s">
        <v>21</v>
      </c>
      <c r="K300">
        <v>1</v>
      </c>
      <c r="L300" t="s">
        <v>34</v>
      </c>
    </row>
    <row r="301" spans="1:12" x14ac:dyDescent="0.25">
      <c r="A301" t="s">
        <v>378</v>
      </c>
      <c r="B301" s="6">
        <v>46403</v>
      </c>
      <c r="C301" t="s">
        <v>19</v>
      </c>
      <c r="D301" t="s">
        <v>3</v>
      </c>
      <c r="K301">
        <v>1</v>
      </c>
      <c r="L301" t="s">
        <v>34</v>
      </c>
    </row>
    <row r="302" spans="1:12" x14ac:dyDescent="0.25">
      <c r="A302" t="s">
        <v>379</v>
      </c>
      <c r="B302" s="6">
        <v>46406</v>
      </c>
      <c r="C302" t="s">
        <v>1</v>
      </c>
      <c r="D302" t="s">
        <v>11</v>
      </c>
      <c r="K302">
        <v>1</v>
      </c>
      <c r="L302" t="s">
        <v>34</v>
      </c>
    </row>
    <row r="303" spans="1:12" x14ac:dyDescent="0.25">
      <c r="A303" t="s">
        <v>380</v>
      </c>
      <c r="B303" s="6">
        <v>46406</v>
      </c>
      <c r="C303" t="s">
        <v>3</v>
      </c>
      <c r="D303" t="s">
        <v>5</v>
      </c>
      <c r="K303">
        <v>1</v>
      </c>
      <c r="L303" t="s">
        <v>34</v>
      </c>
    </row>
    <row r="304" spans="1:12" x14ac:dyDescent="0.25">
      <c r="A304" t="s">
        <v>381</v>
      </c>
      <c r="B304" s="6">
        <v>46406</v>
      </c>
      <c r="C304" t="s">
        <v>9</v>
      </c>
      <c r="D304" t="s">
        <v>4</v>
      </c>
      <c r="K304">
        <v>1</v>
      </c>
      <c r="L304" t="s">
        <v>34</v>
      </c>
    </row>
    <row r="305" spans="1:12" x14ac:dyDescent="0.25">
      <c r="A305" t="s">
        <v>382</v>
      </c>
      <c r="B305" s="6">
        <v>46406</v>
      </c>
      <c r="C305" t="s">
        <v>10</v>
      </c>
      <c r="D305" t="s">
        <v>17</v>
      </c>
      <c r="K305">
        <v>1</v>
      </c>
      <c r="L305" t="s">
        <v>34</v>
      </c>
    </row>
    <row r="306" spans="1:12" x14ac:dyDescent="0.25">
      <c r="A306" t="s">
        <v>383</v>
      </c>
      <c r="B306" s="6">
        <v>46406</v>
      </c>
      <c r="C306" t="s">
        <v>12</v>
      </c>
      <c r="D306" t="s">
        <v>0</v>
      </c>
      <c r="K306">
        <v>1</v>
      </c>
      <c r="L306" t="s">
        <v>34</v>
      </c>
    </row>
    <row r="307" spans="1:12" x14ac:dyDescent="0.25">
      <c r="A307" t="s">
        <v>384</v>
      </c>
      <c r="B307" s="6">
        <v>46406</v>
      </c>
      <c r="C307" t="s">
        <v>33</v>
      </c>
      <c r="D307" t="s">
        <v>2</v>
      </c>
      <c r="K307">
        <v>1</v>
      </c>
      <c r="L307" t="s">
        <v>34</v>
      </c>
    </row>
    <row r="308" spans="1:12" x14ac:dyDescent="0.25">
      <c r="A308" t="s">
        <v>385</v>
      </c>
      <c r="B308" s="6">
        <v>46406</v>
      </c>
      <c r="C308" t="s">
        <v>15</v>
      </c>
      <c r="D308" t="s">
        <v>8</v>
      </c>
      <c r="K308">
        <v>1</v>
      </c>
      <c r="L308" t="s">
        <v>34</v>
      </c>
    </row>
    <row r="309" spans="1:12" x14ac:dyDescent="0.25">
      <c r="A309" t="s">
        <v>386</v>
      </c>
      <c r="B309" s="6">
        <v>46406</v>
      </c>
      <c r="C309" t="s">
        <v>16</v>
      </c>
      <c r="D309" t="s">
        <v>19</v>
      </c>
      <c r="K309">
        <v>1</v>
      </c>
      <c r="L309" t="s">
        <v>34</v>
      </c>
    </row>
    <row r="310" spans="1:12" x14ac:dyDescent="0.25">
      <c r="A310" t="s">
        <v>387</v>
      </c>
      <c r="B310" s="6">
        <v>46406</v>
      </c>
      <c r="C310" t="s">
        <v>18</v>
      </c>
      <c r="D310" t="s">
        <v>13</v>
      </c>
      <c r="K310">
        <v>1</v>
      </c>
      <c r="L310" t="s">
        <v>34</v>
      </c>
    </row>
    <row r="311" spans="1:12" x14ac:dyDescent="0.25">
      <c r="A311" t="s">
        <v>388</v>
      </c>
      <c r="B311" s="6">
        <v>46406</v>
      </c>
      <c r="C311" t="s">
        <v>20</v>
      </c>
      <c r="D311" t="s">
        <v>7</v>
      </c>
      <c r="K311">
        <v>1</v>
      </c>
      <c r="L311" t="s">
        <v>34</v>
      </c>
    </row>
    <row r="312" spans="1:12" x14ac:dyDescent="0.25">
      <c r="A312" t="s">
        <v>389</v>
      </c>
      <c r="B312" s="6">
        <v>46406</v>
      </c>
      <c r="C312" t="s">
        <v>21</v>
      </c>
      <c r="D312" t="s">
        <v>14</v>
      </c>
      <c r="K312">
        <v>1</v>
      </c>
      <c r="L312" t="s">
        <v>34</v>
      </c>
    </row>
    <row r="313" spans="1:12" x14ac:dyDescent="0.25">
      <c r="A313" t="s">
        <v>390</v>
      </c>
      <c r="B313" s="6">
        <v>46406</v>
      </c>
      <c r="C313" t="s">
        <v>22</v>
      </c>
      <c r="D313" t="s">
        <v>6</v>
      </c>
      <c r="K313">
        <v>1</v>
      </c>
      <c r="L313" t="s">
        <v>34</v>
      </c>
    </row>
    <row r="314" spans="1:12" x14ac:dyDescent="0.25">
      <c r="A314" t="s">
        <v>391</v>
      </c>
      <c r="B314" s="6">
        <v>46410</v>
      </c>
      <c r="C314" t="s">
        <v>1</v>
      </c>
      <c r="D314" t="s">
        <v>17</v>
      </c>
      <c r="K314">
        <v>1</v>
      </c>
      <c r="L314" t="s">
        <v>34</v>
      </c>
    </row>
    <row r="315" spans="1:12" x14ac:dyDescent="0.25">
      <c r="A315" t="s">
        <v>392</v>
      </c>
      <c r="B315" s="6">
        <v>46410</v>
      </c>
      <c r="C315" t="s">
        <v>3</v>
      </c>
      <c r="D315" t="s">
        <v>14</v>
      </c>
      <c r="K315">
        <v>1</v>
      </c>
      <c r="L315" t="s">
        <v>34</v>
      </c>
    </row>
    <row r="316" spans="1:12" x14ac:dyDescent="0.25">
      <c r="A316" t="s">
        <v>393</v>
      </c>
      <c r="B316" s="6">
        <v>46410</v>
      </c>
      <c r="C316" t="s">
        <v>9</v>
      </c>
      <c r="D316" t="s">
        <v>11</v>
      </c>
      <c r="K316">
        <v>1</v>
      </c>
      <c r="L316" t="s">
        <v>34</v>
      </c>
    </row>
    <row r="317" spans="1:12" x14ac:dyDescent="0.25">
      <c r="A317" t="s">
        <v>394</v>
      </c>
      <c r="B317" s="6">
        <v>46410</v>
      </c>
      <c r="C317" t="s">
        <v>10</v>
      </c>
      <c r="D317" t="s">
        <v>5</v>
      </c>
      <c r="K317">
        <v>1</v>
      </c>
      <c r="L317" t="s">
        <v>34</v>
      </c>
    </row>
    <row r="318" spans="1:12" x14ac:dyDescent="0.25">
      <c r="A318" t="s">
        <v>395</v>
      </c>
      <c r="B318" s="6">
        <v>46410</v>
      </c>
      <c r="C318" t="s">
        <v>12</v>
      </c>
      <c r="D318" t="s">
        <v>2</v>
      </c>
      <c r="K318">
        <v>1</v>
      </c>
      <c r="L318" t="s">
        <v>34</v>
      </c>
    </row>
    <row r="319" spans="1:12" x14ac:dyDescent="0.25">
      <c r="A319" t="s">
        <v>396</v>
      </c>
      <c r="B319" s="6">
        <v>46410</v>
      </c>
      <c r="C319" t="s">
        <v>33</v>
      </c>
      <c r="D319" t="s">
        <v>19</v>
      </c>
      <c r="K319">
        <v>1</v>
      </c>
      <c r="L319" t="s">
        <v>34</v>
      </c>
    </row>
    <row r="320" spans="1:12" x14ac:dyDescent="0.25">
      <c r="A320" t="s">
        <v>397</v>
      </c>
      <c r="B320" s="6">
        <v>46410</v>
      </c>
      <c r="C320" t="s">
        <v>15</v>
      </c>
      <c r="D320" t="s">
        <v>4</v>
      </c>
      <c r="K320">
        <v>1</v>
      </c>
      <c r="L320" t="s">
        <v>34</v>
      </c>
    </row>
    <row r="321" spans="1:12" x14ac:dyDescent="0.25">
      <c r="A321" t="s">
        <v>398</v>
      </c>
      <c r="B321" s="6">
        <v>46410</v>
      </c>
      <c r="C321" t="s">
        <v>16</v>
      </c>
      <c r="D321" t="s">
        <v>6</v>
      </c>
      <c r="K321">
        <v>1</v>
      </c>
      <c r="L321" t="s">
        <v>34</v>
      </c>
    </row>
    <row r="322" spans="1:12" x14ac:dyDescent="0.25">
      <c r="A322" t="s">
        <v>399</v>
      </c>
      <c r="B322" s="6">
        <v>46410</v>
      </c>
      <c r="C322" t="s">
        <v>18</v>
      </c>
      <c r="D322" t="s">
        <v>7</v>
      </c>
      <c r="K322">
        <v>1</v>
      </c>
      <c r="L322" t="s">
        <v>34</v>
      </c>
    </row>
    <row r="323" spans="1:12" x14ac:dyDescent="0.25">
      <c r="A323" t="s">
        <v>400</v>
      </c>
      <c r="B323" s="6">
        <v>46410</v>
      </c>
      <c r="C323" t="s">
        <v>20</v>
      </c>
      <c r="D323" t="s">
        <v>13</v>
      </c>
      <c r="K323">
        <v>1</v>
      </c>
      <c r="L323" t="s">
        <v>34</v>
      </c>
    </row>
    <row r="324" spans="1:12" x14ac:dyDescent="0.25">
      <c r="A324" t="s">
        <v>401</v>
      </c>
      <c r="B324" s="6">
        <v>46410</v>
      </c>
      <c r="C324" t="s">
        <v>21</v>
      </c>
      <c r="D324" t="s">
        <v>8</v>
      </c>
      <c r="K324">
        <v>1</v>
      </c>
      <c r="L324" t="s">
        <v>34</v>
      </c>
    </row>
    <row r="325" spans="1:12" x14ac:dyDescent="0.25">
      <c r="A325" t="s">
        <v>402</v>
      </c>
      <c r="B325" s="6">
        <v>46410</v>
      </c>
      <c r="C325" t="s">
        <v>22</v>
      </c>
      <c r="D325" t="s">
        <v>0</v>
      </c>
      <c r="K325">
        <v>1</v>
      </c>
      <c r="L325" t="s">
        <v>34</v>
      </c>
    </row>
    <row r="326" spans="1:12" x14ac:dyDescent="0.25">
      <c r="A326" t="s">
        <v>403</v>
      </c>
      <c r="B326" s="6">
        <v>46417</v>
      </c>
      <c r="C326" t="s">
        <v>0</v>
      </c>
      <c r="D326" t="s">
        <v>20</v>
      </c>
      <c r="K326">
        <v>1</v>
      </c>
      <c r="L326" t="s">
        <v>34</v>
      </c>
    </row>
    <row r="327" spans="1:12" x14ac:dyDescent="0.25">
      <c r="A327" t="s">
        <v>404</v>
      </c>
      <c r="B327" s="6">
        <v>46417</v>
      </c>
      <c r="C327" t="s">
        <v>2</v>
      </c>
      <c r="D327" t="s">
        <v>18</v>
      </c>
      <c r="K327">
        <v>1</v>
      </c>
      <c r="L327" t="s">
        <v>34</v>
      </c>
    </row>
    <row r="328" spans="1:12" x14ac:dyDescent="0.25">
      <c r="A328" t="s">
        <v>405</v>
      </c>
      <c r="B328" s="6">
        <v>46417</v>
      </c>
      <c r="C328" t="s">
        <v>4</v>
      </c>
      <c r="D328" t="s">
        <v>21</v>
      </c>
      <c r="K328">
        <v>1</v>
      </c>
      <c r="L328" t="s">
        <v>34</v>
      </c>
    </row>
    <row r="329" spans="1:12" x14ac:dyDescent="0.25">
      <c r="A329" t="s">
        <v>406</v>
      </c>
      <c r="B329" s="6">
        <v>46417</v>
      </c>
      <c r="C329" t="s">
        <v>5</v>
      </c>
      <c r="D329" t="s">
        <v>22</v>
      </c>
      <c r="K329">
        <v>1</v>
      </c>
      <c r="L329" t="s">
        <v>34</v>
      </c>
    </row>
    <row r="330" spans="1:12" x14ac:dyDescent="0.25">
      <c r="A330" t="s">
        <v>407</v>
      </c>
      <c r="B330" s="6">
        <v>46417</v>
      </c>
      <c r="C330" t="s">
        <v>6</v>
      </c>
      <c r="D330" t="s">
        <v>10</v>
      </c>
      <c r="K330">
        <v>1</v>
      </c>
      <c r="L330" t="s">
        <v>34</v>
      </c>
    </row>
    <row r="331" spans="1:12" x14ac:dyDescent="0.25">
      <c r="A331" t="s">
        <v>408</v>
      </c>
      <c r="B331" s="6">
        <v>46417</v>
      </c>
      <c r="C331" t="s">
        <v>7</v>
      </c>
      <c r="D331" t="s">
        <v>33</v>
      </c>
      <c r="K331">
        <v>1</v>
      </c>
      <c r="L331" t="s">
        <v>34</v>
      </c>
    </row>
    <row r="332" spans="1:12" x14ac:dyDescent="0.25">
      <c r="A332" t="s">
        <v>409</v>
      </c>
      <c r="B332" s="6">
        <v>46417</v>
      </c>
      <c r="C332" t="s">
        <v>8</v>
      </c>
      <c r="D332" t="s">
        <v>3</v>
      </c>
      <c r="K332">
        <v>1</v>
      </c>
      <c r="L332" t="s">
        <v>34</v>
      </c>
    </row>
    <row r="333" spans="1:12" x14ac:dyDescent="0.25">
      <c r="A333" t="s">
        <v>410</v>
      </c>
      <c r="B333" s="6">
        <v>46417</v>
      </c>
      <c r="C333" t="s">
        <v>11</v>
      </c>
      <c r="D333" t="s">
        <v>15</v>
      </c>
      <c r="K333">
        <v>1</v>
      </c>
      <c r="L333" t="s">
        <v>34</v>
      </c>
    </row>
    <row r="334" spans="1:12" x14ac:dyDescent="0.25">
      <c r="A334" t="s">
        <v>411</v>
      </c>
      <c r="B334" s="6">
        <v>46417</v>
      </c>
      <c r="C334" t="s">
        <v>13</v>
      </c>
      <c r="D334" t="s">
        <v>12</v>
      </c>
      <c r="K334">
        <v>1</v>
      </c>
      <c r="L334" t="s">
        <v>34</v>
      </c>
    </row>
    <row r="335" spans="1:12" x14ac:dyDescent="0.25">
      <c r="A335" t="s">
        <v>412</v>
      </c>
      <c r="B335" s="6">
        <v>46417</v>
      </c>
      <c r="C335" t="s">
        <v>14</v>
      </c>
      <c r="D335" t="s">
        <v>1</v>
      </c>
      <c r="K335">
        <v>1</v>
      </c>
      <c r="L335" t="s">
        <v>34</v>
      </c>
    </row>
    <row r="336" spans="1:12" x14ac:dyDescent="0.25">
      <c r="A336" t="s">
        <v>413</v>
      </c>
      <c r="B336" s="6">
        <v>46417</v>
      </c>
      <c r="C336" t="s">
        <v>17</v>
      </c>
      <c r="D336" t="s">
        <v>16</v>
      </c>
      <c r="K336">
        <v>1</v>
      </c>
      <c r="L336" t="s">
        <v>34</v>
      </c>
    </row>
    <row r="337" spans="1:12" x14ac:dyDescent="0.25">
      <c r="A337" t="s">
        <v>414</v>
      </c>
      <c r="B337" s="6">
        <v>46417</v>
      </c>
      <c r="C337" t="s">
        <v>19</v>
      </c>
      <c r="D337" t="s">
        <v>9</v>
      </c>
      <c r="K337">
        <v>1</v>
      </c>
      <c r="L337" t="s">
        <v>34</v>
      </c>
    </row>
    <row r="338" spans="1:12" x14ac:dyDescent="0.25">
      <c r="A338" t="s">
        <v>415</v>
      </c>
      <c r="B338" s="6">
        <v>46424</v>
      </c>
      <c r="C338" t="s">
        <v>1</v>
      </c>
      <c r="D338" t="s">
        <v>10</v>
      </c>
      <c r="K338">
        <v>1</v>
      </c>
      <c r="L338" t="s">
        <v>34</v>
      </c>
    </row>
    <row r="339" spans="1:12" x14ac:dyDescent="0.25">
      <c r="A339" t="s">
        <v>416</v>
      </c>
      <c r="B339" s="6">
        <v>46424</v>
      </c>
      <c r="C339" t="s">
        <v>3</v>
      </c>
      <c r="D339" t="s">
        <v>16</v>
      </c>
      <c r="K339">
        <v>1</v>
      </c>
      <c r="L339" t="s">
        <v>34</v>
      </c>
    </row>
    <row r="340" spans="1:12" x14ac:dyDescent="0.25">
      <c r="A340" t="s">
        <v>417</v>
      </c>
      <c r="B340" s="6">
        <v>46424</v>
      </c>
      <c r="C340" t="s">
        <v>4</v>
      </c>
      <c r="D340" t="s">
        <v>18</v>
      </c>
      <c r="K340">
        <v>1</v>
      </c>
      <c r="L340" t="s">
        <v>34</v>
      </c>
    </row>
    <row r="341" spans="1:12" x14ac:dyDescent="0.25">
      <c r="A341" t="s">
        <v>418</v>
      </c>
      <c r="B341" s="6">
        <v>46424</v>
      </c>
      <c r="C341" t="s">
        <v>5</v>
      </c>
      <c r="D341" t="s">
        <v>13</v>
      </c>
      <c r="K341">
        <v>1</v>
      </c>
      <c r="L341" t="s">
        <v>34</v>
      </c>
    </row>
    <row r="342" spans="1:12" x14ac:dyDescent="0.25">
      <c r="A342" t="s">
        <v>419</v>
      </c>
      <c r="B342" s="6">
        <v>46424</v>
      </c>
      <c r="C342" t="s">
        <v>7</v>
      </c>
      <c r="D342" t="s">
        <v>19</v>
      </c>
      <c r="K342">
        <v>1</v>
      </c>
      <c r="L342" t="s">
        <v>34</v>
      </c>
    </row>
    <row r="343" spans="1:12" x14ac:dyDescent="0.25">
      <c r="A343" t="s">
        <v>420</v>
      </c>
      <c r="B343" s="6">
        <v>46424</v>
      </c>
      <c r="C343" t="s">
        <v>8</v>
      </c>
      <c r="D343" t="s">
        <v>6</v>
      </c>
      <c r="K343">
        <v>1</v>
      </c>
      <c r="L343" t="s">
        <v>34</v>
      </c>
    </row>
    <row r="344" spans="1:12" x14ac:dyDescent="0.25">
      <c r="A344" t="s">
        <v>421</v>
      </c>
      <c r="B344" s="6">
        <v>46424</v>
      </c>
      <c r="C344" t="s">
        <v>9</v>
      </c>
      <c r="D344" t="s">
        <v>33</v>
      </c>
      <c r="K344">
        <v>1</v>
      </c>
      <c r="L344" t="s">
        <v>34</v>
      </c>
    </row>
    <row r="345" spans="1:12" x14ac:dyDescent="0.25">
      <c r="A345" t="s">
        <v>422</v>
      </c>
      <c r="B345" s="6">
        <v>46424</v>
      </c>
      <c r="C345" t="s">
        <v>11</v>
      </c>
      <c r="D345" t="s">
        <v>12</v>
      </c>
      <c r="K345">
        <v>1</v>
      </c>
      <c r="L345" t="s">
        <v>34</v>
      </c>
    </row>
    <row r="346" spans="1:12" x14ac:dyDescent="0.25">
      <c r="A346" t="s">
        <v>423</v>
      </c>
      <c r="B346" s="6">
        <v>46424</v>
      </c>
      <c r="C346" t="s">
        <v>15</v>
      </c>
      <c r="D346" t="s">
        <v>2</v>
      </c>
      <c r="K346">
        <v>1</v>
      </c>
      <c r="L346" t="s">
        <v>34</v>
      </c>
    </row>
    <row r="347" spans="1:12" x14ac:dyDescent="0.25">
      <c r="A347" t="s">
        <v>424</v>
      </c>
      <c r="B347" s="6">
        <v>46424</v>
      </c>
      <c r="C347" t="s">
        <v>17</v>
      </c>
      <c r="D347" t="s">
        <v>14</v>
      </c>
      <c r="K347">
        <v>1</v>
      </c>
      <c r="L347" t="s">
        <v>34</v>
      </c>
    </row>
    <row r="348" spans="1:12" x14ac:dyDescent="0.25">
      <c r="A348" t="s">
        <v>425</v>
      </c>
      <c r="B348" s="6">
        <v>46424</v>
      </c>
      <c r="C348" t="s">
        <v>21</v>
      </c>
      <c r="D348" t="s">
        <v>0</v>
      </c>
      <c r="K348">
        <v>1</v>
      </c>
      <c r="L348" t="s">
        <v>34</v>
      </c>
    </row>
    <row r="349" spans="1:12" x14ac:dyDescent="0.25">
      <c r="A349" t="s">
        <v>426</v>
      </c>
      <c r="B349" s="6">
        <v>46424</v>
      </c>
      <c r="C349" t="s">
        <v>22</v>
      </c>
      <c r="D349" t="s">
        <v>20</v>
      </c>
      <c r="K349">
        <v>1</v>
      </c>
      <c r="L349" t="s">
        <v>34</v>
      </c>
    </row>
    <row r="350" spans="1:12" x14ac:dyDescent="0.25">
      <c r="A350" t="s">
        <v>427</v>
      </c>
      <c r="B350" s="6">
        <v>46427</v>
      </c>
      <c r="C350" t="s">
        <v>0</v>
      </c>
      <c r="D350" t="s">
        <v>5</v>
      </c>
      <c r="K350">
        <v>1</v>
      </c>
      <c r="L350" t="s">
        <v>34</v>
      </c>
    </row>
    <row r="351" spans="1:12" x14ac:dyDescent="0.25">
      <c r="A351" t="s">
        <v>428</v>
      </c>
      <c r="B351" s="6">
        <v>46427</v>
      </c>
      <c r="C351" t="s">
        <v>2</v>
      </c>
      <c r="D351" t="s">
        <v>1</v>
      </c>
      <c r="K351">
        <v>1</v>
      </c>
      <c r="L351" t="s">
        <v>34</v>
      </c>
    </row>
    <row r="352" spans="1:12" x14ac:dyDescent="0.25">
      <c r="A352" t="s">
        <v>429</v>
      </c>
      <c r="B352" s="6">
        <v>46427</v>
      </c>
      <c r="C352" t="s">
        <v>6</v>
      </c>
      <c r="D352" t="s">
        <v>3</v>
      </c>
      <c r="K352">
        <v>1</v>
      </c>
      <c r="L352" t="s">
        <v>34</v>
      </c>
    </row>
    <row r="353" spans="1:12" x14ac:dyDescent="0.25">
      <c r="A353" t="s">
        <v>430</v>
      </c>
      <c r="B353" s="6">
        <v>46427</v>
      </c>
      <c r="C353" t="s">
        <v>10</v>
      </c>
      <c r="D353" t="s">
        <v>4</v>
      </c>
      <c r="K353">
        <v>1</v>
      </c>
      <c r="L353" t="s">
        <v>34</v>
      </c>
    </row>
    <row r="354" spans="1:12" x14ac:dyDescent="0.25">
      <c r="A354" t="s">
        <v>431</v>
      </c>
      <c r="B354" s="6">
        <v>46427</v>
      </c>
      <c r="C354" t="s">
        <v>12</v>
      </c>
      <c r="D354" t="s">
        <v>17</v>
      </c>
      <c r="K354">
        <v>1</v>
      </c>
      <c r="L354" t="s">
        <v>34</v>
      </c>
    </row>
    <row r="355" spans="1:12" x14ac:dyDescent="0.25">
      <c r="A355" t="s">
        <v>432</v>
      </c>
      <c r="B355" s="6">
        <v>46427</v>
      </c>
      <c r="C355" t="s">
        <v>33</v>
      </c>
      <c r="D355" t="s">
        <v>21</v>
      </c>
      <c r="K355">
        <v>1</v>
      </c>
      <c r="L355" t="s">
        <v>34</v>
      </c>
    </row>
    <row r="356" spans="1:12" x14ac:dyDescent="0.25">
      <c r="A356" t="s">
        <v>433</v>
      </c>
      <c r="B356" s="6">
        <v>46427</v>
      </c>
      <c r="C356" t="s">
        <v>13</v>
      </c>
      <c r="D356" t="s">
        <v>7</v>
      </c>
      <c r="K356">
        <v>1</v>
      </c>
      <c r="L356" t="s">
        <v>34</v>
      </c>
    </row>
    <row r="357" spans="1:12" x14ac:dyDescent="0.25">
      <c r="A357" t="s">
        <v>434</v>
      </c>
      <c r="B357" s="6">
        <v>46427</v>
      </c>
      <c r="C357" t="s">
        <v>14</v>
      </c>
      <c r="D357" t="s">
        <v>8</v>
      </c>
      <c r="K357">
        <v>1</v>
      </c>
      <c r="L357" t="s">
        <v>34</v>
      </c>
    </row>
    <row r="358" spans="1:12" x14ac:dyDescent="0.25">
      <c r="A358" t="s">
        <v>435</v>
      </c>
      <c r="B358" s="6">
        <v>46427</v>
      </c>
      <c r="C358" t="s">
        <v>16</v>
      </c>
      <c r="D358" t="s">
        <v>9</v>
      </c>
      <c r="K358">
        <v>1</v>
      </c>
      <c r="L358" t="s">
        <v>34</v>
      </c>
    </row>
    <row r="359" spans="1:12" x14ac:dyDescent="0.25">
      <c r="A359" t="s">
        <v>436</v>
      </c>
      <c r="B359" s="6">
        <v>46427</v>
      </c>
      <c r="C359" t="s">
        <v>18</v>
      </c>
      <c r="D359" t="s">
        <v>22</v>
      </c>
      <c r="K359">
        <v>1</v>
      </c>
      <c r="L359" t="s">
        <v>34</v>
      </c>
    </row>
    <row r="360" spans="1:12" x14ac:dyDescent="0.25">
      <c r="A360" t="s">
        <v>437</v>
      </c>
      <c r="B360" s="6">
        <v>46427</v>
      </c>
      <c r="C360" t="s">
        <v>19</v>
      </c>
      <c r="D360" t="s">
        <v>15</v>
      </c>
      <c r="K360">
        <v>1</v>
      </c>
      <c r="L360" t="s">
        <v>34</v>
      </c>
    </row>
    <row r="361" spans="1:12" x14ac:dyDescent="0.25">
      <c r="A361" t="s">
        <v>438</v>
      </c>
      <c r="B361" s="6">
        <v>46427</v>
      </c>
      <c r="C361" t="s">
        <v>20</v>
      </c>
      <c r="D361" t="s">
        <v>11</v>
      </c>
      <c r="K361">
        <v>1</v>
      </c>
      <c r="L361" t="s">
        <v>34</v>
      </c>
    </row>
    <row r="362" spans="1:12" x14ac:dyDescent="0.25">
      <c r="A362" t="s">
        <v>439</v>
      </c>
      <c r="B362" s="6">
        <v>46431</v>
      </c>
      <c r="C362" t="s">
        <v>0</v>
      </c>
      <c r="D362" t="s">
        <v>4</v>
      </c>
      <c r="K362">
        <v>1</v>
      </c>
      <c r="L362" t="s">
        <v>34</v>
      </c>
    </row>
    <row r="363" spans="1:12" x14ac:dyDescent="0.25">
      <c r="A363" t="s">
        <v>440</v>
      </c>
      <c r="B363" s="6">
        <v>46431</v>
      </c>
      <c r="C363" t="s">
        <v>2</v>
      </c>
      <c r="D363" t="s">
        <v>17</v>
      </c>
      <c r="K363">
        <v>1</v>
      </c>
      <c r="L363" t="s">
        <v>34</v>
      </c>
    </row>
    <row r="364" spans="1:12" x14ac:dyDescent="0.25">
      <c r="A364" t="s">
        <v>441</v>
      </c>
      <c r="B364" s="6">
        <v>46431</v>
      </c>
      <c r="C364" t="s">
        <v>6</v>
      </c>
      <c r="D364" t="s">
        <v>5</v>
      </c>
      <c r="K364">
        <v>1</v>
      </c>
      <c r="L364" t="s">
        <v>34</v>
      </c>
    </row>
    <row r="365" spans="1:12" x14ac:dyDescent="0.25">
      <c r="A365" t="s">
        <v>442</v>
      </c>
      <c r="B365" s="6">
        <v>46431</v>
      </c>
      <c r="C365" t="s">
        <v>10</v>
      </c>
      <c r="D365" t="s">
        <v>11</v>
      </c>
      <c r="K365">
        <v>1</v>
      </c>
      <c r="L365" t="s">
        <v>34</v>
      </c>
    </row>
    <row r="366" spans="1:12" x14ac:dyDescent="0.25">
      <c r="A366" t="s">
        <v>443</v>
      </c>
      <c r="B366" s="6">
        <v>46431</v>
      </c>
      <c r="C366" t="s">
        <v>12</v>
      </c>
      <c r="D366" t="s">
        <v>3</v>
      </c>
      <c r="K366">
        <v>1</v>
      </c>
      <c r="L366" t="s">
        <v>34</v>
      </c>
    </row>
    <row r="367" spans="1:12" x14ac:dyDescent="0.25">
      <c r="A367" t="s">
        <v>444</v>
      </c>
      <c r="B367" s="6">
        <v>46431</v>
      </c>
      <c r="C367" t="s">
        <v>33</v>
      </c>
      <c r="D367" t="s">
        <v>22</v>
      </c>
      <c r="K367">
        <v>1</v>
      </c>
      <c r="L367" t="s">
        <v>34</v>
      </c>
    </row>
    <row r="368" spans="1:12" x14ac:dyDescent="0.25">
      <c r="A368" t="s">
        <v>445</v>
      </c>
      <c r="B368" s="6">
        <v>46431</v>
      </c>
      <c r="C368" t="s">
        <v>13</v>
      </c>
      <c r="D368" t="s">
        <v>8</v>
      </c>
      <c r="K368">
        <v>1</v>
      </c>
      <c r="L368" t="s">
        <v>34</v>
      </c>
    </row>
    <row r="369" spans="1:12" x14ac:dyDescent="0.25">
      <c r="A369" t="s">
        <v>446</v>
      </c>
      <c r="B369" s="6">
        <v>46431</v>
      </c>
      <c r="C369" t="s">
        <v>14</v>
      </c>
      <c r="D369" t="s">
        <v>9</v>
      </c>
      <c r="K369">
        <v>1</v>
      </c>
      <c r="L369" t="s">
        <v>34</v>
      </c>
    </row>
    <row r="370" spans="1:12" x14ac:dyDescent="0.25">
      <c r="A370" t="s">
        <v>447</v>
      </c>
      <c r="B370" s="6">
        <v>46431</v>
      </c>
      <c r="C370" t="s">
        <v>16</v>
      </c>
      <c r="D370" t="s">
        <v>7</v>
      </c>
      <c r="K370">
        <v>1</v>
      </c>
      <c r="L370" t="s">
        <v>34</v>
      </c>
    </row>
    <row r="371" spans="1:12" x14ac:dyDescent="0.25">
      <c r="A371" t="s">
        <v>448</v>
      </c>
      <c r="B371" s="6">
        <v>46431</v>
      </c>
      <c r="C371" t="s">
        <v>18</v>
      </c>
      <c r="D371" t="s">
        <v>15</v>
      </c>
      <c r="K371">
        <v>1</v>
      </c>
      <c r="L371" t="s">
        <v>34</v>
      </c>
    </row>
    <row r="372" spans="1:12" x14ac:dyDescent="0.25">
      <c r="A372" t="s">
        <v>449</v>
      </c>
      <c r="B372" s="6">
        <v>46431</v>
      </c>
      <c r="C372" t="s">
        <v>19</v>
      </c>
      <c r="D372" t="s">
        <v>1</v>
      </c>
      <c r="K372">
        <v>1</v>
      </c>
      <c r="L372" t="s">
        <v>34</v>
      </c>
    </row>
    <row r="373" spans="1:12" x14ac:dyDescent="0.25">
      <c r="A373" t="s">
        <v>450</v>
      </c>
      <c r="B373" s="6">
        <v>46431</v>
      </c>
      <c r="C373" t="s">
        <v>20</v>
      </c>
      <c r="D373" t="s">
        <v>21</v>
      </c>
      <c r="K373">
        <v>1</v>
      </c>
      <c r="L373" t="s">
        <v>34</v>
      </c>
    </row>
    <row r="374" spans="1:12" x14ac:dyDescent="0.25">
      <c r="A374" t="s">
        <v>451</v>
      </c>
      <c r="B374" s="6">
        <v>46438</v>
      </c>
      <c r="C374" t="s">
        <v>1</v>
      </c>
      <c r="D374" t="s">
        <v>16</v>
      </c>
      <c r="K374">
        <v>1</v>
      </c>
      <c r="L374" t="s">
        <v>34</v>
      </c>
    </row>
    <row r="375" spans="1:12" x14ac:dyDescent="0.25">
      <c r="A375" t="s">
        <v>452</v>
      </c>
      <c r="B375" s="6">
        <v>46438</v>
      </c>
      <c r="C375" t="s">
        <v>3</v>
      </c>
      <c r="D375" t="s">
        <v>13</v>
      </c>
      <c r="K375">
        <v>1</v>
      </c>
      <c r="L375" t="s">
        <v>34</v>
      </c>
    </row>
    <row r="376" spans="1:12" x14ac:dyDescent="0.25">
      <c r="A376" t="s">
        <v>453</v>
      </c>
      <c r="B376" s="6">
        <v>46438</v>
      </c>
      <c r="C376" t="s">
        <v>4</v>
      </c>
      <c r="D376" t="s">
        <v>2</v>
      </c>
      <c r="K376">
        <v>1</v>
      </c>
      <c r="L376" t="s">
        <v>34</v>
      </c>
    </row>
    <row r="377" spans="1:12" x14ac:dyDescent="0.25">
      <c r="A377" t="s">
        <v>454</v>
      </c>
      <c r="B377" s="6">
        <v>46438</v>
      </c>
      <c r="C377" t="s">
        <v>5</v>
      </c>
      <c r="D377" t="s">
        <v>14</v>
      </c>
      <c r="K377">
        <v>1</v>
      </c>
      <c r="L377" t="s">
        <v>34</v>
      </c>
    </row>
    <row r="378" spans="1:12" x14ac:dyDescent="0.25">
      <c r="A378" t="s">
        <v>455</v>
      </c>
      <c r="B378" s="6">
        <v>46438</v>
      </c>
      <c r="C378" t="s">
        <v>7</v>
      </c>
      <c r="D378" t="s">
        <v>0</v>
      </c>
      <c r="K378">
        <v>1</v>
      </c>
      <c r="L378" t="s">
        <v>34</v>
      </c>
    </row>
    <row r="379" spans="1:12" x14ac:dyDescent="0.25">
      <c r="A379" t="s">
        <v>456</v>
      </c>
      <c r="B379" s="6">
        <v>46438</v>
      </c>
      <c r="C379" t="s">
        <v>8</v>
      </c>
      <c r="D379" t="s">
        <v>12</v>
      </c>
      <c r="K379">
        <v>1</v>
      </c>
      <c r="L379" t="s">
        <v>34</v>
      </c>
    </row>
    <row r="380" spans="1:12" x14ac:dyDescent="0.25">
      <c r="A380" t="s">
        <v>457</v>
      </c>
      <c r="B380" s="6">
        <v>46438</v>
      </c>
      <c r="C380" t="s">
        <v>9</v>
      </c>
      <c r="D380" t="s">
        <v>20</v>
      </c>
      <c r="K380">
        <v>1</v>
      </c>
      <c r="L380" t="s">
        <v>34</v>
      </c>
    </row>
    <row r="381" spans="1:12" x14ac:dyDescent="0.25">
      <c r="A381" t="s">
        <v>458</v>
      </c>
      <c r="B381" s="6">
        <v>46438</v>
      </c>
      <c r="C381" t="s">
        <v>11</v>
      </c>
      <c r="D381" t="s">
        <v>19</v>
      </c>
      <c r="K381">
        <v>1</v>
      </c>
      <c r="L381" t="s">
        <v>34</v>
      </c>
    </row>
    <row r="382" spans="1:12" x14ac:dyDescent="0.25">
      <c r="A382" t="s">
        <v>459</v>
      </c>
      <c r="B382" s="6">
        <v>46438</v>
      </c>
      <c r="C382" t="s">
        <v>15</v>
      </c>
      <c r="D382" t="s">
        <v>33</v>
      </c>
      <c r="K382">
        <v>1</v>
      </c>
      <c r="L382" t="s">
        <v>34</v>
      </c>
    </row>
    <row r="383" spans="1:12" x14ac:dyDescent="0.25">
      <c r="A383" t="s">
        <v>460</v>
      </c>
      <c r="B383" s="6">
        <v>46438</v>
      </c>
      <c r="C383" t="s">
        <v>17</v>
      </c>
      <c r="D383" t="s">
        <v>6</v>
      </c>
      <c r="K383">
        <v>1</v>
      </c>
      <c r="L383" t="s">
        <v>34</v>
      </c>
    </row>
    <row r="384" spans="1:12" x14ac:dyDescent="0.25">
      <c r="A384" t="s">
        <v>461</v>
      </c>
      <c r="B384" s="6">
        <v>46438</v>
      </c>
      <c r="C384" t="s">
        <v>21</v>
      </c>
      <c r="D384" t="s">
        <v>18</v>
      </c>
      <c r="K384">
        <v>1</v>
      </c>
      <c r="L384" t="s">
        <v>34</v>
      </c>
    </row>
    <row r="385" spans="1:12" x14ac:dyDescent="0.25">
      <c r="A385" t="s">
        <v>462</v>
      </c>
      <c r="B385" s="6">
        <v>46438</v>
      </c>
      <c r="C385" t="s">
        <v>22</v>
      </c>
      <c r="D385" t="s">
        <v>10</v>
      </c>
      <c r="K385">
        <v>1</v>
      </c>
      <c r="L385" t="s">
        <v>34</v>
      </c>
    </row>
    <row r="386" spans="1:12" x14ac:dyDescent="0.25">
      <c r="A386" t="s">
        <v>463</v>
      </c>
      <c r="B386" s="6">
        <v>46445</v>
      </c>
      <c r="C386" t="s">
        <v>1</v>
      </c>
      <c r="D386" t="s">
        <v>21</v>
      </c>
      <c r="K386">
        <v>1</v>
      </c>
      <c r="L386" t="s">
        <v>34</v>
      </c>
    </row>
    <row r="387" spans="1:12" x14ac:dyDescent="0.25">
      <c r="A387" t="s">
        <v>464</v>
      </c>
      <c r="B387" s="6">
        <v>46445</v>
      </c>
      <c r="C387" t="s">
        <v>2</v>
      </c>
      <c r="D387" t="s">
        <v>0</v>
      </c>
      <c r="K387">
        <v>1</v>
      </c>
      <c r="L387" t="s">
        <v>34</v>
      </c>
    </row>
    <row r="388" spans="1:12" x14ac:dyDescent="0.25">
      <c r="A388" t="s">
        <v>465</v>
      </c>
      <c r="B388" s="6">
        <v>46445</v>
      </c>
      <c r="C388" t="s">
        <v>3</v>
      </c>
      <c r="D388" t="s">
        <v>9</v>
      </c>
      <c r="K388">
        <v>1</v>
      </c>
      <c r="L388" t="s">
        <v>34</v>
      </c>
    </row>
    <row r="389" spans="1:12" x14ac:dyDescent="0.25">
      <c r="A389" t="s">
        <v>466</v>
      </c>
      <c r="B389" s="6">
        <v>46445</v>
      </c>
      <c r="C389" t="s">
        <v>5</v>
      </c>
      <c r="D389" t="s">
        <v>33</v>
      </c>
      <c r="K389">
        <v>1</v>
      </c>
      <c r="L389" t="s">
        <v>34</v>
      </c>
    </row>
    <row r="390" spans="1:12" x14ac:dyDescent="0.25">
      <c r="A390" t="s">
        <v>467</v>
      </c>
      <c r="B390" s="6">
        <v>46445</v>
      </c>
      <c r="C390" t="s">
        <v>6</v>
      </c>
      <c r="D390" t="s">
        <v>15</v>
      </c>
      <c r="K390">
        <v>1</v>
      </c>
      <c r="L390" t="s">
        <v>34</v>
      </c>
    </row>
    <row r="391" spans="1:12" x14ac:dyDescent="0.25">
      <c r="A391" t="s">
        <v>468</v>
      </c>
      <c r="B391" s="6">
        <v>46445</v>
      </c>
      <c r="C391" t="s">
        <v>8</v>
      </c>
      <c r="D391" t="s">
        <v>22</v>
      </c>
      <c r="K391">
        <v>1</v>
      </c>
      <c r="L391" t="s">
        <v>34</v>
      </c>
    </row>
    <row r="392" spans="1:12" x14ac:dyDescent="0.25">
      <c r="A392" t="s">
        <v>469</v>
      </c>
      <c r="B392" s="6">
        <v>46445</v>
      </c>
      <c r="C392" t="s">
        <v>10</v>
      </c>
      <c r="D392" t="s">
        <v>7</v>
      </c>
      <c r="K392">
        <v>1</v>
      </c>
      <c r="L392" t="s">
        <v>34</v>
      </c>
    </row>
    <row r="393" spans="1:12" x14ac:dyDescent="0.25">
      <c r="A393" t="s">
        <v>470</v>
      </c>
      <c r="B393" s="6">
        <v>46445</v>
      </c>
      <c r="C393" t="s">
        <v>12</v>
      </c>
      <c r="D393" t="s">
        <v>19</v>
      </c>
      <c r="K393">
        <v>1</v>
      </c>
      <c r="L393" t="s">
        <v>34</v>
      </c>
    </row>
    <row r="394" spans="1:12" x14ac:dyDescent="0.25">
      <c r="A394" t="s">
        <v>471</v>
      </c>
      <c r="B394" s="6">
        <v>46445</v>
      </c>
      <c r="C394" t="s">
        <v>13</v>
      </c>
      <c r="D394" t="s">
        <v>4</v>
      </c>
      <c r="K394">
        <v>1</v>
      </c>
      <c r="L394" t="s">
        <v>34</v>
      </c>
    </row>
    <row r="395" spans="1:12" x14ac:dyDescent="0.25">
      <c r="A395" t="s">
        <v>472</v>
      </c>
      <c r="B395" s="6">
        <v>46445</v>
      </c>
      <c r="C395" t="s">
        <v>14</v>
      </c>
      <c r="D395" t="s">
        <v>11</v>
      </c>
      <c r="K395">
        <v>1</v>
      </c>
      <c r="L395" t="s">
        <v>34</v>
      </c>
    </row>
    <row r="396" spans="1:12" x14ac:dyDescent="0.25">
      <c r="A396" t="s">
        <v>473</v>
      </c>
      <c r="B396" s="6">
        <v>46445</v>
      </c>
      <c r="C396" t="s">
        <v>16</v>
      </c>
      <c r="D396" t="s">
        <v>18</v>
      </c>
      <c r="K396">
        <v>1</v>
      </c>
      <c r="L396" t="s">
        <v>34</v>
      </c>
    </row>
    <row r="397" spans="1:12" x14ac:dyDescent="0.25">
      <c r="A397" t="s">
        <v>474</v>
      </c>
      <c r="B397" s="6">
        <v>46445</v>
      </c>
      <c r="C397" t="s">
        <v>17</v>
      </c>
      <c r="D397" t="s">
        <v>20</v>
      </c>
      <c r="K397">
        <v>1</v>
      </c>
      <c r="L397" t="s">
        <v>34</v>
      </c>
    </row>
    <row r="398" spans="1:12" x14ac:dyDescent="0.25">
      <c r="A398" t="s">
        <v>475</v>
      </c>
      <c r="B398" s="6">
        <v>46452</v>
      </c>
      <c r="C398" t="s">
        <v>0</v>
      </c>
      <c r="D398" t="s">
        <v>8</v>
      </c>
      <c r="K398">
        <v>1</v>
      </c>
      <c r="L398" t="s">
        <v>34</v>
      </c>
    </row>
    <row r="399" spans="1:12" x14ac:dyDescent="0.25">
      <c r="A399" t="s">
        <v>476</v>
      </c>
      <c r="B399" s="6">
        <v>46452</v>
      </c>
      <c r="C399" t="s">
        <v>4</v>
      </c>
      <c r="D399" t="s">
        <v>1</v>
      </c>
      <c r="K399">
        <v>1</v>
      </c>
      <c r="L399" t="s">
        <v>34</v>
      </c>
    </row>
    <row r="400" spans="1:12" x14ac:dyDescent="0.25">
      <c r="A400" t="s">
        <v>477</v>
      </c>
      <c r="B400" s="6">
        <v>46452</v>
      </c>
      <c r="C400" t="s">
        <v>7</v>
      </c>
      <c r="D400" t="s">
        <v>12</v>
      </c>
      <c r="K400">
        <v>1</v>
      </c>
      <c r="L400" t="s">
        <v>34</v>
      </c>
    </row>
    <row r="401" spans="1:12" x14ac:dyDescent="0.25">
      <c r="A401" t="s">
        <v>478</v>
      </c>
      <c r="B401" s="6">
        <v>46452</v>
      </c>
      <c r="C401" t="s">
        <v>9</v>
      </c>
      <c r="D401" t="s">
        <v>13</v>
      </c>
      <c r="K401">
        <v>1</v>
      </c>
      <c r="L401" t="s">
        <v>34</v>
      </c>
    </row>
    <row r="402" spans="1:12" x14ac:dyDescent="0.25">
      <c r="A402" t="s">
        <v>479</v>
      </c>
      <c r="B402" s="6">
        <v>46452</v>
      </c>
      <c r="C402" t="s">
        <v>11</v>
      </c>
      <c r="D402" t="s">
        <v>17</v>
      </c>
      <c r="K402">
        <v>1</v>
      </c>
      <c r="L402" t="s">
        <v>34</v>
      </c>
    </row>
    <row r="403" spans="1:12" x14ac:dyDescent="0.25">
      <c r="A403" t="s">
        <v>480</v>
      </c>
      <c r="B403" s="6">
        <v>46452</v>
      </c>
      <c r="C403" t="s">
        <v>33</v>
      </c>
      <c r="D403" t="s">
        <v>14</v>
      </c>
      <c r="K403">
        <v>1</v>
      </c>
      <c r="L403" t="s">
        <v>34</v>
      </c>
    </row>
    <row r="404" spans="1:12" x14ac:dyDescent="0.25">
      <c r="A404" t="s">
        <v>481</v>
      </c>
      <c r="B404" s="6">
        <v>46452</v>
      </c>
      <c r="C404" t="s">
        <v>15</v>
      </c>
      <c r="D404" t="s">
        <v>3</v>
      </c>
      <c r="K404">
        <v>1</v>
      </c>
      <c r="L404" t="s">
        <v>34</v>
      </c>
    </row>
    <row r="405" spans="1:12" x14ac:dyDescent="0.25">
      <c r="A405" t="s">
        <v>482</v>
      </c>
      <c r="B405" s="6">
        <v>46452</v>
      </c>
      <c r="C405" t="s">
        <v>18</v>
      </c>
      <c r="D405" t="s">
        <v>10</v>
      </c>
      <c r="K405">
        <v>1</v>
      </c>
      <c r="L405" t="s">
        <v>34</v>
      </c>
    </row>
    <row r="406" spans="1:12" x14ac:dyDescent="0.25">
      <c r="A406" t="s">
        <v>483</v>
      </c>
      <c r="B406" s="6">
        <v>46452</v>
      </c>
      <c r="C406" t="s">
        <v>19</v>
      </c>
      <c r="D406" t="s">
        <v>5</v>
      </c>
      <c r="K406">
        <v>1</v>
      </c>
      <c r="L406" t="s">
        <v>34</v>
      </c>
    </row>
    <row r="407" spans="1:12" x14ac:dyDescent="0.25">
      <c r="A407" t="s">
        <v>484</v>
      </c>
      <c r="B407" s="6">
        <v>46452</v>
      </c>
      <c r="C407" t="s">
        <v>20</v>
      </c>
      <c r="D407" t="s">
        <v>16</v>
      </c>
      <c r="K407">
        <v>1</v>
      </c>
      <c r="L407" t="s">
        <v>34</v>
      </c>
    </row>
    <row r="408" spans="1:12" x14ac:dyDescent="0.25">
      <c r="A408" t="s">
        <v>485</v>
      </c>
      <c r="B408" s="6">
        <v>46452</v>
      </c>
      <c r="C408" t="s">
        <v>21</v>
      </c>
      <c r="D408" t="s">
        <v>6</v>
      </c>
      <c r="K408">
        <v>1</v>
      </c>
      <c r="L408" t="s">
        <v>34</v>
      </c>
    </row>
    <row r="409" spans="1:12" x14ac:dyDescent="0.25">
      <c r="A409" t="s">
        <v>486</v>
      </c>
      <c r="B409" s="6">
        <v>46452</v>
      </c>
      <c r="C409" t="s">
        <v>22</v>
      </c>
      <c r="D409" t="s">
        <v>2</v>
      </c>
      <c r="K409">
        <v>1</v>
      </c>
      <c r="L409" t="s">
        <v>34</v>
      </c>
    </row>
    <row r="410" spans="1:12" x14ac:dyDescent="0.25">
      <c r="A410" t="s">
        <v>487</v>
      </c>
      <c r="B410" s="6">
        <v>46459</v>
      </c>
      <c r="C410" t="s">
        <v>1</v>
      </c>
      <c r="D410" t="s">
        <v>7</v>
      </c>
      <c r="K410">
        <v>1</v>
      </c>
      <c r="L410" t="s">
        <v>34</v>
      </c>
    </row>
    <row r="411" spans="1:12" x14ac:dyDescent="0.25">
      <c r="A411" t="s">
        <v>488</v>
      </c>
      <c r="B411" s="6">
        <v>46459</v>
      </c>
      <c r="C411" t="s">
        <v>2</v>
      </c>
      <c r="D411" t="s">
        <v>20</v>
      </c>
      <c r="K411">
        <v>1</v>
      </c>
      <c r="L411" t="s">
        <v>34</v>
      </c>
    </row>
    <row r="412" spans="1:12" x14ac:dyDescent="0.25">
      <c r="A412" t="s">
        <v>489</v>
      </c>
      <c r="B412" s="6">
        <v>46459</v>
      </c>
      <c r="C412" t="s">
        <v>3</v>
      </c>
      <c r="D412" t="s">
        <v>18</v>
      </c>
      <c r="K412">
        <v>1</v>
      </c>
      <c r="L412" t="s">
        <v>34</v>
      </c>
    </row>
    <row r="413" spans="1:12" x14ac:dyDescent="0.25">
      <c r="A413" t="s">
        <v>490</v>
      </c>
      <c r="B413" s="6">
        <v>46459</v>
      </c>
      <c r="C413" t="s">
        <v>5</v>
      </c>
      <c r="D413" t="s">
        <v>9</v>
      </c>
      <c r="K413">
        <v>1</v>
      </c>
      <c r="L413" t="s">
        <v>34</v>
      </c>
    </row>
    <row r="414" spans="1:12" x14ac:dyDescent="0.25">
      <c r="A414" t="s">
        <v>491</v>
      </c>
      <c r="B414" s="6">
        <v>46459</v>
      </c>
      <c r="C414" t="s">
        <v>6</v>
      </c>
      <c r="D414" t="s">
        <v>4</v>
      </c>
      <c r="K414">
        <v>1</v>
      </c>
      <c r="L414" t="s">
        <v>34</v>
      </c>
    </row>
    <row r="415" spans="1:12" x14ac:dyDescent="0.25">
      <c r="A415" t="s">
        <v>492</v>
      </c>
      <c r="B415" s="6">
        <v>46459</v>
      </c>
      <c r="C415" t="s">
        <v>8</v>
      </c>
      <c r="D415" t="s">
        <v>33</v>
      </c>
      <c r="K415">
        <v>1</v>
      </c>
      <c r="L415" t="s">
        <v>34</v>
      </c>
    </row>
    <row r="416" spans="1:12" x14ac:dyDescent="0.25">
      <c r="A416" t="s">
        <v>493</v>
      </c>
      <c r="B416" s="6">
        <v>46459</v>
      </c>
      <c r="C416" t="s">
        <v>10</v>
      </c>
      <c r="D416" t="s">
        <v>21</v>
      </c>
      <c r="K416">
        <v>1</v>
      </c>
      <c r="L416" t="s">
        <v>34</v>
      </c>
    </row>
    <row r="417" spans="1:12" x14ac:dyDescent="0.25">
      <c r="A417" t="s">
        <v>494</v>
      </c>
      <c r="B417" s="6">
        <v>46459</v>
      </c>
      <c r="C417" t="s">
        <v>12</v>
      </c>
      <c r="D417" t="s">
        <v>15</v>
      </c>
      <c r="K417">
        <v>1</v>
      </c>
      <c r="L417" t="s">
        <v>34</v>
      </c>
    </row>
    <row r="418" spans="1:12" x14ac:dyDescent="0.25">
      <c r="A418" t="s">
        <v>495</v>
      </c>
      <c r="B418" s="6">
        <v>46459</v>
      </c>
      <c r="C418" t="s">
        <v>13</v>
      </c>
      <c r="D418" t="s">
        <v>11</v>
      </c>
      <c r="K418">
        <v>1</v>
      </c>
      <c r="L418" t="s">
        <v>34</v>
      </c>
    </row>
    <row r="419" spans="1:12" x14ac:dyDescent="0.25">
      <c r="A419" t="s">
        <v>496</v>
      </c>
      <c r="B419" s="6">
        <v>46459</v>
      </c>
      <c r="C419" t="s">
        <v>14</v>
      </c>
      <c r="D419" t="s">
        <v>19</v>
      </c>
      <c r="K419">
        <v>1</v>
      </c>
      <c r="L419" t="s">
        <v>34</v>
      </c>
    </row>
    <row r="420" spans="1:12" x14ac:dyDescent="0.25">
      <c r="A420" t="s">
        <v>497</v>
      </c>
      <c r="B420" s="6">
        <v>46459</v>
      </c>
      <c r="C420" t="s">
        <v>16</v>
      </c>
      <c r="D420" t="s">
        <v>22</v>
      </c>
      <c r="K420">
        <v>1</v>
      </c>
      <c r="L420" t="s">
        <v>34</v>
      </c>
    </row>
    <row r="421" spans="1:12" x14ac:dyDescent="0.25">
      <c r="A421" t="s">
        <v>498</v>
      </c>
      <c r="B421" s="6">
        <v>46459</v>
      </c>
      <c r="C421" t="s">
        <v>17</v>
      </c>
      <c r="D421" t="s">
        <v>0</v>
      </c>
      <c r="K421">
        <v>1</v>
      </c>
      <c r="L421" t="s">
        <v>34</v>
      </c>
    </row>
    <row r="422" spans="1:12" x14ac:dyDescent="0.25">
      <c r="A422" t="s">
        <v>499</v>
      </c>
      <c r="B422" s="6">
        <v>46466</v>
      </c>
      <c r="C422" t="s">
        <v>0</v>
      </c>
      <c r="D422" t="s">
        <v>10</v>
      </c>
      <c r="K422">
        <v>1</v>
      </c>
      <c r="L422" t="s">
        <v>34</v>
      </c>
    </row>
    <row r="423" spans="1:12" x14ac:dyDescent="0.25">
      <c r="A423" t="s">
        <v>500</v>
      </c>
      <c r="B423" s="6">
        <v>46466</v>
      </c>
      <c r="C423" t="s">
        <v>4</v>
      </c>
      <c r="D423" t="s">
        <v>17</v>
      </c>
      <c r="K423">
        <v>1</v>
      </c>
      <c r="L423" t="s">
        <v>34</v>
      </c>
    </row>
    <row r="424" spans="1:12" x14ac:dyDescent="0.25">
      <c r="A424" t="s">
        <v>501</v>
      </c>
      <c r="B424" s="6">
        <v>46466</v>
      </c>
      <c r="C424" t="s">
        <v>7</v>
      </c>
      <c r="D424" t="s">
        <v>3</v>
      </c>
      <c r="K424">
        <v>1</v>
      </c>
      <c r="L424" t="s">
        <v>34</v>
      </c>
    </row>
    <row r="425" spans="1:12" x14ac:dyDescent="0.25">
      <c r="A425" t="s">
        <v>502</v>
      </c>
      <c r="B425" s="6">
        <v>46466</v>
      </c>
      <c r="C425" t="s">
        <v>9</v>
      </c>
      <c r="D425" t="s">
        <v>8</v>
      </c>
      <c r="K425">
        <v>1</v>
      </c>
      <c r="L425" t="s">
        <v>34</v>
      </c>
    </row>
    <row r="426" spans="1:12" x14ac:dyDescent="0.25">
      <c r="A426" t="s">
        <v>503</v>
      </c>
      <c r="B426" s="6">
        <v>46466</v>
      </c>
      <c r="C426" t="s">
        <v>11</v>
      </c>
      <c r="D426" t="s">
        <v>5</v>
      </c>
      <c r="K426">
        <v>1</v>
      </c>
      <c r="L426" t="s">
        <v>34</v>
      </c>
    </row>
    <row r="427" spans="1:12" x14ac:dyDescent="0.25">
      <c r="A427" t="s">
        <v>504</v>
      </c>
      <c r="B427" s="6">
        <v>46466</v>
      </c>
      <c r="C427" t="s">
        <v>33</v>
      </c>
      <c r="D427" t="s">
        <v>12</v>
      </c>
      <c r="K427">
        <v>1</v>
      </c>
      <c r="L427" t="s">
        <v>34</v>
      </c>
    </row>
    <row r="428" spans="1:12" x14ac:dyDescent="0.25">
      <c r="A428" t="s">
        <v>505</v>
      </c>
      <c r="B428" s="6">
        <v>46466</v>
      </c>
      <c r="C428" t="s">
        <v>15</v>
      </c>
      <c r="D428" t="s">
        <v>16</v>
      </c>
      <c r="K428">
        <v>1</v>
      </c>
      <c r="L428" t="s">
        <v>34</v>
      </c>
    </row>
    <row r="429" spans="1:12" x14ac:dyDescent="0.25">
      <c r="A429" t="s">
        <v>506</v>
      </c>
      <c r="B429" s="6">
        <v>46466</v>
      </c>
      <c r="C429" t="s">
        <v>18</v>
      </c>
      <c r="D429" t="s">
        <v>1</v>
      </c>
      <c r="K429">
        <v>1</v>
      </c>
      <c r="L429" t="s">
        <v>34</v>
      </c>
    </row>
    <row r="430" spans="1:12" x14ac:dyDescent="0.25">
      <c r="A430" t="s">
        <v>507</v>
      </c>
      <c r="B430" s="6">
        <v>46466</v>
      </c>
      <c r="C430" t="s">
        <v>19</v>
      </c>
      <c r="D430" t="s">
        <v>13</v>
      </c>
      <c r="K430">
        <v>1</v>
      </c>
      <c r="L430" t="s">
        <v>34</v>
      </c>
    </row>
    <row r="431" spans="1:12" x14ac:dyDescent="0.25">
      <c r="A431" t="s">
        <v>508</v>
      </c>
      <c r="B431" s="6">
        <v>46466</v>
      </c>
      <c r="C431" t="s">
        <v>20</v>
      </c>
      <c r="D431" t="s">
        <v>6</v>
      </c>
      <c r="K431">
        <v>1</v>
      </c>
      <c r="L431" t="s">
        <v>34</v>
      </c>
    </row>
    <row r="432" spans="1:12" x14ac:dyDescent="0.25">
      <c r="A432" t="s">
        <v>509</v>
      </c>
      <c r="B432" s="6">
        <v>46466</v>
      </c>
      <c r="C432" t="s">
        <v>21</v>
      </c>
      <c r="D432" t="s">
        <v>2</v>
      </c>
      <c r="K432">
        <v>1</v>
      </c>
      <c r="L432" t="s">
        <v>34</v>
      </c>
    </row>
    <row r="433" spans="1:12" x14ac:dyDescent="0.25">
      <c r="A433" t="s">
        <v>510</v>
      </c>
      <c r="B433" s="6">
        <v>46466</v>
      </c>
      <c r="C433" t="s">
        <v>22</v>
      </c>
      <c r="D433" t="s">
        <v>14</v>
      </c>
      <c r="K433">
        <v>1</v>
      </c>
      <c r="L433" t="s">
        <v>34</v>
      </c>
    </row>
    <row r="434" spans="1:12" x14ac:dyDescent="0.25">
      <c r="A434" t="s">
        <v>511</v>
      </c>
      <c r="B434" s="6">
        <v>46472</v>
      </c>
      <c r="C434" t="s">
        <v>3</v>
      </c>
      <c r="D434" t="s">
        <v>21</v>
      </c>
      <c r="K434">
        <v>1</v>
      </c>
      <c r="L434" t="s">
        <v>34</v>
      </c>
    </row>
    <row r="435" spans="1:12" x14ac:dyDescent="0.25">
      <c r="A435" t="s">
        <v>512</v>
      </c>
      <c r="B435" s="6">
        <v>46472</v>
      </c>
      <c r="C435" t="s">
        <v>5</v>
      </c>
      <c r="D435" t="s">
        <v>20</v>
      </c>
      <c r="K435">
        <v>1</v>
      </c>
      <c r="L435" t="s">
        <v>34</v>
      </c>
    </row>
    <row r="436" spans="1:12" x14ac:dyDescent="0.25">
      <c r="A436" t="s">
        <v>513</v>
      </c>
      <c r="B436" s="6">
        <v>46472</v>
      </c>
      <c r="C436" t="s">
        <v>7</v>
      </c>
      <c r="D436" t="s">
        <v>2</v>
      </c>
      <c r="K436">
        <v>1</v>
      </c>
      <c r="L436" t="s">
        <v>34</v>
      </c>
    </row>
    <row r="437" spans="1:12" x14ac:dyDescent="0.25">
      <c r="A437" t="s">
        <v>514</v>
      </c>
      <c r="B437" s="6">
        <v>46472</v>
      </c>
      <c r="C437" t="s">
        <v>8</v>
      </c>
      <c r="D437" t="s">
        <v>17</v>
      </c>
      <c r="K437">
        <v>1</v>
      </c>
      <c r="L437" t="s">
        <v>34</v>
      </c>
    </row>
    <row r="438" spans="1:12" x14ac:dyDescent="0.25">
      <c r="A438" t="s">
        <v>515</v>
      </c>
      <c r="B438" s="6">
        <v>46472</v>
      </c>
      <c r="C438" t="s">
        <v>9</v>
      </c>
      <c r="D438" t="s">
        <v>22</v>
      </c>
      <c r="K438">
        <v>1</v>
      </c>
      <c r="L438" t="s">
        <v>34</v>
      </c>
    </row>
    <row r="439" spans="1:12" x14ac:dyDescent="0.25">
      <c r="A439" t="s">
        <v>516</v>
      </c>
      <c r="B439" s="6">
        <v>46472</v>
      </c>
      <c r="C439" t="s">
        <v>11</v>
      </c>
      <c r="D439" t="s">
        <v>16</v>
      </c>
      <c r="K439">
        <v>1</v>
      </c>
      <c r="L439" t="s">
        <v>34</v>
      </c>
    </row>
    <row r="440" spans="1:12" x14ac:dyDescent="0.25">
      <c r="A440" t="s">
        <v>517</v>
      </c>
      <c r="B440" s="6">
        <v>46472</v>
      </c>
      <c r="C440" t="s">
        <v>12</v>
      </c>
      <c r="D440" t="s">
        <v>6</v>
      </c>
      <c r="K440">
        <v>1</v>
      </c>
      <c r="L440" t="s">
        <v>34</v>
      </c>
    </row>
    <row r="441" spans="1:12" x14ac:dyDescent="0.25">
      <c r="A441" t="s">
        <v>518</v>
      </c>
      <c r="B441" s="6">
        <v>46472</v>
      </c>
      <c r="C441" t="s">
        <v>33</v>
      </c>
      <c r="D441" t="s">
        <v>18</v>
      </c>
      <c r="K441">
        <v>1</v>
      </c>
      <c r="L441" t="s">
        <v>34</v>
      </c>
    </row>
    <row r="442" spans="1:12" x14ac:dyDescent="0.25">
      <c r="A442" t="s">
        <v>519</v>
      </c>
      <c r="B442" s="6">
        <v>46472</v>
      </c>
      <c r="C442" t="s">
        <v>13</v>
      </c>
      <c r="D442" t="s">
        <v>1</v>
      </c>
      <c r="K442">
        <v>1</v>
      </c>
      <c r="L442" t="s">
        <v>34</v>
      </c>
    </row>
    <row r="443" spans="1:12" x14ac:dyDescent="0.25">
      <c r="A443" t="s">
        <v>520</v>
      </c>
      <c r="B443" s="6">
        <v>46472</v>
      </c>
      <c r="C443" t="s">
        <v>14</v>
      </c>
      <c r="D443" t="s">
        <v>10</v>
      </c>
      <c r="K443">
        <v>1</v>
      </c>
      <c r="L443" t="s">
        <v>34</v>
      </c>
    </row>
    <row r="444" spans="1:12" x14ac:dyDescent="0.25">
      <c r="A444" t="s">
        <v>521</v>
      </c>
      <c r="B444" s="6">
        <v>46472</v>
      </c>
      <c r="C444" t="s">
        <v>15</v>
      </c>
      <c r="D444" t="s">
        <v>0</v>
      </c>
      <c r="K444">
        <v>1</v>
      </c>
      <c r="L444" t="s">
        <v>34</v>
      </c>
    </row>
    <row r="445" spans="1:12" x14ac:dyDescent="0.25">
      <c r="A445" t="s">
        <v>522</v>
      </c>
      <c r="B445" s="6">
        <v>46472</v>
      </c>
      <c r="C445" t="s">
        <v>19</v>
      </c>
      <c r="D445" t="s">
        <v>4</v>
      </c>
      <c r="K445">
        <v>1</v>
      </c>
      <c r="L445" t="s">
        <v>34</v>
      </c>
    </row>
    <row r="446" spans="1:12" x14ac:dyDescent="0.25">
      <c r="A446" t="s">
        <v>523</v>
      </c>
      <c r="B446" s="6">
        <v>46475</v>
      </c>
      <c r="C446" t="s">
        <v>0</v>
      </c>
      <c r="D446" t="s">
        <v>9</v>
      </c>
      <c r="K446">
        <v>1</v>
      </c>
      <c r="L446" t="s">
        <v>34</v>
      </c>
    </row>
    <row r="447" spans="1:12" x14ac:dyDescent="0.25">
      <c r="A447" t="s">
        <v>524</v>
      </c>
      <c r="B447" s="6">
        <v>46475</v>
      </c>
      <c r="C447" t="s">
        <v>1</v>
      </c>
      <c r="D447" t="s">
        <v>12</v>
      </c>
      <c r="K447">
        <v>1</v>
      </c>
      <c r="L447" t="s">
        <v>34</v>
      </c>
    </row>
    <row r="448" spans="1:12" x14ac:dyDescent="0.25">
      <c r="A448" t="s">
        <v>525</v>
      </c>
      <c r="B448" s="6">
        <v>46475</v>
      </c>
      <c r="C448" t="s">
        <v>2</v>
      </c>
      <c r="D448" t="s">
        <v>14</v>
      </c>
      <c r="K448">
        <v>1</v>
      </c>
      <c r="L448" t="s">
        <v>34</v>
      </c>
    </row>
    <row r="449" spans="1:12" x14ac:dyDescent="0.25">
      <c r="A449" t="s">
        <v>526</v>
      </c>
      <c r="B449" s="6">
        <v>46475</v>
      </c>
      <c r="C449" t="s">
        <v>4</v>
      </c>
      <c r="D449" t="s">
        <v>7</v>
      </c>
      <c r="K449">
        <v>1</v>
      </c>
      <c r="L449" t="s">
        <v>34</v>
      </c>
    </row>
    <row r="450" spans="1:12" x14ac:dyDescent="0.25">
      <c r="A450" t="s">
        <v>527</v>
      </c>
      <c r="B450" s="6">
        <v>46475</v>
      </c>
      <c r="C450" t="s">
        <v>6</v>
      </c>
      <c r="D450" t="s">
        <v>33</v>
      </c>
      <c r="K450">
        <v>1</v>
      </c>
      <c r="L450" t="s">
        <v>34</v>
      </c>
    </row>
    <row r="451" spans="1:12" x14ac:dyDescent="0.25">
      <c r="A451" t="s">
        <v>528</v>
      </c>
      <c r="B451" s="6">
        <v>46475</v>
      </c>
      <c r="C451" t="s">
        <v>10</v>
      </c>
      <c r="D451" t="s">
        <v>8</v>
      </c>
      <c r="K451">
        <v>1</v>
      </c>
      <c r="L451" t="s">
        <v>34</v>
      </c>
    </row>
    <row r="452" spans="1:12" x14ac:dyDescent="0.25">
      <c r="A452" t="s">
        <v>529</v>
      </c>
      <c r="B452" s="6">
        <v>46475</v>
      </c>
      <c r="C452" t="s">
        <v>16</v>
      </c>
      <c r="D452" t="s">
        <v>13</v>
      </c>
      <c r="K452">
        <v>1</v>
      </c>
      <c r="L452" t="s">
        <v>34</v>
      </c>
    </row>
    <row r="453" spans="1:12" x14ac:dyDescent="0.25">
      <c r="A453" t="s">
        <v>530</v>
      </c>
      <c r="B453" s="6">
        <v>46475</v>
      </c>
      <c r="C453" t="s">
        <v>17</v>
      </c>
      <c r="D453" t="s">
        <v>19</v>
      </c>
      <c r="K453">
        <v>1</v>
      </c>
      <c r="L453" t="s">
        <v>34</v>
      </c>
    </row>
    <row r="454" spans="1:12" x14ac:dyDescent="0.25">
      <c r="A454" t="s">
        <v>531</v>
      </c>
      <c r="B454" s="6">
        <v>46475</v>
      </c>
      <c r="C454" t="s">
        <v>18</v>
      </c>
      <c r="D454" t="s">
        <v>5</v>
      </c>
      <c r="K454">
        <v>1</v>
      </c>
      <c r="L454" t="s">
        <v>34</v>
      </c>
    </row>
    <row r="455" spans="1:12" x14ac:dyDescent="0.25">
      <c r="A455" t="s">
        <v>532</v>
      </c>
      <c r="B455" s="6">
        <v>46475</v>
      </c>
      <c r="C455" t="s">
        <v>20</v>
      </c>
      <c r="D455" t="s">
        <v>3</v>
      </c>
      <c r="K455">
        <v>1</v>
      </c>
      <c r="L455" t="s">
        <v>34</v>
      </c>
    </row>
    <row r="456" spans="1:12" x14ac:dyDescent="0.25">
      <c r="A456" t="s">
        <v>533</v>
      </c>
      <c r="B456" s="6">
        <v>46475</v>
      </c>
      <c r="C456" t="s">
        <v>21</v>
      </c>
      <c r="D456" t="s">
        <v>11</v>
      </c>
      <c r="K456">
        <v>1</v>
      </c>
      <c r="L456" t="s">
        <v>34</v>
      </c>
    </row>
    <row r="457" spans="1:12" x14ac:dyDescent="0.25">
      <c r="A457" t="s">
        <v>534</v>
      </c>
      <c r="B457" s="6">
        <v>46475</v>
      </c>
      <c r="C457" t="s">
        <v>22</v>
      </c>
      <c r="D457" t="s">
        <v>15</v>
      </c>
      <c r="K457">
        <v>1</v>
      </c>
      <c r="L457" t="s">
        <v>34</v>
      </c>
    </row>
    <row r="458" spans="1:12" x14ac:dyDescent="0.25">
      <c r="A458" t="s">
        <v>535</v>
      </c>
      <c r="B458" s="6">
        <v>46480</v>
      </c>
      <c r="C458" t="s">
        <v>3</v>
      </c>
      <c r="D458" t="s">
        <v>2</v>
      </c>
      <c r="K458">
        <v>1</v>
      </c>
      <c r="L458" t="s">
        <v>34</v>
      </c>
    </row>
    <row r="459" spans="1:12" x14ac:dyDescent="0.25">
      <c r="A459" t="s">
        <v>536</v>
      </c>
      <c r="B459" s="6">
        <v>46480</v>
      </c>
      <c r="C459" t="s">
        <v>5</v>
      </c>
      <c r="D459" t="s">
        <v>1</v>
      </c>
      <c r="K459">
        <v>1</v>
      </c>
      <c r="L459" t="s">
        <v>34</v>
      </c>
    </row>
    <row r="460" spans="1:12" x14ac:dyDescent="0.25">
      <c r="A460" t="s">
        <v>537</v>
      </c>
      <c r="B460" s="6">
        <v>46480</v>
      </c>
      <c r="C460" t="s">
        <v>7</v>
      </c>
      <c r="D460" t="s">
        <v>6</v>
      </c>
      <c r="K460">
        <v>1</v>
      </c>
      <c r="L460" t="s">
        <v>34</v>
      </c>
    </row>
    <row r="461" spans="1:12" x14ac:dyDescent="0.25">
      <c r="A461" t="s">
        <v>538</v>
      </c>
      <c r="B461" s="6">
        <v>46480</v>
      </c>
      <c r="C461" t="s">
        <v>8</v>
      </c>
      <c r="D461" t="s">
        <v>20</v>
      </c>
      <c r="K461">
        <v>1</v>
      </c>
      <c r="L461" t="s">
        <v>34</v>
      </c>
    </row>
    <row r="462" spans="1:12" x14ac:dyDescent="0.25">
      <c r="A462" t="s">
        <v>539</v>
      </c>
      <c r="B462" s="6">
        <v>46480</v>
      </c>
      <c r="C462" t="s">
        <v>9</v>
      </c>
      <c r="D462" t="s">
        <v>10</v>
      </c>
      <c r="K462">
        <v>1</v>
      </c>
      <c r="L462" t="s">
        <v>34</v>
      </c>
    </row>
    <row r="463" spans="1:12" x14ac:dyDescent="0.25">
      <c r="A463" t="s">
        <v>540</v>
      </c>
      <c r="B463" s="6">
        <v>46480</v>
      </c>
      <c r="C463" t="s">
        <v>11</v>
      </c>
      <c r="D463" t="s">
        <v>0</v>
      </c>
      <c r="K463">
        <v>1</v>
      </c>
      <c r="L463" t="s">
        <v>34</v>
      </c>
    </row>
    <row r="464" spans="1:12" x14ac:dyDescent="0.25">
      <c r="A464" t="s">
        <v>541</v>
      </c>
      <c r="B464" s="6">
        <v>46480</v>
      </c>
      <c r="C464" t="s">
        <v>12</v>
      </c>
      <c r="D464" t="s">
        <v>18</v>
      </c>
      <c r="K464">
        <v>1</v>
      </c>
      <c r="L464" t="s">
        <v>34</v>
      </c>
    </row>
    <row r="465" spans="1:12" x14ac:dyDescent="0.25">
      <c r="A465" t="s">
        <v>542</v>
      </c>
      <c r="B465" s="6">
        <v>46480</v>
      </c>
      <c r="C465" t="s">
        <v>33</v>
      </c>
      <c r="D465" t="s">
        <v>16</v>
      </c>
      <c r="K465">
        <v>1</v>
      </c>
      <c r="L465" t="s">
        <v>34</v>
      </c>
    </row>
    <row r="466" spans="1:12" x14ac:dyDescent="0.25">
      <c r="A466" t="s">
        <v>543</v>
      </c>
      <c r="B466" s="6">
        <v>46480</v>
      </c>
      <c r="C466" t="s">
        <v>13</v>
      </c>
      <c r="D466" t="s">
        <v>21</v>
      </c>
      <c r="K466">
        <v>1</v>
      </c>
      <c r="L466" t="s">
        <v>34</v>
      </c>
    </row>
    <row r="467" spans="1:12" x14ac:dyDescent="0.25">
      <c r="A467" t="s">
        <v>544</v>
      </c>
      <c r="B467" s="6">
        <v>46480</v>
      </c>
      <c r="C467" t="s">
        <v>14</v>
      </c>
      <c r="D467" t="s">
        <v>4</v>
      </c>
      <c r="K467">
        <v>1</v>
      </c>
      <c r="L467" t="s">
        <v>34</v>
      </c>
    </row>
    <row r="468" spans="1:12" x14ac:dyDescent="0.25">
      <c r="A468" t="s">
        <v>545</v>
      </c>
      <c r="B468" s="6">
        <v>46480</v>
      </c>
      <c r="C468" t="s">
        <v>15</v>
      </c>
      <c r="D468" t="s">
        <v>17</v>
      </c>
      <c r="K468">
        <v>1</v>
      </c>
      <c r="L468" t="s">
        <v>34</v>
      </c>
    </row>
    <row r="469" spans="1:12" x14ac:dyDescent="0.25">
      <c r="A469" t="s">
        <v>546</v>
      </c>
      <c r="B469" s="6">
        <v>46480</v>
      </c>
      <c r="C469" t="s">
        <v>19</v>
      </c>
      <c r="D469" t="s">
        <v>22</v>
      </c>
      <c r="K469">
        <v>1</v>
      </c>
      <c r="L469" t="s">
        <v>34</v>
      </c>
    </row>
    <row r="470" spans="1:12" x14ac:dyDescent="0.25">
      <c r="A470" t="s">
        <v>547</v>
      </c>
      <c r="B470" s="6">
        <v>46487</v>
      </c>
      <c r="C470" t="s">
        <v>0</v>
      </c>
      <c r="D470" t="s">
        <v>3</v>
      </c>
      <c r="K470">
        <v>1</v>
      </c>
      <c r="L470" t="s">
        <v>34</v>
      </c>
    </row>
    <row r="471" spans="1:12" x14ac:dyDescent="0.25">
      <c r="A471" t="s">
        <v>548</v>
      </c>
      <c r="B471" s="6">
        <v>46487</v>
      </c>
      <c r="C471" t="s">
        <v>1</v>
      </c>
      <c r="D471" t="s">
        <v>15</v>
      </c>
      <c r="K471">
        <v>1</v>
      </c>
      <c r="L471" t="s">
        <v>34</v>
      </c>
    </row>
    <row r="472" spans="1:12" x14ac:dyDescent="0.25">
      <c r="A472" t="s">
        <v>549</v>
      </c>
      <c r="B472" s="6">
        <v>46487</v>
      </c>
      <c r="C472" t="s">
        <v>2</v>
      </c>
      <c r="D472" t="s">
        <v>8</v>
      </c>
      <c r="K472">
        <v>1</v>
      </c>
      <c r="L472" t="s">
        <v>34</v>
      </c>
    </row>
    <row r="473" spans="1:12" x14ac:dyDescent="0.25">
      <c r="A473" t="s">
        <v>550</v>
      </c>
      <c r="B473" s="6">
        <v>46487</v>
      </c>
      <c r="C473" t="s">
        <v>4</v>
      </c>
      <c r="D473" t="s">
        <v>11</v>
      </c>
      <c r="K473">
        <v>1</v>
      </c>
      <c r="L473" t="s">
        <v>34</v>
      </c>
    </row>
    <row r="474" spans="1:12" x14ac:dyDescent="0.25">
      <c r="A474" t="s">
        <v>551</v>
      </c>
      <c r="B474" s="6">
        <v>46487</v>
      </c>
      <c r="C474" t="s">
        <v>6</v>
      </c>
      <c r="D474" t="s">
        <v>13</v>
      </c>
      <c r="K474">
        <v>1</v>
      </c>
      <c r="L474" t="s">
        <v>34</v>
      </c>
    </row>
    <row r="475" spans="1:12" x14ac:dyDescent="0.25">
      <c r="A475" t="s">
        <v>552</v>
      </c>
      <c r="B475" s="6">
        <v>46487</v>
      </c>
      <c r="C475" t="s">
        <v>10</v>
      </c>
      <c r="D475" t="s">
        <v>33</v>
      </c>
      <c r="K475">
        <v>1</v>
      </c>
      <c r="L475" t="s">
        <v>34</v>
      </c>
    </row>
    <row r="476" spans="1:12" x14ac:dyDescent="0.25">
      <c r="A476" t="s">
        <v>553</v>
      </c>
      <c r="B476" s="6">
        <v>46487</v>
      </c>
      <c r="C476" t="s">
        <v>16</v>
      </c>
      <c r="D476" t="s">
        <v>14</v>
      </c>
      <c r="K476">
        <v>1</v>
      </c>
      <c r="L476" t="s">
        <v>34</v>
      </c>
    </row>
    <row r="477" spans="1:12" x14ac:dyDescent="0.25">
      <c r="A477" t="s">
        <v>554</v>
      </c>
      <c r="B477" s="6">
        <v>46487</v>
      </c>
      <c r="C477" t="s">
        <v>17</v>
      </c>
      <c r="D477" t="s">
        <v>5</v>
      </c>
      <c r="K477">
        <v>1</v>
      </c>
      <c r="L477" t="s">
        <v>34</v>
      </c>
    </row>
    <row r="478" spans="1:12" x14ac:dyDescent="0.25">
      <c r="A478" t="s">
        <v>555</v>
      </c>
      <c r="B478" s="6">
        <v>46487</v>
      </c>
      <c r="C478" t="s">
        <v>18</v>
      </c>
      <c r="D478" t="s">
        <v>9</v>
      </c>
      <c r="K478">
        <v>1</v>
      </c>
      <c r="L478" t="s">
        <v>34</v>
      </c>
    </row>
    <row r="479" spans="1:12" x14ac:dyDescent="0.25">
      <c r="A479" t="s">
        <v>556</v>
      </c>
      <c r="B479" s="6">
        <v>46487</v>
      </c>
      <c r="C479" t="s">
        <v>20</v>
      </c>
      <c r="D479" t="s">
        <v>19</v>
      </c>
      <c r="K479">
        <v>1</v>
      </c>
      <c r="L479" t="s">
        <v>34</v>
      </c>
    </row>
    <row r="480" spans="1:12" x14ac:dyDescent="0.25">
      <c r="A480" t="s">
        <v>557</v>
      </c>
      <c r="B480" s="6">
        <v>46487</v>
      </c>
      <c r="C480" t="s">
        <v>21</v>
      </c>
      <c r="D480" t="s">
        <v>7</v>
      </c>
      <c r="K480">
        <v>1</v>
      </c>
      <c r="L480" t="s">
        <v>34</v>
      </c>
    </row>
    <row r="481" spans="1:12" x14ac:dyDescent="0.25">
      <c r="A481" t="s">
        <v>558</v>
      </c>
      <c r="B481" s="6">
        <v>46487</v>
      </c>
      <c r="C481" t="s">
        <v>22</v>
      </c>
      <c r="D481" t="s">
        <v>12</v>
      </c>
      <c r="K481">
        <v>1</v>
      </c>
      <c r="L481" t="s">
        <v>34</v>
      </c>
    </row>
    <row r="482" spans="1:12" x14ac:dyDescent="0.25">
      <c r="A482" t="s">
        <v>559</v>
      </c>
      <c r="B482" s="6">
        <v>46490</v>
      </c>
      <c r="C482" t="s">
        <v>0</v>
      </c>
      <c r="D482" t="s">
        <v>6</v>
      </c>
      <c r="K482">
        <v>1</v>
      </c>
      <c r="L482" t="s">
        <v>34</v>
      </c>
    </row>
    <row r="483" spans="1:12" x14ac:dyDescent="0.25">
      <c r="A483" t="s">
        <v>560</v>
      </c>
      <c r="B483" s="6">
        <v>46490</v>
      </c>
      <c r="C483" t="s">
        <v>1</v>
      </c>
      <c r="D483" t="s">
        <v>3</v>
      </c>
      <c r="K483">
        <v>1</v>
      </c>
      <c r="L483" t="s">
        <v>34</v>
      </c>
    </row>
    <row r="484" spans="1:12" x14ac:dyDescent="0.25">
      <c r="A484" t="s">
        <v>561</v>
      </c>
      <c r="B484" s="6">
        <v>46490</v>
      </c>
      <c r="C484" t="s">
        <v>2</v>
      </c>
      <c r="D484" t="s">
        <v>13</v>
      </c>
      <c r="K484">
        <v>1</v>
      </c>
      <c r="L484" t="s">
        <v>34</v>
      </c>
    </row>
    <row r="485" spans="1:12" x14ac:dyDescent="0.25">
      <c r="A485" t="s">
        <v>562</v>
      </c>
      <c r="B485" s="6">
        <v>46490</v>
      </c>
      <c r="C485" t="s">
        <v>4</v>
      </c>
      <c r="D485" t="s">
        <v>33</v>
      </c>
      <c r="K485">
        <v>1</v>
      </c>
      <c r="L485" t="s">
        <v>34</v>
      </c>
    </row>
    <row r="486" spans="1:12" x14ac:dyDescent="0.25">
      <c r="A486" t="s">
        <v>563</v>
      </c>
      <c r="B486" s="6">
        <v>46490</v>
      </c>
      <c r="C486" t="s">
        <v>5</v>
      </c>
      <c r="D486" t="s">
        <v>16</v>
      </c>
      <c r="K486">
        <v>1</v>
      </c>
      <c r="L486" t="s">
        <v>34</v>
      </c>
    </row>
    <row r="487" spans="1:12" x14ac:dyDescent="0.25">
      <c r="A487" t="s">
        <v>564</v>
      </c>
      <c r="B487" s="6">
        <v>46490</v>
      </c>
      <c r="C487" t="s">
        <v>10</v>
      </c>
      <c r="D487" t="s">
        <v>12</v>
      </c>
      <c r="K487">
        <v>1</v>
      </c>
      <c r="L487" t="s">
        <v>34</v>
      </c>
    </row>
    <row r="488" spans="1:12" x14ac:dyDescent="0.25">
      <c r="A488" t="s">
        <v>565</v>
      </c>
      <c r="B488" s="6">
        <v>46490</v>
      </c>
      <c r="C488" t="s">
        <v>11</v>
      </c>
      <c r="D488" t="s">
        <v>8</v>
      </c>
      <c r="K488">
        <v>1</v>
      </c>
      <c r="L488" t="s">
        <v>34</v>
      </c>
    </row>
    <row r="489" spans="1:12" x14ac:dyDescent="0.25">
      <c r="A489" t="s">
        <v>566</v>
      </c>
      <c r="B489" s="6">
        <v>46490</v>
      </c>
      <c r="C489" t="s">
        <v>14</v>
      </c>
      <c r="D489" t="s">
        <v>7</v>
      </c>
      <c r="K489">
        <v>1</v>
      </c>
      <c r="L489" t="s">
        <v>34</v>
      </c>
    </row>
    <row r="490" spans="1:12" x14ac:dyDescent="0.25">
      <c r="A490" t="s">
        <v>567</v>
      </c>
      <c r="B490" s="6">
        <v>46490</v>
      </c>
      <c r="C490" t="s">
        <v>15</v>
      </c>
      <c r="D490" t="s">
        <v>20</v>
      </c>
      <c r="K490">
        <v>1</v>
      </c>
      <c r="L490" t="s">
        <v>34</v>
      </c>
    </row>
    <row r="491" spans="1:12" x14ac:dyDescent="0.25">
      <c r="A491" t="s">
        <v>568</v>
      </c>
      <c r="B491" s="6">
        <v>46490</v>
      </c>
      <c r="C491" t="s">
        <v>17</v>
      </c>
      <c r="D491" t="s">
        <v>22</v>
      </c>
      <c r="K491">
        <v>1</v>
      </c>
      <c r="L491" t="s">
        <v>34</v>
      </c>
    </row>
    <row r="492" spans="1:12" x14ac:dyDescent="0.25">
      <c r="A492" t="s">
        <v>569</v>
      </c>
      <c r="B492" s="6">
        <v>46490</v>
      </c>
      <c r="C492" t="s">
        <v>18</v>
      </c>
      <c r="D492" t="s">
        <v>19</v>
      </c>
      <c r="K492">
        <v>1</v>
      </c>
      <c r="L492" t="s">
        <v>34</v>
      </c>
    </row>
    <row r="493" spans="1:12" x14ac:dyDescent="0.25">
      <c r="A493" t="s">
        <v>570</v>
      </c>
      <c r="B493" s="6">
        <v>46490</v>
      </c>
      <c r="C493" t="s">
        <v>21</v>
      </c>
      <c r="D493" t="s">
        <v>9</v>
      </c>
      <c r="K493">
        <v>1</v>
      </c>
      <c r="L493" t="s">
        <v>34</v>
      </c>
    </row>
    <row r="494" spans="1:12" x14ac:dyDescent="0.25">
      <c r="A494" t="s">
        <v>571</v>
      </c>
      <c r="B494" s="6">
        <v>46494</v>
      </c>
      <c r="C494" t="s">
        <v>3</v>
      </c>
      <c r="D494" t="s">
        <v>11</v>
      </c>
      <c r="K494">
        <v>1</v>
      </c>
      <c r="L494" t="s">
        <v>34</v>
      </c>
    </row>
    <row r="495" spans="1:12" x14ac:dyDescent="0.25">
      <c r="A495" t="s">
        <v>572</v>
      </c>
      <c r="B495" s="6">
        <v>46494</v>
      </c>
      <c r="C495" t="s">
        <v>6</v>
      </c>
      <c r="D495" t="s">
        <v>14</v>
      </c>
      <c r="K495">
        <v>1</v>
      </c>
      <c r="L495" t="s">
        <v>34</v>
      </c>
    </row>
    <row r="496" spans="1:12" x14ac:dyDescent="0.25">
      <c r="A496" t="s">
        <v>573</v>
      </c>
      <c r="B496" s="6">
        <v>46494</v>
      </c>
      <c r="C496" t="s">
        <v>7</v>
      </c>
      <c r="D496" t="s">
        <v>15</v>
      </c>
      <c r="K496">
        <v>1</v>
      </c>
      <c r="L496" t="s">
        <v>34</v>
      </c>
    </row>
    <row r="497" spans="1:12" x14ac:dyDescent="0.25">
      <c r="A497" t="s">
        <v>574</v>
      </c>
      <c r="B497" s="6">
        <v>46494</v>
      </c>
      <c r="C497" t="s">
        <v>8</v>
      </c>
      <c r="D497" t="s">
        <v>4</v>
      </c>
      <c r="K497">
        <v>1</v>
      </c>
      <c r="L497" t="s">
        <v>34</v>
      </c>
    </row>
    <row r="498" spans="1:12" x14ac:dyDescent="0.25">
      <c r="A498" t="s">
        <v>575</v>
      </c>
      <c r="B498" s="6">
        <v>46494</v>
      </c>
      <c r="C498" t="s">
        <v>9</v>
      </c>
      <c r="D498" t="s">
        <v>1</v>
      </c>
      <c r="K498">
        <v>1</v>
      </c>
      <c r="L498" t="s">
        <v>34</v>
      </c>
    </row>
    <row r="499" spans="1:12" x14ac:dyDescent="0.25">
      <c r="A499" t="s">
        <v>576</v>
      </c>
      <c r="B499" s="6">
        <v>46494</v>
      </c>
      <c r="C499" t="s">
        <v>12</v>
      </c>
      <c r="D499" t="s">
        <v>5</v>
      </c>
      <c r="K499">
        <v>1</v>
      </c>
      <c r="L499" t="s">
        <v>34</v>
      </c>
    </row>
    <row r="500" spans="1:12" x14ac:dyDescent="0.25">
      <c r="A500" t="s">
        <v>577</v>
      </c>
      <c r="B500" s="6">
        <v>46494</v>
      </c>
      <c r="C500" t="s">
        <v>33</v>
      </c>
      <c r="D500" t="s">
        <v>0</v>
      </c>
      <c r="K500">
        <v>1</v>
      </c>
      <c r="L500" t="s">
        <v>34</v>
      </c>
    </row>
    <row r="501" spans="1:12" x14ac:dyDescent="0.25">
      <c r="A501" t="s">
        <v>578</v>
      </c>
      <c r="B501" s="6">
        <v>46494</v>
      </c>
      <c r="C501" t="s">
        <v>13</v>
      </c>
      <c r="D501" t="s">
        <v>17</v>
      </c>
      <c r="K501">
        <v>1</v>
      </c>
      <c r="L501" t="s">
        <v>34</v>
      </c>
    </row>
    <row r="502" spans="1:12" x14ac:dyDescent="0.25">
      <c r="A502" t="s">
        <v>579</v>
      </c>
      <c r="B502" s="6">
        <v>46494</v>
      </c>
      <c r="C502" t="s">
        <v>16</v>
      </c>
      <c r="D502" t="s">
        <v>2</v>
      </c>
      <c r="K502">
        <v>1</v>
      </c>
      <c r="L502" t="s">
        <v>34</v>
      </c>
    </row>
    <row r="503" spans="1:12" x14ac:dyDescent="0.25">
      <c r="A503" t="s">
        <v>580</v>
      </c>
      <c r="B503" s="6">
        <v>46494</v>
      </c>
      <c r="C503" t="s">
        <v>19</v>
      </c>
      <c r="D503" t="s">
        <v>10</v>
      </c>
      <c r="K503">
        <v>1</v>
      </c>
      <c r="L503" t="s">
        <v>34</v>
      </c>
    </row>
    <row r="504" spans="1:12" x14ac:dyDescent="0.25">
      <c r="A504" t="s">
        <v>581</v>
      </c>
      <c r="B504" s="6">
        <v>46494</v>
      </c>
      <c r="C504" t="s">
        <v>20</v>
      </c>
      <c r="D504" t="s">
        <v>18</v>
      </c>
      <c r="K504">
        <v>1</v>
      </c>
      <c r="L504" t="s">
        <v>34</v>
      </c>
    </row>
    <row r="505" spans="1:12" x14ac:dyDescent="0.25">
      <c r="A505" t="s">
        <v>582</v>
      </c>
      <c r="B505" s="6">
        <v>46494</v>
      </c>
      <c r="C505" t="s">
        <v>22</v>
      </c>
      <c r="D505" t="s">
        <v>21</v>
      </c>
      <c r="K505">
        <v>1</v>
      </c>
      <c r="L505" t="s">
        <v>34</v>
      </c>
    </row>
    <row r="506" spans="1:12" x14ac:dyDescent="0.25">
      <c r="A506" t="s">
        <v>583</v>
      </c>
      <c r="B506" s="6">
        <v>46501</v>
      </c>
      <c r="C506" t="s">
        <v>0</v>
      </c>
      <c r="D506" t="s">
        <v>16</v>
      </c>
      <c r="K506">
        <v>1</v>
      </c>
      <c r="L506" t="s">
        <v>34</v>
      </c>
    </row>
    <row r="507" spans="1:12" x14ac:dyDescent="0.25">
      <c r="A507" t="s">
        <v>584</v>
      </c>
      <c r="B507" s="6">
        <v>46501</v>
      </c>
      <c r="C507" t="s">
        <v>1</v>
      </c>
      <c r="D507" t="s">
        <v>20</v>
      </c>
      <c r="K507">
        <v>1</v>
      </c>
      <c r="L507" t="s">
        <v>34</v>
      </c>
    </row>
    <row r="508" spans="1:12" x14ac:dyDescent="0.25">
      <c r="A508" t="s">
        <v>585</v>
      </c>
      <c r="B508" s="6">
        <v>46501</v>
      </c>
      <c r="C508" t="s">
        <v>2</v>
      </c>
      <c r="D508" t="s">
        <v>6</v>
      </c>
      <c r="K508">
        <v>1</v>
      </c>
      <c r="L508" t="s">
        <v>34</v>
      </c>
    </row>
    <row r="509" spans="1:12" x14ac:dyDescent="0.25">
      <c r="A509" t="s">
        <v>586</v>
      </c>
      <c r="B509" s="6">
        <v>46501</v>
      </c>
      <c r="C509" t="s">
        <v>4</v>
      </c>
      <c r="D509" t="s">
        <v>12</v>
      </c>
      <c r="K509">
        <v>1</v>
      </c>
      <c r="L509" t="s">
        <v>34</v>
      </c>
    </row>
    <row r="510" spans="1:12" x14ac:dyDescent="0.25">
      <c r="A510" t="s">
        <v>587</v>
      </c>
      <c r="B510" s="6">
        <v>46501</v>
      </c>
      <c r="C510" t="s">
        <v>5</v>
      </c>
      <c r="D510" t="s">
        <v>7</v>
      </c>
      <c r="K510">
        <v>1</v>
      </c>
      <c r="L510" t="s">
        <v>34</v>
      </c>
    </row>
    <row r="511" spans="1:12" x14ac:dyDescent="0.25">
      <c r="A511" t="s">
        <v>588</v>
      </c>
      <c r="B511" s="6">
        <v>46501</v>
      </c>
      <c r="C511" t="s">
        <v>10</v>
      </c>
      <c r="D511" t="s">
        <v>3</v>
      </c>
      <c r="K511">
        <v>1</v>
      </c>
      <c r="L511" t="s">
        <v>34</v>
      </c>
    </row>
    <row r="512" spans="1:12" x14ac:dyDescent="0.25">
      <c r="A512" t="s">
        <v>589</v>
      </c>
      <c r="B512" s="6">
        <v>46501</v>
      </c>
      <c r="C512" t="s">
        <v>11</v>
      </c>
      <c r="D512" t="s">
        <v>22</v>
      </c>
      <c r="K512">
        <v>1</v>
      </c>
      <c r="L512" t="s">
        <v>34</v>
      </c>
    </row>
    <row r="513" spans="1:12" x14ac:dyDescent="0.25">
      <c r="A513" t="s">
        <v>590</v>
      </c>
      <c r="B513" s="6">
        <v>46501</v>
      </c>
      <c r="C513" t="s">
        <v>14</v>
      </c>
      <c r="D513" t="s">
        <v>13</v>
      </c>
      <c r="K513">
        <v>1</v>
      </c>
      <c r="L513" t="s">
        <v>34</v>
      </c>
    </row>
    <row r="514" spans="1:12" x14ac:dyDescent="0.25">
      <c r="A514" t="s">
        <v>591</v>
      </c>
      <c r="B514" s="6">
        <v>46501</v>
      </c>
      <c r="C514" t="s">
        <v>15</v>
      </c>
      <c r="D514" t="s">
        <v>9</v>
      </c>
      <c r="K514">
        <v>1</v>
      </c>
      <c r="L514" t="s">
        <v>34</v>
      </c>
    </row>
    <row r="515" spans="1:12" x14ac:dyDescent="0.25">
      <c r="A515" t="s">
        <v>592</v>
      </c>
      <c r="B515" s="6">
        <v>46501</v>
      </c>
      <c r="C515" t="s">
        <v>17</v>
      </c>
      <c r="D515" t="s">
        <v>8</v>
      </c>
      <c r="K515">
        <v>1</v>
      </c>
      <c r="L515" t="s">
        <v>34</v>
      </c>
    </row>
    <row r="516" spans="1:12" x14ac:dyDescent="0.25">
      <c r="A516" t="s">
        <v>593</v>
      </c>
      <c r="B516" s="6">
        <v>46501</v>
      </c>
      <c r="C516" t="s">
        <v>18</v>
      </c>
      <c r="D516" t="s">
        <v>33</v>
      </c>
      <c r="K516">
        <v>1</v>
      </c>
      <c r="L516" t="s">
        <v>34</v>
      </c>
    </row>
    <row r="517" spans="1:12" x14ac:dyDescent="0.25">
      <c r="A517" t="s">
        <v>594</v>
      </c>
      <c r="B517" s="6">
        <v>46501</v>
      </c>
      <c r="C517" t="s">
        <v>21</v>
      </c>
      <c r="D517" t="s">
        <v>19</v>
      </c>
      <c r="K517">
        <v>1</v>
      </c>
      <c r="L517" t="s">
        <v>34</v>
      </c>
    </row>
    <row r="518" spans="1:12" x14ac:dyDescent="0.25">
      <c r="A518" t="s">
        <v>595</v>
      </c>
      <c r="B518" s="6">
        <v>46504</v>
      </c>
      <c r="C518" t="s">
        <v>3</v>
      </c>
      <c r="D518" t="s">
        <v>17</v>
      </c>
      <c r="K518">
        <v>1</v>
      </c>
      <c r="L518" t="s">
        <v>34</v>
      </c>
    </row>
    <row r="519" spans="1:12" x14ac:dyDescent="0.25">
      <c r="A519" t="s">
        <v>596</v>
      </c>
      <c r="B519" s="6">
        <v>46504</v>
      </c>
      <c r="C519" t="s">
        <v>6</v>
      </c>
      <c r="D519" t="s">
        <v>18</v>
      </c>
      <c r="K519">
        <v>1</v>
      </c>
      <c r="L519" t="s">
        <v>34</v>
      </c>
    </row>
    <row r="520" spans="1:12" x14ac:dyDescent="0.25">
      <c r="A520" t="s">
        <v>597</v>
      </c>
      <c r="B520" s="6">
        <v>46504</v>
      </c>
      <c r="C520" t="s">
        <v>7</v>
      </c>
      <c r="D520" t="s">
        <v>11</v>
      </c>
      <c r="K520">
        <v>1</v>
      </c>
      <c r="L520" t="s">
        <v>34</v>
      </c>
    </row>
    <row r="521" spans="1:12" x14ac:dyDescent="0.25">
      <c r="A521" t="s">
        <v>598</v>
      </c>
      <c r="B521" s="6">
        <v>46504</v>
      </c>
      <c r="C521" t="s">
        <v>8</v>
      </c>
      <c r="D521" t="s">
        <v>5</v>
      </c>
      <c r="K521">
        <v>1</v>
      </c>
      <c r="L521" t="s">
        <v>34</v>
      </c>
    </row>
    <row r="522" spans="1:12" x14ac:dyDescent="0.25">
      <c r="A522" t="s">
        <v>599</v>
      </c>
      <c r="B522" s="6">
        <v>46504</v>
      </c>
      <c r="C522" t="s">
        <v>9</v>
      </c>
      <c r="D522" t="s">
        <v>2</v>
      </c>
      <c r="K522">
        <v>1</v>
      </c>
      <c r="L522" t="s">
        <v>34</v>
      </c>
    </row>
    <row r="523" spans="1:12" x14ac:dyDescent="0.25">
      <c r="A523" t="s">
        <v>600</v>
      </c>
      <c r="B523" s="6">
        <v>46504</v>
      </c>
      <c r="C523" t="s">
        <v>12</v>
      </c>
      <c r="D523" t="s">
        <v>21</v>
      </c>
      <c r="K523">
        <v>1</v>
      </c>
      <c r="L523" t="s">
        <v>34</v>
      </c>
    </row>
    <row r="524" spans="1:12" x14ac:dyDescent="0.25">
      <c r="A524" t="s">
        <v>601</v>
      </c>
      <c r="B524" s="6">
        <v>46504</v>
      </c>
      <c r="C524" t="s">
        <v>33</v>
      </c>
      <c r="D524" t="s">
        <v>1</v>
      </c>
      <c r="K524">
        <v>1</v>
      </c>
      <c r="L524" t="s">
        <v>34</v>
      </c>
    </row>
    <row r="525" spans="1:12" x14ac:dyDescent="0.25">
      <c r="A525" t="s">
        <v>602</v>
      </c>
      <c r="B525" s="6">
        <v>46504</v>
      </c>
      <c r="C525" t="s">
        <v>13</v>
      </c>
      <c r="D525" t="s">
        <v>15</v>
      </c>
      <c r="K525">
        <v>1</v>
      </c>
      <c r="L525" t="s">
        <v>34</v>
      </c>
    </row>
    <row r="526" spans="1:12" x14ac:dyDescent="0.25">
      <c r="A526" t="s">
        <v>603</v>
      </c>
      <c r="B526" s="6">
        <v>46504</v>
      </c>
      <c r="C526" t="s">
        <v>16</v>
      </c>
      <c r="D526" t="s">
        <v>10</v>
      </c>
      <c r="K526">
        <v>1</v>
      </c>
      <c r="L526" t="s">
        <v>34</v>
      </c>
    </row>
    <row r="527" spans="1:12" x14ac:dyDescent="0.25">
      <c r="A527" t="s">
        <v>604</v>
      </c>
      <c r="B527" s="6">
        <v>46504</v>
      </c>
      <c r="C527" t="s">
        <v>19</v>
      </c>
      <c r="D527" t="s">
        <v>0</v>
      </c>
      <c r="K527">
        <v>1</v>
      </c>
      <c r="L527" t="s">
        <v>34</v>
      </c>
    </row>
    <row r="528" spans="1:12" x14ac:dyDescent="0.25">
      <c r="A528" t="s">
        <v>605</v>
      </c>
      <c r="B528" s="6">
        <v>46504</v>
      </c>
      <c r="C528" t="s">
        <v>20</v>
      </c>
      <c r="D528" t="s">
        <v>14</v>
      </c>
      <c r="K528">
        <v>1</v>
      </c>
      <c r="L528" t="s">
        <v>34</v>
      </c>
    </row>
    <row r="529" spans="1:12" x14ac:dyDescent="0.25">
      <c r="A529" t="s">
        <v>606</v>
      </c>
      <c r="B529" s="6">
        <v>46504</v>
      </c>
      <c r="C529" t="s">
        <v>22</v>
      </c>
      <c r="D529" t="s">
        <v>4</v>
      </c>
      <c r="K529">
        <v>1</v>
      </c>
      <c r="L529" t="s">
        <v>34</v>
      </c>
    </row>
    <row r="530" spans="1:12" x14ac:dyDescent="0.25">
      <c r="A530" t="s">
        <v>607</v>
      </c>
      <c r="B530" s="6">
        <v>46508</v>
      </c>
      <c r="C530" t="s">
        <v>1</v>
      </c>
      <c r="D530" t="s">
        <v>0</v>
      </c>
      <c r="K530">
        <v>1</v>
      </c>
      <c r="L530" t="s">
        <v>34</v>
      </c>
    </row>
    <row r="531" spans="1:12" x14ac:dyDescent="0.25">
      <c r="A531" t="s">
        <v>608</v>
      </c>
      <c r="B531" s="6">
        <v>46508</v>
      </c>
      <c r="C531" t="s">
        <v>2</v>
      </c>
      <c r="D531" t="s">
        <v>19</v>
      </c>
      <c r="K531">
        <v>1</v>
      </c>
      <c r="L531" t="s">
        <v>34</v>
      </c>
    </row>
    <row r="532" spans="1:12" x14ac:dyDescent="0.25">
      <c r="A532" t="s">
        <v>609</v>
      </c>
      <c r="B532" s="6">
        <v>46508</v>
      </c>
      <c r="C532" t="s">
        <v>3</v>
      </c>
      <c r="D532" t="s">
        <v>22</v>
      </c>
      <c r="K532">
        <v>1</v>
      </c>
      <c r="L532" t="s">
        <v>34</v>
      </c>
    </row>
    <row r="533" spans="1:12" x14ac:dyDescent="0.25">
      <c r="A533" t="s">
        <v>610</v>
      </c>
      <c r="B533" s="6">
        <v>46508</v>
      </c>
      <c r="C533" t="s">
        <v>5</v>
      </c>
      <c r="D533" t="s">
        <v>4</v>
      </c>
      <c r="K533">
        <v>1</v>
      </c>
      <c r="L533" t="s">
        <v>34</v>
      </c>
    </row>
    <row r="534" spans="1:12" x14ac:dyDescent="0.25">
      <c r="A534" t="s">
        <v>611</v>
      </c>
      <c r="B534" s="6">
        <v>46508</v>
      </c>
      <c r="C534" t="s">
        <v>6</v>
      </c>
      <c r="D534" t="s">
        <v>11</v>
      </c>
      <c r="K534">
        <v>1</v>
      </c>
      <c r="L534" t="s">
        <v>34</v>
      </c>
    </row>
    <row r="535" spans="1:12" x14ac:dyDescent="0.25">
      <c r="A535" t="s">
        <v>612</v>
      </c>
      <c r="B535" s="6">
        <v>46508</v>
      </c>
      <c r="C535" t="s">
        <v>8</v>
      </c>
      <c r="D535" t="s">
        <v>7</v>
      </c>
      <c r="K535">
        <v>1</v>
      </c>
      <c r="L535" t="s">
        <v>34</v>
      </c>
    </row>
    <row r="536" spans="1:12" x14ac:dyDescent="0.25">
      <c r="A536" t="s">
        <v>613</v>
      </c>
      <c r="B536" s="6">
        <v>46508</v>
      </c>
      <c r="C536" t="s">
        <v>10</v>
      </c>
      <c r="D536" t="s">
        <v>20</v>
      </c>
      <c r="K536">
        <v>1</v>
      </c>
      <c r="L536" t="s">
        <v>34</v>
      </c>
    </row>
    <row r="537" spans="1:12" x14ac:dyDescent="0.25">
      <c r="A537" t="s">
        <v>614</v>
      </c>
      <c r="B537" s="6">
        <v>46508</v>
      </c>
      <c r="C537" t="s">
        <v>12</v>
      </c>
      <c r="D537" t="s">
        <v>9</v>
      </c>
      <c r="K537">
        <v>1</v>
      </c>
      <c r="L537" t="s">
        <v>34</v>
      </c>
    </row>
    <row r="538" spans="1:12" x14ac:dyDescent="0.25">
      <c r="A538" t="s">
        <v>615</v>
      </c>
      <c r="B538" s="6">
        <v>46508</v>
      </c>
      <c r="C538" t="s">
        <v>13</v>
      </c>
      <c r="D538" t="s">
        <v>33</v>
      </c>
      <c r="K538">
        <v>1</v>
      </c>
      <c r="L538" t="s">
        <v>34</v>
      </c>
    </row>
    <row r="539" spans="1:12" x14ac:dyDescent="0.25">
      <c r="A539" t="s">
        <v>616</v>
      </c>
      <c r="B539" s="6">
        <v>46508</v>
      </c>
      <c r="C539" t="s">
        <v>14</v>
      </c>
      <c r="D539" t="s">
        <v>15</v>
      </c>
      <c r="K539">
        <v>1</v>
      </c>
      <c r="L539" t="s">
        <v>34</v>
      </c>
    </row>
    <row r="540" spans="1:12" x14ac:dyDescent="0.25">
      <c r="A540" t="s">
        <v>617</v>
      </c>
      <c r="B540" s="6">
        <v>46508</v>
      </c>
      <c r="C540" t="s">
        <v>16</v>
      </c>
      <c r="D540" t="s">
        <v>21</v>
      </c>
      <c r="K540">
        <v>1</v>
      </c>
      <c r="L540" t="s">
        <v>34</v>
      </c>
    </row>
    <row r="541" spans="1:12" x14ac:dyDescent="0.25">
      <c r="A541" t="s">
        <v>618</v>
      </c>
      <c r="B541" s="6">
        <v>46508</v>
      </c>
      <c r="C541" t="s">
        <v>17</v>
      </c>
      <c r="D541" t="s">
        <v>18</v>
      </c>
      <c r="K541">
        <v>1</v>
      </c>
      <c r="L541" t="s">
        <v>34</v>
      </c>
    </row>
    <row r="542" spans="1:12" x14ac:dyDescent="0.25">
      <c r="A542" t="s">
        <v>619</v>
      </c>
      <c r="B542" s="6">
        <v>46515</v>
      </c>
      <c r="C542" t="s">
        <v>0</v>
      </c>
      <c r="D542" t="s">
        <v>13</v>
      </c>
      <c r="K542">
        <v>1</v>
      </c>
      <c r="L542" t="s">
        <v>34</v>
      </c>
    </row>
    <row r="543" spans="1:12" x14ac:dyDescent="0.25">
      <c r="A543" t="s">
        <v>620</v>
      </c>
      <c r="B543" s="6">
        <v>46515</v>
      </c>
      <c r="C543" t="s">
        <v>4</v>
      </c>
      <c r="D543" t="s">
        <v>16</v>
      </c>
      <c r="K543">
        <v>1</v>
      </c>
      <c r="L543" t="s">
        <v>34</v>
      </c>
    </row>
    <row r="544" spans="1:12" x14ac:dyDescent="0.25">
      <c r="A544" t="s">
        <v>621</v>
      </c>
      <c r="B544" s="6">
        <v>46515</v>
      </c>
      <c r="C544" t="s">
        <v>7</v>
      </c>
      <c r="D544" t="s">
        <v>17</v>
      </c>
      <c r="K544">
        <v>1</v>
      </c>
      <c r="L544" t="s">
        <v>34</v>
      </c>
    </row>
    <row r="545" spans="1:12" x14ac:dyDescent="0.25">
      <c r="A545" t="s">
        <v>622</v>
      </c>
      <c r="B545" s="6">
        <v>46515</v>
      </c>
      <c r="C545" t="s">
        <v>9</v>
      </c>
      <c r="D545" t="s">
        <v>6</v>
      </c>
      <c r="K545">
        <v>1</v>
      </c>
      <c r="L545" t="s">
        <v>34</v>
      </c>
    </row>
    <row r="546" spans="1:12" x14ac:dyDescent="0.25">
      <c r="A546" t="s">
        <v>623</v>
      </c>
      <c r="B546" s="6">
        <v>46515</v>
      </c>
      <c r="C546" t="s">
        <v>11</v>
      </c>
      <c r="D546" t="s">
        <v>2</v>
      </c>
      <c r="K546">
        <v>1</v>
      </c>
      <c r="L546" t="s">
        <v>34</v>
      </c>
    </row>
    <row r="547" spans="1:12" x14ac:dyDescent="0.25">
      <c r="A547" t="s">
        <v>624</v>
      </c>
      <c r="B547" s="6">
        <v>46515</v>
      </c>
      <c r="C547" t="s">
        <v>33</v>
      </c>
      <c r="D547" t="s">
        <v>3</v>
      </c>
      <c r="K547">
        <v>1</v>
      </c>
      <c r="L547" t="s">
        <v>34</v>
      </c>
    </row>
    <row r="548" spans="1:12" x14ac:dyDescent="0.25">
      <c r="A548" t="s">
        <v>625</v>
      </c>
      <c r="B548" s="6">
        <v>46515</v>
      </c>
      <c r="C548" t="s">
        <v>15</v>
      </c>
      <c r="D548" t="s">
        <v>10</v>
      </c>
      <c r="K548">
        <v>1</v>
      </c>
      <c r="L548" t="s">
        <v>34</v>
      </c>
    </row>
    <row r="549" spans="1:12" x14ac:dyDescent="0.25">
      <c r="A549" t="s">
        <v>626</v>
      </c>
      <c r="B549" s="6">
        <v>46515</v>
      </c>
      <c r="C549" t="s">
        <v>18</v>
      </c>
      <c r="D549" t="s">
        <v>14</v>
      </c>
      <c r="K549">
        <v>1</v>
      </c>
      <c r="L549" t="s">
        <v>34</v>
      </c>
    </row>
    <row r="550" spans="1:12" x14ac:dyDescent="0.25">
      <c r="A550" t="s">
        <v>627</v>
      </c>
      <c r="B550" s="6">
        <v>46515</v>
      </c>
      <c r="C550" t="s">
        <v>19</v>
      </c>
      <c r="D550" t="s">
        <v>8</v>
      </c>
      <c r="K550">
        <v>1</v>
      </c>
      <c r="L550" t="s">
        <v>34</v>
      </c>
    </row>
    <row r="551" spans="1:12" x14ac:dyDescent="0.25">
      <c r="A551" t="s">
        <v>628</v>
      </c>
      <c r="B551" s="6">
        <v>46515</v>
      </c>
      <c r="C551" t="s">
        <v>20</v>
      </c>
      <c r="D551" t="s">
        <v>12</v>
      </c>
      <c r="K551">
        <v>1</v>
      </c>
      <c r="L551" t="s">
        <v>34</v>
      </c>
    </row>
    <row r="552" spans="1:12" x14ac:dyDescent="0.25">
      <c r="A552" t="s">
        <v>629</v>
      </c>
      <c r="B552" s="6">
        <v>46515</v>
      </c>
      <c r="C552" t="s">
        <v>21</v>
      </c>
      <c r="D552" t="s">
        <v>5</v>
      </c>
      <c r="K552">
        <v>1</v>
      </c>
      <c r="L552" t="s">
        <v>34</v>
      </c>
    </row>
    <row r="553" spans="1:12" x14ac:dyDescent="0.25">
      <c r="A553" t="s">
        <v>630</v>
      </c>
      <c r="B553" s="6">
        <v>46515</v>
      </c>
      <c r="C553" t="s">
        <v>22</v>
      </c>
      <c r="D553" t="s">
        <v>1</v>
      </c>
      <c r="K553">
        <v>1</v>
      </c>
      <c r="L553" t="s">
        <v>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7FEB-7BD2-48DE-AAF1-708616275ADE}">
  <dimension ref="A1:L553"/>
  <sheetViews>
    <sheetView workbookViewId="0">
      <selection activeCell="L29" sqref="L29"/>
    </sheetView>
  </sheetViews>
  <sheetFormatPr defaultRowHeight="15" x14ac:dyDescent="0.25"/>
  <cols>
    <col min="1" max="1" width="11.140625" bestFit="1" customWidth="1"/>
    <col min="2" max="2" width="10.42578125" style="6" bestFit="1" customWidth="1"/>
    <col min="3" max="4" width="20.28515625" bestFit="1" customWidth="1"/>
    <col min="5" max="5" width="15.140625" bestFit="1" customWidth="1"/>
    <col min="6" max="6" width="11" bestFit="1" customWidth="1"/>
    <col min="7" max="7" width="17.85546875" bestFit="1" customWidth="1"/>
    <col min="8" max="8" width="13.5703125" bestFit="1" customWidth="1"/>
    <col min="9" max="9" width="10.5703125" bestFit="1" customWidth="1"/>
    <col min="10" max="10" width="13.140625" bestFit="1" customWidth="1"/>
    <col min="11" max="11" width="16.7109375" bestFit="1" customWidth="1"/>
  </cols>
  <sheetData>
    <row r="1" spans="1:12" x14ac:dyDescent="0.25">
      <c r="A1" t="s">
        <v>23</v>
      </c>
      <c r="B1" s="6" t="s">
        <v>24</v>
      </c>
      <c r="C1" t="s">
        <v>43</v>
      </c>
      <c r="D1" t="s">
        <v>42</v>
      </c>
      <c r="E1" t="s">
        <v>45</v>
      </c>
      <c r="F1" t="s">
        <v>44</v>
      </c>
      <c r="G1" t="s">
        <v>47</v>
      </c>
      <c r="H1" t="s">
        <v>46</v>
      </c>
      <c r="I1" t="s">
        <v>32</v>
      </c>
      <c r="J1" t="s">
        <v>37</v>
      </c>
      <c r="K1" t="s">
        <v>644</v>
      </c>
      <c r="L1" t="s">
        <v>48</v>
      </c>
    </row>
    <row r="2" spans="1:12" x14ac:dyDescent="0.25">
      <c r="A2" t="s">
        <v>79</v>
      </c>
      <c r="B2" s="6">
        <v>46249</v>
      </c>
      <c r="C2" t="s">
        <v>1</v>
      </c>
      <c r="D2" t="s">
        <v>4</v>
      </c>
      <c r="E2">
        <v>1.32</v>
      </c>
      <c r="F2">
        <v>1.42</v>
      </c>
      <c r="G2">
        <v>0</v>
      </c>
      <c r="H2">
        <v>1</v>
      </c>
      <c r="I2">
        <v>2.74</v>
      </c>
      <c r="J2">
        <v>1</v>
      </c>
      <c r="K2">
        <v>1</v>
      </c>
      <c r="L2" t="s">
        <v>35</v>
      </c>
    </row>
    <row r="3" spans="1:12" x14ac:dyDescent="0.25">
      <c r="A3" t="s">
        <v>80</v>
      </c>
      <c r="B3" s="6">
        <v>46249</v>
      </c>
      <c r="C3" t="s">
        <v>2</v>
      </c>
      <c r="D3" t="s">
        <v>22</v>
      </c>
      <c r="E3">
        <v>2.37</v>
      </c>
      <c r="F3">
        <v>1.29</v>
      </c>
      <c r="G3">
        <v>1</v>
      </c>
      <c r="H3">
        <v>1</v>
      </c>
      <c r="I3">
        <v>3.66</v>
      </c>
      <c r="J3">
        <v>2</v>
      </c>
      <c r="K3">
        <v>1</v>
      </c>
      <c r="L3" t="s">
        <v>35</v>
      </c>
    </row>
    <row r="4" spans="1:12" x14ac:dyDescent="0.25">
      <c r="A4" t="s">
        <v>81</v>
      </c>
      <c r="B4" s="6">
        <v>46249</v>
      </c>
      <c r="C4" t="s">
        <v>3</v>
      </c>
      <c r="D4" t="s">
        <v>15</v>
      </c>
      <c r="E4">
        <v>1.97</v>
      </c>
      <c r="F4">
        <v>1.1100000000000001</v>
      </c>
      <c r="G4">
        <v>2</v>
      </c>
      <c r="H4">
        <v>0</v>
      </c>
      <c r="I4">
        <v>3.08</v>
      </c>
      <c r="J4">
        <v>2</v>
      </c>
      <c r="K4">
        <v>1</v>
      </c>
      <c r="L4" t="s">
        <v>35</v>
      </c>
    </row>
    <row r="5" spans="1:12" x14ac:dyDescent="0.25">
      <c r="A5" t="s">
        <v>82</v>
      </c>
      <c r="B5" s="6">
        <v>46249</v>
      </c>
      <c r="C5" t="s">
        <v>5</v>
      </c>
      <c r="D5" t="s">
        <v>19</v>
      </c>
      <c r="E5">
        <v>0.94</v>
      </c>
      <c r="F5">
        <v>0.53</v>
      </c>
      <c r="G5">
        <v>1</v>
      </c>
      <c r="H5">
        <v>1</v>
      </c>
      <c r="I5">
        <v>1.47</v>
      </c>
      <c r="J5">
        <v>2</v>
      </c>
      <c r="K5">
        <v>1</v>
      </c>
      <c r="L5" t="s">
        <v>35</v>
      </c>
    </row>
    <row r="6" spans="1:12" x14ac:dyDescent="0.25">
      <c r="A6" t="s">
        <v>83</v>
      </c>
      <c r="B6" s="6">
        <v>46249</v>
      </c>
      <c r="C6" t="s">
        <v>6</v>
      </c>
      <c r="D6" t="s">
        <v>21</v>
      </c>
      <c r="E6">
        <v>1.74</v>
      </c>
      <c r="F6">
        <v>2.2000000000000002</v>
      </c>
      <c r="G6">
        <v>3</v>
      </c>
      <c r="H6">
        <v>2</v>
      </c>
      <c r="I6">
        <v>3.9400000000000004</v>
      </c>
      <c r="J6">
        <v>5</v>
      </c>
      <c r="K6">
        <v>1</v>
      </c>
      <c r="L6" t="s">
        <v>35</v>
      </c>
    </row>
    <row r="7" spans="1:12" x14ac:dyDescent="0.25">
      <c r="A7" t="s">
        <v>84</v>
      </c>
      <c r="B7" s="6">
        <v>46249</v>
      </c>
      <c r="C7" t="s">
        <v>8</v>
      </c>
      <c r="D7" t="s">
        <v>0</v>
      </c>
      <c r="E7">
        <v>1.24</v>
      </c>
      <c r="F7">
        <v>0.38</v>
      </c>
      <c r="G7">
        <v>3</v>
      </c>
      <c r="H7">
        <v>0</v>
      </c>
      <c r="I7">
        <v>1.62</v>
      </c>
      <c r="J7">
        <v>3</v>
      </c>
      <c r="K7">
        <v>1</v>
      </c>
      <c r="L7" t="s">
        <v>35</v>
      </c>
    </row>
    <row r="8" spans="1:12" x14ac:dyDescent="0.25">
      <c r="A8" t="s">
        <v>85</v>
      </c>
      <c r="B8" s="6">
        <v>46249</v>
      </c>
      <c r="C8" t="s">
        <v>10</v>
      </c>
      <c r="D8" t="s">
        <v>18</v>
      </c>
      <c r="E8">
        <v>1.38</v>
      </c>
      <c r="F8">
        <v>2.84</v>
      </c>
      <c r="G8">
        <v>1</v>
      </c>
      <c r="H8">
        <v>2</v>
      </c>
      <c r="I8">
        <v>4.22</v>
      </c>
      <c r="J8">
        <v>3</v>
      </c>
      <c r="K8">
        <v>1</v>
      </c>
      <c r="L8" t="s">
        <v>35</v>
      </c>
    </row>
    <row r="9" spans="1:12" x14ac:dyDescent="0.25">
      <c r="A9" t="s">
        <v>86</v>
      </c>
      <c r="B9" s="6">
        <v>46249</v>
      </c>
      <c r="C9" t="s">
        <v>12</v>
      </c>
      <c r="D9" t="s">
        <v>7</v>
      </c>
      <c r="E9">
        <v>1.44</v>
      </c>
      <c r="F9">
        <v>1.06</v>
      </c>
      <c r="G9">
        <v>2</v>
      </c>
      <c r="H9">
        <v>1</v>
      </c>
      <c r="I9">
        <v>2.5</v>
      </c>
      <c r="J9">
        <v>3</v>
      </c>
      <c r="K9">
        <v>1</v>
      </c>
      <c r="L9" t="s">
        <v>35</v>
      </c>
    </row>
    <row r="10" spans="1:12" x14ac:dyDescent="0.25">
      <c r="A10" t="s">
        <v>87</v>
      </c>
      <c r="B10" s="6">
        <v>46249</v>
      </c>
      <c r="C10" t="s">
        <v>13</v>
      </c>
      <c r="D10" t="s">
        <v>9</v>
      </c>
      <c r="E10">
        <v>2.1800000000000002</v>
      </c>
      <c r="F10">
        <v>0.74</v>
      </c>
      <c r="G10">
        <v>1</v>
      </c>
      <c r="H10">
        <v>1</v>
      </c>
      <c r="I10">
        <v>2.92</v>
      </c>
      <c r="J10">
        <v>2</v>
      </c>
      <c r="K10">
        <v>1</v>
      </c>
      <c r="L10" t="s">
        <v>35</v>
      </c>
    </row>
    <row r="11" spans="1:12" x14ac:dyDescent="0.25">
      <c r="A11" t="s">
        <v>88</v>
      </c>
      <c r="B11" s="6">
        <v>46249</v>
      </c>
      <c r="C11" t="s">
        <v>14</v>
      </c>
      <c r="D11" t="s">
        <v>33</v>
      </c>
      <c r="E11">
        <v>1.83</v>
      </c>
      <c r="F11">
        <v>2.2000000000000002</v>
      </c>
      <c r="G11">
        <v>2</v>
      </c>
      <c r="H11">
        <v>2</v>
      </c>
      <c r="I11">
        <v>4.03</v>
      </c>
      <c r="J11">
        <v>4</v>
      </c>
      <c r="K11">
        <v>1</v>
      </c>
      <c r="L11" t="s">
        <v>35</v>
      </c>
    </row>
    <row r="12" spans="1:12" x14ac:dyDescent="0.25">
      <c r="A12" t="s">
        <v>89</v>
      </c>
      <c r="B12" s="6">
        <v>46249</v>
      </c>
      <c r="C12" t="s">
        <v>16</v>
      </c>
      <c r="D12" t="s">
        <v>20</v>
      </c>
      <c r="E12">
        <v>0.92</v>
      </c>
      <c r="F12">
        <v>1.81</v>
      </c>
      <c r="G12">
        <v>1</v>
      </c>
      <c r="H12">
        <v>3</v>
      </c>
      <c r="I12">
        <v>2.73</v>
      </c>
      <c r="J12">
        <v>4</v>
      </c>
      <c r="K12">
        <v>1</v>
      </c>
      <c r="L12" t="s">
        <v>35</v>
      </c>
    </row>
    <row r="13" spans="1:12" x14ac:dyDescent="0.25">
      <c r="A13" t="s">
        <v>90</v>
      </c>
      <c r="B13" s="6">
        <v>46249</v>
      </c>
      <c r="C13" t="s">
        <v>17</v>
      </c>
      <c r="D13" t="s">
        <v>11</v>
      </c>
      <c r="E13">
        <v>1.61</v>
      </c>
      <c r="F13">
        <v>1.65</v>
      </c>
      <c r="G13">
        <v>3</v>
      </c>
      <c r="H13">
        <v>4</v>
      </c>
      <c r="I13">
        <v>3.26</v>
      </c>
      <c r="J13">
        <v>7</v>
      </c>
      <c r="K13">
        <v>1</v>
      </c>
      <c r="L13" t="s">
        <v>35</v>
      </c>
    </row>
    <row r="14" spans="1:12" x14ac:dyDescent="0.25">
      <c r="A14" t="s">
        <v>91</v>
      </c>
      <c r="B14" s="6">
        <v>46254</v>
      </c>
      <c r="C14" t="s">
        <v>18</v>
      </c>
      <c r="D14" t="s">
        <v>3</v>
      </c>
      <c r="E14">
        <v>1.49</v>
      </c>
      <c r="F14">
        <v>0.59</v>
      </c>
      <c r="G14">
        <v>0</v>
      </c>
      <c r="H14">
        <v>1</v>
      </c>
      <c r="I14">
        <v>2.08</v>
      </c>
      <c r="J14">
        <v>1</v>
      </c>
      <c r="K14">
        <v>1</v>
      </c>
      <c r="L14" t="s">
        <v>35</v>
      </c>
    </row>
    <row r="15" spans="1:12" x14ac:dyDescent="0.25">
      <c r="A15" t="s">
        <v>92</v>
      </c>
      <c r="B15" s="6">
        <v>46256</v>
      </c>
      <c r="C15" t="s">
        <v>0</v>
      </c>
      <c r="D15" t="s">
        <v>17</v>
      </c>
      <c r="E15">
        <v>0.37</v>
      </c>
      <c r="F15">
        <v>1.28</v>
      </c>
      <c r="G15">
        <v>0</v>
      </c>
      <c r="H15">
        <v>0</v>
      </c>
      <c r="I15">
        <v>1.65</v>
      </c>
      <c r="J15">
        <v>0</v>
      </c>
      <c r="K15">
        <v>1</v>
      </c>
      <c r="L15" t="s">
        <v>35</v>
      </c>
    </row>
    <row r="16" spans="1:12" x14ac:dyDescent="0.25">
      <c r="A16" t="s">
        <v>93</v>
      </c>
      <c r="B16" s="6">
        <v>46256</v>
      </c>
      <c r="C16" t="s">
        <v>4</v>
      </c>
      <c r="D16" t="s">
        <v>6</v>
      </c>
      <c r="E16">
        <v>0.57999999999999996</v>
      </c>
      <c r="F16">
        <v>0.59</v>
      </c>
      <c r="G16">
        <v>1</v>
      </c>
      <c r="H16">
        <v>1</v>
      </c>
      <c r="I16">
        <v>1.17</v>
      </c>
      <c r="J16">
        <v>2</v>
      </c>
      <c r="K16">
        <v>1</v>
      </c>
      <c r="L16" t="s">
        <v>35</v>
      </c>
    </row>
    <row r="17" spans="1:12" x14ac:dyDescent="0.25">
      <c r="A17" t="s">
        <v>94</v>
      </c>
      <c r="B17" s="6">
        <v>46256</v>
      </c>
      <c r="C17" t="s">
        <v>7</v>
      </c>
      <c r="D17" t="s">
        <v>1</v>
      </c>
      <c r="E17">
        <v>1.82</v>
      </c>
      <c r="F17">
        <v>0.45</v>
      </c>
      <c r="G17">
        <v>0</v>
      </c>
      <c r="H17">
        <v>0</v>
      </c>
      <c r="I17">
        <v>2.27</v>
      </c>
      <c r="J17">
        <v>0</v>
      </c>
      <c r="K17">
        <v>1</v>
      </c>
      <c r="L17" t="s">
        <v>35</v>
      </c>
    </row>
    <row r="18" spans="1:12" x14ac:dyDescent="0.25">
      <c r="A18" t="s">
        <v>95</v>
      </c>
      <c r="B18" s="6">
        <v>46256</v>
      </c>
      <c r="C18" t="s">
        <v>9</v>
      </c>
      <c r="D18" t="s">
        <v>5</v>
      </c>
      <c r="E18">
        <v>1.31</v>
      </c>
      <c r="F18">
        <v>0.81</v>
      </c>
      <c r="G18">
        <v>1</v>
      </c>
      <c r="H18">
        <v>2</v>
      </c>
      <c r="I18">
        <v>2.12</v>
      </c>
      <c r="J18">
        <v>3</v>
      </c>
      <c r="K18">
        <v>1</v>
      </c>
      <c r="L18" t="s">
        <v>35</v>
      </c>
    </row>
    <row r="19" spans="1:12" x14ac:dyDescent="0.25">
      <c r="A19" t="s">
        <v>96</v>
      </c>
      <c r="B19" s="6">
        <v>46256</v>
      </c>
      <c r="C19" t="s">
        <v>11</v>
      </c>
      <c r="D19" t="s">
        <v>13</v>
      </c>
      <c r="E19">
        <v>1.85</v>
      </c>
      <c r="F19">
        <v>0.76</v>
      </c>
      <c r="G19">
        <v>2</v>
      </c>
      <c r="H19">
        <v>2</v>
      </c>
      <c r="I19">
        <v>2.6100000000000003</v>
      </c>
      <c r="J19">
        <v>4</v>
      </c>
      <c r="K19">
        <v>1</v>
      </c>
      <c r="L19" t="s">
        <v>35</v>
      </c>
    </row>
    <row r="20" spans="1:12" x14ac:dyDescent="0.25">
      <c r="A20" t="s">
        <v>97</v>
      </c>
      <c r="B20" s="6">
        <v>46256</v>
      </c>
      <c r="C20" t="s">
        <v>33</v>
      </c>
      <c r="D20" t="s">
        <v>8</v>
      </c>
      <c r="E20">
        <v>1.54</v>
      </c>
      <c r="F20">
        <v>2.2799999999999998</v>
      </c>
      <c r="G20">
        <v>1</v>
      </c>
      <c r="H20">
        <v>1</v>
      </c>
      <c r="I20">
        <v>3.82</v>
      </c>
      <c r="J20">
        <v>2</v>
      </c>
      <c r="K20">
        <v>1</v>
      </c>
      <c r="L20" t="s">
        <v>35</v>
      </c>
    </row>
    <row r="21" spans="1:12" x14ac:dyDescent="0.25">
      <c r="A21" t="s">
        <v>98</v>
      </c>
      <c r="B21" s="6">
        <v>46256</v>
      </c>
      <c r="C21" t="s">
        <v>15</v>
      </c>
      <c r="D21" t="s">
        <v>12</v>
      </c>
      <c r="E21">
        <v>1.39</v>
      </c>
      <c r="F21">
        <v>1.25</v>
      </c>
      <c r="G21">
        <v>2</v>
      </c>
      <c r="H21">
        <v>1</v>
      </c>
      <c r="I21">
        <v>2.6399999999999997</v>
      </c>
      <c r="J21">
        <v>3</v>
      </c>
      <c r="K21">
        <v>1</v>
      </c>
      <c r="L21" t="s">
        <v>35</v>
      </c>
    </row>
    <row r="22" spans="1:12" x14ac:dyDescent="0.25">
      <c r="A22" t="s">
        <v>99</v>
      </c>
      <c r="B22" s="6">
        <v>46256</v>
      </c>
      <c r="C22" t="s">
        <v>19</v>
      </c>
      <c r="D22" t="s">
        <v>14</v>
      </c>
      <c r="E22">
        <v>1.17</v>
      </c>
      <c r="F22">
        <v>1.36</v>
      </c>
      <c r="G22">
        <v>1</v>
      </c>
      <c r="H22">
        <v>2</v>
      </c>
      <c r="I22">
        <v>2.5300000000000002</v>
      </c>
      <c r="J22">
        <v>3</v>
      </c>
      <c r="K22">
        <v>1</v>
      </c>
      <c r="L22" t="s">
        <v>35</v>
      </c>
    </row>
    <row r="23" spans="1:12" x14ac:dyDescent="0.25">
      <c r="A23" t="s">
        <v>100</v>
      </c>
      <c r="B23" s="6">
        <v>46256</v>
      </c>
      <c r="C23" t="s">
        <v>20</v>
      </c>
      <c r="D23" t="s">
        <v>2</v>
      </c>
      <c r="E23">
        <v>3.54</v>
      </c>
      <c r="F23">
        <v>1.79</v>
      </c>
      <c r="G23">
        <v>1</v>
      </c>
      <c r="H23">
        <v>2</v>
      </c>
      <c r="I23">
        <v>5.33</v>
      </c>
      <c r="J23">
        <v>3</v>
      </c>
      <c r="K23">
        <v>1</v>
      </c>
      <c r="L23" t="s">
        <v>35</v>
      </c>
    </row>
    <row r="24" spans="1:12" x14ac:dyDescent="0.25">
      <c r="A24" t="s">
        <v>101</v>
      </c>
      <c r="B24" s="6">
        <v>46256</v>
      </c>
      <c r="C24" t="s">
        <v>21</v>
      </c>
      <c r="D24" t="s">
        <v>10</v>
      </c>
      <c r="E24">
        <v>1.6</v>
      </c>
      <c r="F24">
        <v>1.25</v>
      </c>
      <c r="G24">
        <v>0</v>
      </c>
      <c r="H24">
        <v>2</v>
      </c>
      <c r="I24">
        <v>2.85</v>
      </c>
      <c r="J24">
        <v>2</v>
      </c>
      <c r="K24">
        <v>1</v>
      </c>
      <c r="L24" t="s">
        <v>35</v>
      </c>
    </row>
    <row r="25" spans="1:12" x14ac:dyDescent="0.25">
      <c r="A25" t="s">
        <v>102</v>
      </c>
      <c r="B25" s="6">
        <v>46256</v>
      </c>
      <c r="C25" t="s">
        <v>22</v>
      </c>
      <c r="D25" t="s">
        <v>16</v>
      </c>
      <c r="E25">
        <v>1.89</v>
      </c>
      <c r="F25">
        <v>0.76</v>
      </c>
      <c r="G25">
        <v>1</v>
      </c>
      <c r="H25">
        <v>1</v>
      </c>
      <c r="I25">
        <v>2.65</v>
      </c>
      <c r="J25">
        <v>2</v>
      </c>
      <c r="K25">
        <v>1</v>
      </c>
      <c r="L25" t="s">
        <v>35</v>
      </c>
    </row>
    <row r="26" spans="1:12" x14ac:dyDescent="0.25">
      <c r="A26" t="s">
        <v>103</v>
      </c>
      <c r="B26" s="6">
        <v>46263</v>
      </c>
      <c r="C26" t="s">
        <v>2</v>
      </c>
      <c r="D26" t="s">
        <v>15</v>
      </c>
      <c r="E26">
        <v>2.73</v>
      </c>
      <c r="F26">
        <v>1.72</v>
      </c>
      <c r="G26">
        <v>4</v>
      </c>
      <c r="H26">
        <v>0</v>
      </c>
      <c r="I26">
        <v>4.45</v>
      </c>
      <c r="J26">
        <v>4</v>
      </c>
      <c r="K26">
        <v>1</v>
      </c>
      <c r="L26" t="s">
        <v>35</v>
      </c>
    </row>
    <row r="27" spans="1:12" x14ac:dyDescent="0.25">
      <c r="A27" t="s">
        <v>104</v>
      </c>
      <c r="B27" s="6">
        <v>46263</v>
      </c>
      <c r="C27" t="s">
        <v>6</v>
      </c>
      <c r="D27" t="s">
        <v>8</v>
      </c>
      <c r="E27">
        <v>1.22</v>
      </c>
      <c r="F27">
        <v>1.1299999999999999</v>
      </c>
      <c r="G27">
        <v>1</v>
      </c>
      <c r="H27">
        <v>2</v>
      </c>
      <c r="I27">
        <v>2.3499999999999996</v>
      </c>
      <c r="J27">
        <v>3</v>
      </c>
      <c r="K27">
        <v>1</v>
      </c>
      <c r="L27" t="s">
        <v>35</v>
      </c>
    </row>
    <row r="28" spans="1:12" x14ac:dyDescent="0.25">
      <c r="A28" t="s">
        <v>105</v>
      </c>
      <c r="B28" s="6">
        <v>46263</v>
      </c>
      <c r="C28" t="s">
        <v>10</v>
      </c>
      <c r="D28" t="s">
        <v>1</v>
      </c>
      <c r="E28">
        <v>0.73</v>
      </c>
      <c r="F28">
        <v>1.99</v>
      </c>
      <c r="G28">
        <v>1</v>
      </c>
      <c r="H28">
        <v>3</v>
      </c>
      <c r="I28">
        <v>2.7199999999999998</v>
      </c>
      <c r="J28">
        <v>4</v>
      </c>
      <c r="K28">
        <v>1</v>
      </c>
      <c r="L28" t="s">
        <v>35</v>
      </c>
    </row>
    <row r="29" spans="1:12" x14ac:dyDescent="0.25">
      <c r="A29" t="s">
        <v>106</v>
      </c>
      <c r="B29" s="6">
        <v>46263</v>
      </c>
      <c r="C29" t="s">
        <v>33</v>
      </c>
      <c r="D29" t="s">
        <v>9</v>
      </c>
      <c r="E29">
        <v>0.56999999999999995</v>
      </c>
      <c r="F29">
        <v>1.53</v>
      </c>
      <c r="G29">
        <v>0</v>
      </c>
      <c r="H29">
        <v>0</v>
      </c>
      <c r="I29">
        <v>2.1</v>
      </c>
      <c r="J29">
        <v>0</v>
      </c>
      <c r="K29">
        <v>1</v>
      </c>
      <c r="L29" t="s">
        <v>35</v>
      </c>
    </row>
    <row r="30" spans="1:12" x14ac:dyDescent="0.25">
      <c r="A30" t="s">
        <v>107</v>
      </c>
      <c r="B30" s="6">
        <v>46263</v>
      </c>
      <c r="C30" t="s">
        <v>13</v>
      </c>
      <c r="D30" t="s">
        <v>5</v>
      </c>
      <c r="E30">
        <v>2.29</v>
      </c>
      <c r="F30">
        <v>0.11</v>
      </c>
      <c r="G30">
        <v>2</v>
      </c>
      <c r="H30">
        <v>1</v>
      </c>
      <c r="I30">
        <v>2.4</v>
      </c>
      <c r="J30">
        <v>3</v>
      </c>
      <c r="K30">
        <v>1</v>
      </c>
      <c r="L30" t="s">
        <v>35</v>
      </c>
    </row>
    <row r="31" spans="1:12" x14ac:dyDescent="0.25">
      <c r="A31" t="s">
        <v>108</v>
      </c>
      <c r="B31" s="6">
        <v>46263</v>
      </c>
      <c r="C31" t="s">
        <v>16</v>
      </c>
      <c r="D31" t="s">
        <v>3</v>
      </c>
      <c r="E31">
        <v>1.1599999999999999</v>
      </c>
      <c r="F31">
        <v>0.9</v>
      </c>
      <c r="G31">
        <v>2</v>
      </c>
      <c r="H31">
        <v>0</v>
      </c>
      <c r="I31">
        <v>2.06</v>
      </c>
      <c r="J31">
        <v>2</v>
      </c>
      <c r="K31">
        <v>1</v>
      </c>
      <c r="L31" t="s">
        <v>35</v>
      </c>
    </row>
    <row r="32" spans="1:12" x14ac:dyDescent="0.25">
      <c r="A32" t="s">
        <v>109</v>
      </c>
      <c r="B32" s="6">
        <v>46263</v>
      </c>
      <c r="C32" t="s">
        <v>18</v>
      </c>
      <c r="D32" t="s">
        <v>4</v>
      </c>
      <c r="E32">
        <v>4.5199999999999996</v>
      </c>
      <c r="F32">
        <v>1.5</v>
      </c>
      <c r="G32">
        <v>7</v>
      </c>
      <c r="H32">
        <v>2</v>
      </c>
      <c r="I32">
        <v>6.02</v>
      </c>
      <c r="J32">
        <v>9</v>
      </c>
      <c r="K32">
        <v>1</v>
      </c>
      <c r="L32" t="s">
        <v>35</v>
      </c>
    </row>
    <row r="33" spans="1:12" x14ac:dyDescent="0.25">
      <c r="A33" t="s">
        <v>110</v>
      </c>
      <c r="B33" s="6">
        <v>46263</v>
      </c>
      <c r="C33" t="s">
        <v>19</v>
      </c>
      <c r="D33" t="s">
        <v>7</v>
      </c>
      <c r="E33">
        <v>0.47</v>
      </c>
      <c r="F33">
        <v>0.65</v>
      </c>
      <c r="G33">
        <v>2</v>
      </c>
      <c r="H33">
        <v>2</v>
      </c>
      <c r="I33">
        <v>1.1200000000000001</v>
      </c>
      <c r="J33">
        <v>4</v>
      </c>
      <c r="K33">
        <v>1</v>
      </c>
      <c r="L33" t="s">
        <v>35</v>
      </c>
    </row>
    <row r="34" spans="1:12" x14ac:dyDescent="0.25">
      <c r="A34" t="s">
        <v>111</v>
      </c>
      <c r="B34" s="6">
        <v>46263</v>
      </c>
      <c r="C34" t="s">
        <v>20</v>
      </c>
      <c r="D34" t="s">
        <v>22</v>
      </c>
      <c r="E34">
        <v>1.34</v>
      </c>
      <c r="F34">
        <v>0.94</v>
      </c>
      <c r="G34">
        <v>5</v>
      </c>
      <c r="H34">
        <v>1</v>
      </c>
      <c r="I34">
        <v>2.2800000000000002</v>
      </c>
      <c r="J34">
        <v>6</v>
      </c>
      <c r="K34">
        <v>1</v>
      </c>
      <c r="L34" t="s">
        <v>35</v>
      </c>
    </row>
    <row r="35" spans="1:12" x14ac:dyDescent="0.25">
      <c r="A35" t="s">
        <v>112</v>
      </c>
      <c r="B35" s="6">
        <v>46264</v>
      </c>
      <c r="C35" t="s">
        <v>0</v>
      </c>
      <c r="D35" t="s">
        <v>21</v>
      </c>
      <c r="E35">
        <v>0.72</v>
      </c>
      <c r="F35">
        <v>2.99</v>
      </c>
      <c r="G35">
        <v>1</v>
      </c>
      <c r="H35">
        <v>0</v>
      </c>
      <c r="I35">
        <v>3.71</v>
      </c>
      <c r="J35">
        <v>1</v>
      </c>
      <c r="K35">
        <v>1</v>
      </c>
      <c r="L35" t="s">
        <v>35</v>
      </c>
    </row>
    <row r="36" spans="1:12" x14ac:dyDescent="0.25">
      <c r="A36" t="s">
        <v>113</v>
      </c>
      <c r="B36" s="6">
        <v>46264</v>
      </c>
      <c r="C36" t="s">
        <v>12</v>
      </c>
      <c r="D36" t="s">
        <v>11</v>
      </c>
      <c r="E36">
        <v>1.37</v>
      </c>
      <c r="F36">
        <v>1.35</v>
      </c>
      <c r="G36">
        <v>5</v>
      </c>
      <c r="H36">
        <v>2</v>
      </c>
      <c r="I36">
        <v>2.72</v>
      </c>
      <c r="J36">
        <v>7</v>
      </c>
      <c r="K36">
        <v>1</v>
      </c>
      <c r="L36" t="s">
        <v>35</v>
      </c>
    </row>
    <row r="37" spans="1:12" x14ac:dyDescent="0.25">
      <c r="A37" t="s">
        <v>114</v>
      </c>
      <c r="B37" s="6">
        <v>46266</v>
      </c>
      <c r="C37" t="s">
        <v>3</v>
      </c>
      <c r="D37" t="s">
        <v>6</v>
      </c>
      <c r="E37">
        <v>2.1800000000000002</v>
      </c>
      <c r="F37">
        <v>0.44</v>
      </c>
      <c r="G37">
        <v>1</v>
      </c>
      <c r="H37">
        <v>2</v>
      </c>
      <c r="I37">
        <v>2.62</v>
      </c>
      <c r="J37">
        <v>3</v>
      </c>
      <c r="K37">
        <v>1</v>
      </c>
      <c r="L37" t="s">
        <v>35</v>
      </c>
    </row>
    <row r="38" spans="1:12" x14ac:dyDescent="0.25">
      <c r="A38" t="s">
        <v>115</v>
      </c>
      <c r="B38" s="6">
        <v>46266</v>
      </c>
      <c r="C38" t="s">
        <v>4</v>
      </c>
      <c r="D38" t="s">
        <v>10</v>
      </c>
      <c r="E38">
        <v>0.63</v>
      </c>
      <c r="F38">
        <v>1.94</v>
      </c>
      <c r="G38">
        <v>0</v>
      </c>
      <c r="H38">
        <v>5</v>
      </c>
      <c r="I38">
        <v>2.57</v>
      </c>
      <c r="J38">
        <v>5</v>
      </c>
      <c r="K38">
        <v>1</v>
      </c>
      <c r="L38" t="s">
        <v>35</v>
      </c>
    </row>
    <row r="39" spans="1:12" x14ac:dyDescent="0.25">
      <c r="A39" t="s">
        <v>116</v>
      </c>
      <c r="B39" s="6">
        <v>46266</v>
      </c>
      <c r="C39" t="s">
        <v>7</v>
      </c>
      <c r="D39" t="s">
        <v>13</v>
      </c>
      <c r="E39">
        <v>1.1200000000000001</v>
      </c>
      <c r="F39">
        <v>0.87</v>
      </c>
      <c r="G39">
        <v>1</v>
      </c>
      <c r="H39">
        <v>1</v>
      </c>
      <c r="I39">
        <v>1.9900000000000002</v>
      </c>
      <c r="J39">
        <v>2</v>
      </c>
      <c r="K39">
        <v>1</v>
      </c>
      <c r="L39" t="s">
        <v>35</v>
      </c>
    </row>
    <row r="40" spans="1:12" x14ac:dyDescent="0.25">
      <c r="A40" t="s">
        <v>117</v>
      </c>
      <c r="B40" s="6">
        <v>46266</v>
      </c>
      <c r="C40" t="s">
        <v>8</v>
      </c>
      <c r="D40" t="s">
        <v>14</v>
      </c>
      <c r="E40">
        <v>3.62</v>
      </c>
      <c r="F40">
        <v>1.01</v>
      </c>
      <c r="G40">
        <v>3</v>
      </c>
      <c r="H40">
        <v>1</v>
      </c>
      <c r="I40">
        <v>4.63</v>
      </c>
      <c r="J40">
        <v>4</v>
      </c>
      <c r="K40">
        <v>1</v>
      </c>
      <c r="L40" t="s">
        <v>35</v>
      </c>
    </row>
    <row r="41" spans="1:12" x14ac:dyDescent="0.25">
      <c r="A41" t="s">
        <v>118</v>
      </c>
      <c r="B41" s="6">
        <v>46266</v>
      </c>
      <c r="C41" t="s">
        <v>9</v>
      </c>
      <c r="D41" t="s">
        <v>16</v>
      </c>
      <c r="E41">
        <v>1.76</v>
      </c>
      <c r="F41">
        <v>1.1299999999999999</v>
      </c>
      <c r="G41">
        <v>2</v>
      </c>
      <c r="H41">
        <v>0</v>
      </c>
      <c r="I41">
        <v>2.8899999999999997</v>
      </c>
      <c r="J41">
        <v>2</v>
      </c>
      <c r="K41">
        <v>1</v>
      </c>
      <c r="L41" t="s">
        <v>35</v>
      </c>
    </row>
    <row r="42" spans="1:12" x14ac:dyDescent="0.25">
      <c r="A42" t="s">
        <v>119</v>
      </c>
      <c r="B42" s="6">
        <v>46266</v>
      </c>
      <c r="C42" t="s">
        <v>15</v>
      </c>
      <c r="D42" t="s">
        <v>19</v>
      </c>
      <c r="E42">
        <v>0.91</v>
      </c>
      <c r="F42">
        <v>0.47</v>
      </c>
      <c r="G42">
        <v>0</v>
      </c>
      <c r="H42">
        <v>0</v>
      </c>
      <c r="I42">
        <v>1.38</v>
      </c>
      <c r="J42">
        <v>0</v>
      </c>
      <c r="K42">
        <v>1</v>
      </c>
      <c r="L42" t="s">
        <v>35</v>
      </c>
    </row>
    <row r="43" spans="1:12" x14ac:dyDescent="0.25">
      <c r="A43" t="s">
        <v>120</v>
      </c>
      <c r="B43" s="6">
        <v>46266</v>
      </c>
      <c r="C43" t="s">
        <v>22</v>
      </c>
      <c r="D43" t="s">
        <v>18</v>
      </c>
      <c r="E43">
        <v>1.02</v>
      </c>
      <c r="F43">
        <v>2.56</v>
      </c>
      <c r="G43">
        <v>1</v>
      </c>
      <c r="H43">
        <v>2</v>
      </c>
      <c r="I43">
        <v>3.58</v>
      </c>
      <c r="J43">
        <v>3</v>
      </c>
      <c r="K43">
        <v>1</v>
      </c>
      <c r="L43" t="s">
        <v>35</v>
      </c>
    </row>
    <row r="44" spans="1:12" x14ac:dyDescent="0.25">
      <c r="A44" t="s">
        <v>121</v>
      </c>
      <c r="B44" s="6">
        <v>46267</v>
      </c>
      <c r="C44" t="s">
        <v>1</v>
      </c>
      <c r="D44" t="s">
        <v>2</v>
      </c>
      <c r="E44">
        <v>1.97</v>
      </c>
      <c r="F44">
        <v>2.4</v>
      </c>
      <c r="G44">
        <v>2</v>
      </c>
      <c r="H44">
        <v>1</v>
      </c>
      <c r="I44">
        <v>4.37</v>
      </c>
      <c r="J44">
        <v>3</v>
      </c>
      <c r="K44">
        <v>1</v>
      </c>
      <c r="L44" t="s">
        <v>35</v>
      </c>
    </row>
    <row r="45" spans="1:12" x14ac:dyDescent="0.25">
      <c r="A45" t="s">
        <v>122</v>
      </c>
      <c r="B45" s="6">
        <v>46267</v>
      </c>
      <c r="C45" t="s">
        <v>5</v>
      </c>
      <c r="D45" t="s">
        <v>0</v>
      </c>
      <c r="E45">
        <v>0.93</v>
      </c>
      <c r="F45">
        <v>1.43</v>
      </c>
      <c r="G45">
        <v>4</v>
      </c>
      <c r="H45">
        <v>1</v>
      </c>
      <c r="I45">
        <v>2.36</v>
      </c>
      <c r="J45">
        <v>5</v>
      </c>
      <c r="K45">
        <v>1</v>
      </c>
      <c r="L45" t="s">
        <v>35</v>
      </c>
    </row>
    <row r="46" spans="1:12" x14ac:dyDescent="0.25">
      <c r="A46" t="s">
        <v>123</v>
      </c>
      <c r="B46" s="6">
        <v>46267</v>
      </c>
      <c r="C46" t="s">
        <v>11</v>
      </c>
      <c r="D46" t="s">
        <v>20</v>
      </c>
      <c r="E46">
        <v>1.4</v>
      </c>
      <c r="F46">
        <v>0.84</v>
      </c>
      <c r="G46">
        <v>2</v>
      </c>
      <c r="H46">
        <v>0</v>
      </c>
      <c r="I46">
        <v>2.2399999999999998</v>
      </c>
      <c r="J46">
        <v>2</v>
      </c>
      <c r="K46">
        <v>1</v>
      </c>
      <c r="L46" t="s">
        <v>35</v>
      </c>
    </row>
    <row r="47" spans="1:12" x14ac:dyDescent="0.25">
      <c r="A47" t="s">
        <v>124</v>
      </c>
      <c r="B47" s="6">
        <v>46267</v>
      </c>
      <c r="C47" t="s">
        <v>17</v>
      </c>
      <c r="D47" t="s">
        <v>12</v>
      </c>
      <c r="E47">
        <v>2.35</v>
      </c>
      <c r="F47">
        <v>2.8</v>
      </c>
      <c r="G47">
        <v>5</v>
      </c>
      <c r="H47">
        <v>0</v>
      </c>
      <c r="I47">
        <v>5.15</v>
      </c>
      <c r="J47">
        <v>5</v>
      </c>
      <c r="K47">
        <v>1</v>
      </c>
      <c r="L47" t="s">
        <v>35</v>
      </c>
    </row>
    <row r="48" spans="1:12" x14ac:dyDescent="0.25">
      <c r="A48" t="s">
        <v>125</v>
      </c>
      <c r="B48" s="6">
        <v>46267</v>
      </c>
      <c r="C48" t="s">
        <v>21</v>
      </c>
      <c r="D48" t="s">
        <v>33</v>
      </c>
      <c r="E48">
        <v>2.68</v>
      </c>
      <c r="F48">
        <v>1.37</v>
      </c>
      <c r="G48">
        <v>3</v>
      </c>
      <c r="H48">
        <v>1</v>
      </c>
      <c r="I48">
        <v>4.0500000000000007</v>
      </c>
      <c r="J48">
        <v>4</v>
      </c>
      <c r="K48">
        <v>1</v>
      </c>
      <c r="L48" t="s">
        <v>35</v>
      </c>
    </row>
    <row r="49" spans="1:12" x14ac:dyDescent="0.25">
      <c r="A49" t="s">
        <v>126</v>
      </c>
      <c r="B49" s="6">
        <v>46270</v>
      </c>
      <c r="C49" t="s">
        <v>1</v>
      </c>
      <c r="D49" t="s">
        <v>19</v>
      </c>
      <c r="E49">
        <v>1.83</v>
      </c>
      <c r="F49">
        <v>1.93</v>
      </c>
      <c r="G49">
        <v>1</v>
      </c>
      <c r="H49">
        <v>5</v>
      </c>
      <c r="I49">
        <v>3.76</v>
      </c>
      <c r="J49">
        <v>6</v>
      </c>
      <c r="K49">
        <v>1</v>
      </c>
      <c r="L49" t="s">
        <v>35</v>
      </c>
    </row>
    <row r="50" spans="1:12" x14ac:dyDescent="0.25">
      <c r="A50" t="s">
        <v>127</v>
      </c>
      <c r="B50" s="6">
        <v>46270</v>
      </c>
      <c r="C50" t="s">
        <v>3</v>
      </c>
      <c r="D50" t="s">
        <v>12</v>
      </c>
      <c r="E50">
        <v>1.03</v>
      </c>
      <c r="F50">
        <v>0.48</v>
      </c>
      <c r="G50">
        <v>1</v>
      </c>
      <c r="H50">
        <v>0</v>
      </c>
      <c r="I50">
        <v>1.51</v>
      </c>
      <c r="J50">
        <v>1</v>
      </c>
      <c r="K50">
        <v>1</v>
      </c>
      <c r="L50" t="s">
        <v>35</v>
      </c>
    </row>
    <row r="51" spans="1:12" x14ac:dyDescent="0.25">
      <c r="A51" t="s">
        <v>128</v>
      </c>
      <c r="B51" s="6">
        <v>46270</v>
      </c>
      <c r="C51" t="s">
        <v>5</v>
      </c>
      <c r="D51" t="s">
        <v>6</v>
      </c>
      <c r="E51">
        <v>2.31</v>
      </c>
      <c r="F51">
        <v>0.9</v>
      </c>
      <c r="G51">
        <v>2</v>
      </c>
      <c r="H51">
        <v>2</v>
      </c>
      <c r="I51">
        <v>3.21</v>
      </c>
      <c r="J51">
        <v>4</v>
      </c>
      <c r="K51">
        <v>1</v>
      </c>
      <c r="L51" t="s">
        <v>35</v>
      </c>
    </row>
    <row r="52" spans="1:12" x14ac:dyDescent="0.25">
      <c r="A52" t="s">
        <v>129</v>
      </c>
      <c r="B52" s="6">
        <v>46270</v>
      </c>
      <c r="C52" t="s">
        <v>7</v>
      </c>
      <c r="D52" t="s">
        <v>16</v>
      </c>
      <c r="E52">
        <v>2.33</v>
      </c>
      <c r="F52">
        <v>2.65</v>
      </c>
      <c r="G52">
        <v>2</v>
      </c>
      <c r="H52">
        <v>3</v>
      </c>
      <c r="I52">
        <v>4.9800000000000004</v>
      </c>
      <c r="J52">
        <v>5</v>
      </c>
      <c r="K52">
        <v>1</v>
      </c>
      <c r="L52" t="s">
        <v>35</v>
      </c>
    </row>
    <row r="53" spans="1:12" x14ac:dyDescent="0.25">
      <c r="A53" t="s">
        <v>130</v>
      </c>
      <c r="B53" s="6">
        <v>46270</v>
      </c>
      <c r="C53" t="s">
        <v>8</v>
      </c>
      <c r="D53" t="s">
        <v>13</v>
      </c>
      <c r="E53">
        <v>1.41</v>
      </c>
      <c r="F53">
        <v>1.24</v>
      </c>
      <c r="G53">
        <v>1</v>
      </c>
      <c r="H53">
        <v>1</v>
      </c>
      <c r="I53">
        <v>2.65</v>
      </c>
      <c r="J53">
        <v>2</v>
      </c>
      <c r="K53">
        <v>1</v>
      </c>
      <c r="L53" t="s">
        <v>35</v>
      </c>
    </row>
    <row r="54" spans="1:12" x14ac:dyDescent="0.25">
      <c r="A54" t="s">
        <v>131</v>
      </c>
      <c r="B54" s="6">
        <v>46270</v>
      </c>
      <c r="C54" t="s">
        <v>9</v>
      </c>
      <c r="D54" t="s">
        <v>14</v>
      </c>
      <c r="E54">
        <v>1.03</v>
      </c>
      <c r="F54">
        <v>2.31</v>
      </c>
      <c r="G54">
        <v>0</v>
      </c>
      <c r="H54">
        <v>4</v>
      </c>
      <c r="I54">
        <v>3.34</v>
      </c>
      <c r="J54">
        <v>4</v>
      </c>
      <c r="K54">
        <v>1</v>
      </c>
      <c r="L54" t="s">
        <v>35</v>
      </c>
    </row>
    <row r="55" spans="1:12" x14ac:dyDescent="0.25">
      <c r="A55" t="s">
        <v>132</v>
      </c>
      <c r="B55" s="6">
        <v>46270</v>
      </c>
      <c r="C55" t="s">
        <v>11</v>
      </c>
      <c r="D55" t="s">
        <v>10</v>
      </c>
      <c r="E55">
        <v>2.21</v>
      </c>
      <c r="F55">
        <v>0.56000000000000005</v>
      </c>
      <c r="G55">
        <v>1</v>
      </c>
      <c r="H55">
        <v>1</v>
      </c>
      <c r="I55">
        <v>2.77</v>
      </c>
      <c r="J55">
        <v>2</v>
      </c>
      <c r="K55">
        <v>1</v>
      </c>
      <c r="L55" t="s">
        <v>35</v>
      </c>
    </row>
    <row r="56" spans="1:12" x14ac:dyDescent="0.25">
      <c r="A56" t="s">
        <v>133</v>
      </c>
      <c r="B56" s="6">
        <v>46270</v>
      </c>
      <c r="C56" t="s">
        <v>15</v>
      </c>
      <c r="D56" t="s">
        <v>18</v>
      </c>
      <c r="E56">
        <v>1.97</v>
      </c>
      <c r="F56">
        <v>1.36</v>
      </c>
      <c r="G56">
        <v>1</v>
      </c>
      <c r="H56">
        <v>2</v>
      </c>
      <c r="I56">
        <v>3.33</v>
      </c>
      <c r="J56">
        <v>3</v>
      </c>
      <c r="K56">
        <v>1</v>
      </c>
      <c r="L56" t="s">
        <v>35</v>
      </c>
    </row>
    <row r="57" spans="1:12" x14ac:dyDescent="0.25">
      <c r="A57" t="s">
        <v>134</v>
      </c>
      <c r="B57" s="6">
        <v>46270</v>
      </c>
      <c r="C57" t="s">
        <v>17</v>
      </c>
      <c r="D57" t="s">
        <v>2</v>
      </c>
      <c r="E57">
        <v>3.5</v>
      </c>
      <c r="F57">
        <v>0.51</v>
      </c>
      <c r="G57">
        <v>3</v>
      </c>
      <c r="H57">
        <v>1</v>
      </c>
      <c r="I57">
        <v>4.01</v>
      </c>
      <c r="J57">
        <v>4</v>
      </c>
      <c r="K57">
        <v>1</v>
      </c>
      <c r="L57" t="s">
        <v>35</v>
      </c>
    </row>
    <row r="58" spans="1:12" x14ac:dyDescent="0.25">
      <c r="A58" t="s">
        <v>135</v>
      </c>
      <c r="B58" s="6">
        <v>46270</v>
      </c>
      <c r="C58" t="s">
        <v>21</v>
      </c>
      <c r="D58" t="s">
        <v>20</v>
      </c>
      <c r="E58">
        <v>0.73</v>
      </c>
      <c r="F58">
        <v>2.15</v>
      </c>
      <c r="G58">
        <v>0</v>
      </c>
      <c r="H58">
        <v>4</v>
      </c>
      <c r="I58">
        <v>2.88</v>
      </c>
      <c r="J58">
        <v>4</v>
      </c>
      <c r="K58">
        <v>1</v>
      </c>
      <c r="L58" t="s">
        <v>35</v>
      </c>
    </row>
    <row r="59" spans="1:12" x14ac:dyDescent="0.25">
      <c r="A59" t="s">
        <v>136</v>
      </c>
      <c r="B59" s="6">
        <v>46270</v>
      </c>
      <c r="C59" t="s">
        <v>22</v>
      </c>
      <c r="D59" t="s">
        <v>33</v>
      </c>
      <c r="E59">
        <v>0.89</v>
      </c>
      <c r="F59">
        <v>1.65</v>
      </c>
      <c r="G59">
        <v>3</v>
      </c>
      <c r="H59">
        <v>3</v>
      </c>
      <c r="I59">
        <v>2.54</v>
      </c>
      <c r="J59">
        <v>6</v>
      </c>
      <c r="K59">
        <v>1</v>
      </c>
      <c r="L59" t="s">
        <v>35</v>
      </c>
    </row>
    <row r="60" spans="1:12" x14ac:dyDescent="0.25">
      <c r="A60" t="s">
        <v>137</v>
      </c>
      <c r="B60" s="6">
        <v>46272</v>
      </c>
      <c r="C60" t="s">
        <v>4</v>
      </c>
      <c r="D60" t="s">
        <v>0</v>
      </c>
      <c r="E60">
        <v>0.55000000000000004</v>
      </c>
      <c r="F60">
        <v>1.22</v>
      </c>
      <c r="G60">
        <v>0</v>
      </c>
      <c r="H60">
        <v>2</v>
      </c>
      <c r="I60">
        <v>1.77</v>
      </c>
      <c r="J60">
        <v>2</v>
      </c>
      <c r="K60">
        <v>1</v>
      </c>
      <c r="L60" t="s">
        <v>35</v>
      </c>
    </row>
    <row r="61" spans="1:12" x14ac:dyDescent="0.25">
      <c r="A61" t="s">
        <v>138</v>
      </c>
      <c r="B61" s="6">
        <v>46273</v>
      </c>
      <c r="C61" t="s">
        <v>14</v>
      </c>
      <c r="D61" t="s">
        <v>17</v>
      </c>
      <c r="K61">
        <v>1</v>
      </c>
      <c r="L61" t="s">
        <v>35</v>
      </c>
    </row>
    <row r="62" spans="1:12" x14ac:dyDescent="0.25">
      <c r="A62" t="s">
        <v>139</v>
      </c>
      <c r="B62" s="6">
        <v>46275</v>
      </c>
      <c r="C62" t="s">
        <v>19</v>
      </c>
      <c r="D62" t="s">
        <v>11</v>
      </c>
      <c r="E62">
        <v>1.31</v>
      </c>
      <c r="F62">
        <v>0.89</v>
      </c>
      <c r="G62">
        <v>2</v>
      </c>
      <c r="H62">
        <v>1</v>
      </c>
      <c r="I62">
        <v>2.2000000000000002</v>
      </c>
      <c r="J62">
        <v>3</v>
      </c>
      <c r="K62">
        <v>1</v>
      </c>
      <c r="L62" t="s">
        <v>35</v>
      </c>
    </row>
    <row r="63" spans="1:12" x14ac:dyDescent="0.25">
      <c r="A63" t="s">
        <v>140</v>
      </c>
      <c r="B63" s="6">
        <v>46277</v>
      </c>
      <c r="C63" t="s">
        <v>0</v>
      </c>
      <c r="D63" t="s">
        <v>7</v>
      </c>
      <c r="E63">
        <v>0.81</v>
      </c>
      <c r="F63">
        <v>2.41</v>
      </c>
      <c r="G63">
        <v>1</v>
      </c>
      <c r="H63">
        <v>0</v>
      </c>
      <c r="I63">
        <v>3.22</v>
      </c>
      <c r="J63">
        <v>1</v>
      </c>
      <c r="K63">
        <v>1</v>
      </c>
      <c r="L63" t="s">
        <v>35</v>
      </c>
    </row>
    <row r="64" spans="1:12" x14ac:dyDescent="0.25">
      <c r="A64" t="s">
        <v>141</v>
      </c>
      <c r="B64" s="6">
        <v>46277</v>
      </c>
      <c r="C64" t="s">
        <v>2</v>
      </c>
      <c r="D64" t="s">
        <v>4</v>
      </c>
      <c r="E64">
        <v>1.17</v>
      </c>
      <c r="F64">
        <v>1.38</v>
      </c>
      <c r="G64">
        <v>2</v>
      </c>
      <c r="H64">
        <v>2</v>
      </c>
      <c r="I64">
        <v>2.5499999999999998</v>
      </c>
      <c r="J64">
        <v>4</v>
      </c>
      <c r="K64">
        <v>1</v>
      </c>
      <c r="L64" t="s">
        <v>35</v>
      </c>
    </row>
    <row r="65" spans="1:12" x14ac:dyDescent="0.25">
      <c r="A65" t="s">
        <v>142</v>
      </c>
      <c r="B65" s="6">
        <v>46277</v>
      </c>
      <c r="C65" t="s">
        <v>6</v>
      </c>
      <c r="D65" t="s">
        <v>17</v>
      </c>
      <c r="E65">
        <v>0.94</v>
      </c>
      <c r="F65">
        <v>1.99</v>
      </c>
      <c r="G65">
        <v>2</v>
      </c>
      <c r="H65">
        <v>1</v>
      </c>
      <c r="I65">
        <v>2.9299999999999997</v>
      </c>
      <c r="J65">
        <v>3</v>
      </c>
      <c r="K65">
        <v>1</v>
      </c>
      <c r="L65" t="s">
        <v>35</v>
      </c>
    </row>
    <row r="66" spans="1:12" x14ac:dyDescent="0.25">
      <c r="A66" t="s">
        <v>143</v>
      </c>
      <c r="B66" s="6">
        <v>46277</v>
      </c>
      <c r="C66" t="s">
        <v>10</v>
      </c>
      <c r="D66" t="s">
        <v>22</v>
      </c>
      <c r="E66">
        <v>0.88</v>
      </c>
      <c r="F66">
        <v>1.1599999999999999</v>
      </c>
      <c r="G66">
        <v>2</v>
      </c>
      <c r="H66">
        <v>3</v>
      </c>
      <c r="I66">
        <v>2.04</v>
      </c>
      <c r="J66">
        <v>5</v>
      </c>
      <c r="K66">
        <v>1</v>
      </c>
      <c r="L66" t="s">
        <v>35</v>
      </c>
    </row>
    <row r="67" spans="1:12" x14ac:dyDescent="0.25">
      <c r="A67" t="s">
        <v>144</v>
      </c>
      <c r="B67" s="6">
        <v>46277</v>
      </c>
      <c r="C67" t="s">
        <v>12</v>
      </c>
      <c r="D67" t="s">
        <v>8</v>
      </c>
      <c r="E67">
        <v>0.86</v>
      </c>
      <c r="F67">
        <v>1.36</v>
      </c>
      <c r="G67">
        <v>0</v>
      </c>
      <c r="H67">
        <v>0</v>
      </c>
      <c r="I67">
        <v>2.2200000000000002</v>
      </c>
      <c r="J67">
        <v>0</v>
      </c>
      <c r="K67">
        <v>1</v>
      </c>
      <c r="L67" t="s">
        <v>35</v>
      </c>
    </row>
    <row r="68" spans="1:12" x14ac:dyDescent="0.25">
      <c r="A68" t="s">
        <v>145</v>
      </c>
      <c r="B68" s="6">
        <v>46277</v>
      </c>
      <c r="C68" t="s">
        <v>33</v>
      </c>
      <c r="D68" t="s">
        <v>15</v>
      </c>
      <c r="E68">
        <v>1.24</v>
      </c>
      <c r="F68">
        <v>1.21</v>
      </c>
      <c r="G68">
        <v>1</v>
      </c>
      <c r="H68">
        <v>1</v>
      </c>
      <c r="I68">
        <v>2.4500000000000002</v>
      </c>
      <c r="J68">
        <v>2</v>
      </c>
      <c r="K68">
        <v>1</v>
      </c>
      <c r="L68" t="s">
        <v>35</v>
      </c>
    </row>
    <row r="69" spans="1:12" x14ac:dyDescent="0.25">
      <c r="A69" t="s">
        <v>146</v>
      </c>
      <c r="B69" s="6">
        <v>46277</v>
      </c>
      <c r="C69" t="s">
        <v>13</v>
      </c>
      <c r="D69" t="s">
        <v>3</v>
      </c>
      <c r="E69">
        <v>0.49</v>
      </c>
      <c r="F69">
        <v>0.5</v>
      </c>
      <c r="G69">
        <v>0</v>
      </c>
      <c r="H69">
        <v>1</v>
      </c>
      <c r="I69">
        <v>0.99</v>
      </c>
      <c r="J69">
        <v>1</v>
      </c>
      <c r="K69">
        <v>1</v>
      </c>
      <c r="L69" t="s">
        <v>35</v>
      </c>
    </row>
    <row r="70" spans="1:12" x14ac:dyDescent="0.25">
      <c r="A70" t="s">
        <v>147</v>
      </c>
      <c r="B70" s="6">
        <v>46277</v>
      </c>
      <c r="C70" t="s">
        <v>14</v>
      </c>
      <c r="D70" t="s">
        <v>5</v>
      </c>
      <c r="E70">
        <v>1.21</v>
      </c>
      <c r="F70">
        <v>0.47</v>
      </c>
      <c r="G70">
        <v>3</v>
      </c>
      <c r="H70">
        <v>0</v>
      </c>
      <c r="I70">
        <v>1.68</v>
      </c>
      <c r="J70">
        <v>3</v>
      </c>
      <c r="K70">
        <v>1</v>
      </c>
      <c r="L70" t="s">
        <v>35</v>
      </c>
    </row>
    <row r="71" spans="1:12" x14ac:dyDescent="0.25">
      <c r="A71" t="s">
        <v>148</v>
      </c>
      <c r="B71" s="6">
        <v>46277</v>
      </c>
      <c r="C71" t="s">
        <v>16</v>
      </c>
      <c r="D71" t="s">
        <v>1</v>
      </c>
      <c r="E71">
        <v>0.99</v>
      </c>
      <c r="F71">
        <v>0.77</v>
      </c>
      <c r="G71">
        <v>3</v>
      </c>
      <c r="H71">
        <v>0</v>
      </c>
      <c r="I71">
        <v>1.76</v>
      </c>
      <c r="J71">
        <v>3</v>
      </c>
      <c r="K71">
        <v>1</v>
      </c>
      <c r="L71" t="s">
        <v>35</v>
      </c>
    </row>
    <row r="72" spans="1:12" x14ac:dyDescent="0.25">
      <c r="A72" t="s">
        <v>149</v>
      </c>
      <c r="B72" s="6">
        <v>46277</v>
      </c>
      <c r="C72" t="s">
        <v>18</v>
      </c>
      <c r="D72" t="s">
        <v>21</v>
      </c>
      <c r="E72">
        <v>0.82</v>
      </c>
      <c r="F72">
        <v>1.59</v>
      </c>
      <c r="G72">
        <v>0</v>
      </c>
      <c r="H72">
        <v>0</v>
      </c>
      <c r="I72">
        <v>2.41</v>
      </c>
      <c r="J72">
        <v>0</v>
      </c>
      <c r="K72">
        <v>1</v>
      </c>
      <c r="L72" t="s">
        <v>35</v>
      </c>
    </row>
    <row r="73" spans="1:12" x14ac:dyDescent="0.25">
      <c r="A73" t="s">
        <v>150</v>
      </c>
      <c r="B73" s="6">
        <v>46277</v>
      </c>
      <c r="C73" t="s">
        <v>20</v>
      </c>
      <c r="D73" t="s">
        <v>9</v>
      </c>
      <c r="E73">
        <v>2.29</v>
      </c>
      <c r="F73">
        <v>1.21</v>
      </c>
      <c r="G73">
        <v>3</v>
      </c>
      <c r="H73">
        <v>4</v>
      </c>
      <c r="I73">
        <v>3.5</v>
      </c>
      <c r="J73">
        <v>7</v>
      </c>
      <c r="K73">
        <v>1</v>
      </c>
      <c r="L73" t="s">
        <v>35</v>
      </c>
    </row>
    <row r="74" spans="1:12" x14ac:dyDescent="0.25">
      <c r="A74" t="s">
        <v>151</v>
      </c>
      <c r="B74" s="6">
        <v>46282</v>
      </c>
      <c r="C74" t="s">
        <v>0</v>
      </c>
      <c r="D74" t="s">
        <v>33</v>
      </c>
      <c r="K74">
        <v>1</v>
      </c>
      <c r="L74" t="s">
        <v>35</v>
      </c>
    </row>
    <row r="75" spans="1:12" x14ac:dyDescent="0.25">
      <c r="A75" t="s">
        <v>152</v>
      </c>
      <c r="B75" s="6">
        <v>46284</v>
      </c>
      <c r="C75" t="s">
        <v>1</v>
      </c>
      <c r="D75" t="s">
        <v>9</v>
      </c>
      <c r="K75">
        <v>1</v>
      </c>
      <c r="L75" t="s">
        <v>35</v>
      </c>
    </row>
    <row r="76" spans="1:12" x14ac:dyDescent="0.25">
      <c r="A76" t="s">
        <v>153</v>
      </c>
      <c r="B76" s="6">
        <v>46284</v>
      </c>
      <c r="C76" t="s">
        <v>2</v>
      </c>
      <c r="D76" t="s">
        <v>16</v>
      </c>
      <c r="K76">
        <v>1</v>
      </c>
      <c r="L76" t="s">
        <v>35</v>
      </c>
    </row>
    <row r="77" spans="1:12" x14ac:dyDescent="0.25">
      <c r="A77" t="s">
        <v>154</v>
      </c>
      <c r="B77" s="6">
        <v>46284</v>
      </c>
      <c r="C77" t="s">
        <v>4</v>
      </c>
      <c r="D77" t="s">
        <v>8</v>
      </c>
      <c r="K77">
        <v>1</v>
      </c>
      <c r="L77" t="s">
        <v>35</v>
      </c>
    </row>
    <row r="78" spans="1:12" x14ac:dyDescent="0.25">
      <c r="A78" t="s">
        <v>155</v>
      </c>
      <c r="B78" s="6">
        <v>46284</v>
      </c>
      <c r="C78" t="s">
        <v>5</v>
      </c>
      <c r="D78" t="s">
        <v>12</v>
      </c>
      <c r="K78">
        <v>1</v>
      </c>
      <c r="L78" t="s">
        <v>35</v>
      </c>
    </row>
    <row r="79" spans="1:12" x14ac:dyDescent="0.25">
      <c r="A79" t="s">
        <v>156</v>
      </c>
      <c r="B79" s="6">
        <v>46284</v>
      </c>
      <c r="C79" t="s">
        <v>10</v>
      </c>
      <c r="D79" t="s">
        <v>19</v>
      </c>
      <c r="K79">
        <v>1</v>
      </c>
      <c r="L79" t="s">
        <v>35</v>
      </c>
    </row>
    <row r="80" spans="1:12" x14ac:dyDescent="0.25">
      <c r="A80" t="s">
        <v>157</v>
      </c>
      <c r="B80" s="6">
        <v>46284</v>
      </c>
      <c r="C80" t="s">
        <v>11</v>
      </c>
      <c r="D80" t="s">
        <v>3</v>
      </c>
      <c r="K80">
        <v>1</v>
      </c>
      <c r="L80" t="s">
        <v>35</v>
      </c>
    </row>
    <row r="81" spans="1:12" x14ac:dyDescent="0.25">
      <c r="A81" t="s">
        <v>158</v>
      </c>
      <c r="B81" s="6">
        <v>46284</v>
      </c>
      <c r="C81" t="s">
        <v>14</v>
      </c>
      <c r="D81" t="s">
        <v>6</v>
      </c>
      <c r="K81">
        <v>1</v>
      </c>
      <c r="L81" t="s">
        <v>35</v>
      </c>
    </row>
    <row r="82" spans="1:12" x14ac:dyDescent="0.25">
      <c r="A82" t="s">
        <v>159</v>
      </c>
      <c r="B82" s="6">
        <v>46284</v>
      </c>
      <c r="C82" t="s">
        <v>15</v>
      </c>
      <c r="D82" t="s">
        <v>7</v>
      </c>
      <c r="K82">
        <v>1</v>
      </c>
      <c r="L82" t="s">
        <v>35</v>
      </c>
    </row>
    <row r="83" spans="1:12" x14ac:dyDescent="0.25">
      <c r="A83" t="s">
        <v>160</v>
      </c>
      <c r="B83" s="6">
        <v>46284</v>
      </c>
      <c r="C83" t="s">
        <v>17</v>
      </c>
      <c r="D83" t="s">
        <v>13</v>
      </c>
      <c r="K83">
        <v>1</v>
      </c>
      <c r="L83" t="s">
        <v>35</v>
      </c>
    </row>
    <row r="84" spans="1:12" x14ac:dyDescent="0.25">
      <c r="A84" t="s">
        <v>161</v>
      </c>
      <c r="B84" s="6">
        <v>46284</v>
      </c>
      <c r="C84" t="s">
        <v>18</v>
      </c>
      <c r="D84" t="s">
        <v>20</v>
      </c>
      <c r="K84">
        <v>1</v>
      </c>
      <c r="L84" t="s">
        <v>35</v>
      </c>
    </row>
    <row r="85" spans="1:12" x14ac:dyDescent="0.25">
      <c r="A85" t="s">
        <v>162</v>
      </c>
      <c r="B85" s="6">
        <v>46284</v>
      </c>
      <c r="C85" t="s">
        <v>21</v>
      </c>
      <c r="D85" t="s">
        <v>22</v>
      </c>
      <c r="K85">
        <v>1</v>
      </c>
      <c r="L85" t="s">
        <v>35</v>
      </c>
    </row>
    <row r="86" spans="1:12" x14ac:dyDescent="0.25">
      <c r="A86" t="s">
        <v>163</v>
      </c>
      <c r="B86" s="6">
        <v>46291</v>
      </c>
      <c r="C86" t="s">
        <v>3</v>
      </c>
      <c r="D86" t="s">
        <v>1</v>
      </c>
      <c r="K86">
        <v>1</v>
      </c>
      <c r="L86" t="s">
        <v>35</v>
      </c>
    </row>
    <row r="87" spans="1:12" x14ac:dyDescent="0.25">
      <c r="A87" t="s">
        <v>164</v>
      </c>
      <c r="B87" s="6">
        <v>46291</v>
      </c>
      <c r="C87" t="s">
        <v>6</v>
      </c>
      <c r="D87" t="s">
        <v>0</v>
      </c>
      <c r="K87">
        <v>1</v>
      </c>
      <c r="L87" t="s">
        <v>35</v>
      </c>
    </row>
    <row r="88" spans="1:12" x14ac:dyDescent="0.25">
      <c r="A88" t="s">
        <v>165</v>
      </c>
      <c r="B88" s="6">
        <v>46291</v>
      </c>
      <c r="C88" t="s">
        <v>7</v>
      </c>
      <c r="D88" t="s">
        <v>14</v>
      </c>
      <c r="K88">
        <v>1</v>
      </c>
      <c r="L88" t="s">
        <v>35</v>
      </c>
    </row>
    <row r="89" spans="1:12" x14ac:dyDescent="0.25">
      <c r="A89" t="s">
        <v>166</v>
      </c>
      <c r="B89" s="6">
        <v>46291</v>
      </c>
      <c r="C89" t="s">
        <v>8</v>
      </c>
      <c r="D89" t="s">
        <v>11</v>
      </c>
      <c r="K89">
        <v>1</v>
      </c>
      <c r="L89" t="s">
        <v>35</v>
      </c>
    </row>
    <row r="90" spans="1:12" x14ac:dyDescent="0.25">
      <c r="A90" t="s">
        <v>167</v>
      </c>
      <c r="B90" s="6">
        <v>46291</v>
      </c>
      <c r="C90" t="s">
        <v>9</v>
      </c>
      <c r="D90" t="s">
        <v>21</v>
      </c>
      <c r="K90">
        <v>1</v>
      </c>
      <c r="L90" t="s">
        <v>35</v>
      </c>
    </row>
    <row r="91" spans="1:12" x14ac:dyDescent="0.25">
      <c r="A91" t="s">
        <v>168</v>
      </c>
      <c r="B91" s="6">
        <v>46291</v>
      </c>
      <c r="C91" t="s">
        <v>12</v>
      </c>
      <c r="D91" t="s">
        <v>10</v>
      </c>
      <c r="K91">
        <v>1</v>
      </c>
      <c r="L91" t="s">
        <v>35</v>
      </c>
    </row>
    <row r="92" spans="1:12" x14ac:dyDescent="0.25">
      <c r="A92" t="s">
        <v>169</v>
      </c>
      <c r="B92" s="6">
        <v>46291</v>
      </c>
      <c r="C92" t="s">
        <v>33</v>
      </c>
      <c r="D92" t="s">
        <v>4</v>
      </c>
      <c r="K92">
        <v>1</v>
      </c>
      <c r="L92" t="s">
        <v>35</v>
      </c>
    </row>
    <row r="93" spans="1:12" x14ac:dyDescent="0.25">
      <c r="A93" t="s">
        <v>170</v>
      </c>
      <c r="B93" s="6">
        <v>46291</v>
      </c>
      <c r="C93" t="s">
        <v>13</v>
      </c>
      <c r="D93" t="s">
        <v>2</v>
      </c>
      <c r="K93">
        <v>1</v>
      </c>
      <c r="L93" t="s">
        <v>35</v>
      </c>
    </row>
    <row r="94" spans="1:12" x14ac:dyDescent="0.25">
      <c r="A94" t="s">
        <v>171</v>
      </c>
      <c r="B94" s="6">
        <v>46291</v>
      </c>
      <c r="C94" t="s">
        <v>16</v>
      </c>
      <c r="D94" t="s">
        <v>5</v>
      </c>
      <c r="K94">
        <v>1</v>
      </c>
      <c r="L94" t="s">
        <v>35</v>
      </c>
    </row>
    <row r="95" spans="1:12" x14ac:dyDescent="0.25">
      <c r="A95" t="s">
        <v>172</v>
      </c>
      <c r="B95" s="6">
        <v>46291</v>
      </c>
      <c r="C95" t="s">
        <v>19</v>
      </c>
      <c r="D95" t="s">
        <v>18</v>
      </c>
      <c r="K95">
        <v>1</v>
      </c>
      <c r="L95" t="s">
        <v>35</v>
      </c>
    </row>
    <row r="96" spans="1:12" x14ac:dyDescent="0.25">
      <c r="A96" t="s">
        <v>173</v>
      </c>
      <c r="B96" s="6">
        <v>46291</v>
      </c>
      <c r="C96" t="s">
        <v>20</v>
      </c>
      <c r="D96" t="s">
        <v>15</v>
      </c>
      <c r="K96">
        <v>1</v>
      </c>
      <c r="L96" t="s">
        <v>35</v>
      </c>
    </row>
    <row r="97" spans="1:12" x14ac:dyDescent="0.25">
      <c r="A97" t="s">
        <v>174</v>
      </c>
      <c r="B97" s="6">
        <v>46291</v>
      </c>
      <c r="C97" t="s">
        <v>22</v>
      </c>
      <c r="D97" t="s">
        <v>17</v>
      </c>
      <c r="K97">
        <v>1</v>
      </c>
      <c r="L97" t="s">
        <v>35</v>
      </c>
    </row>
    <row r="98" spans="1:12" x14ac:dyDescent="0.25">
      <c r="A98" t="s">
        <v>175</v>
      </c>
      <c r="B98" s="6">
        <v>46298</v>
      </c>
      <c r="C98" t="s">
        <v>0</v>
      </c>
      <c r="D98" t="s">
        <v>19</v>
      </c>
      <c r="K98">
        <v>1</v>
      </c>
      <c r="L98" t="s">
        <v>35</v>
      </c>
    </row>
    <row r="99" spans="1:12" x14ac:dyDescent="0.25">
      <c r="A99" t="s">
        <v>176</v>
      </c>
      <c r="B99" s="6">
        <v>46298</v>
      </c>
      <c r="C99" t="s">
        <v>1</v>
      </c>
      <c r="D99" t="s">
        <v>33</v>
      </c>
      <c r="K99">
        <v>1</v>
      </c>
      <c r="L99" t="s">
        <v>35</v>
      </c>
    </row>
    <row r="100" spans="1:12" x14ac:dyDescent="0.25">
      <c r="A100" t="s">
        <v>177</v>
      </c>
      <c r="B100" s="6">
        <v>46298</v>
      </c>
      <c r="C100" t="s">
        <v>2</v>
      </c>
      <c r="D100" t="s">
        <v>9</v>
      </c>
      <c r="K100">
        <v>1</v>
      </c>
      <c r="L100" t="s">
        <v>35</v>
      </c>
    </row>
    <row r="101" spans="1:12" x14ac:dyDescent="0.25">
      <c r="A101" t="s">
        <v>178</v>
      </c>
      <c r="B101" s="6">
        <v>46298</v>
      </c>
      <c r="C101" t="s">
        <v>4</v>
      </c>
      <c r="D101" t="s">
        <v>22</v>
      </c>
      <c r="K101">
        <v>1</v>
      </c>
      <c r="L101" t="s">
        <v>35</v>
      </c>
    </row>
    <row r="102" spans="1:12" x14ac:dyDescent="0.25">
      <c r="A102" t="s">
        <v>179</v>
      </c>
      <c r="B102" s="6">
        <v>46298</v>
      </c>
      <c r="C102" t="s">
        <v>5</v>
      </c>
      <c r="D102" t="s">
        <v>8</v>
      </c>
      <c r="K102">
        <v>1</v>
      </c>
      <c r="L102" t="s">
        <v>35</v>
      </c>
    </row>
    <row r="103" spans="1:12" x14ac:dyDescent="0.25">
      <c r="A103" t="s">
        <v>180</v>
      </c>
      <c r="B103" s="6">
        <v>46298</v>
      </c>
      <c r="C103" t="s">
        <v>10</v>
      </c>
      <c r="D103" t="s">
        <v>16</v>
      </c>
      <c r="K103">
        <v>1</v>
      </c>
      <c r="L103" t="s">
        <v>35</v>
      </c>
    </row>
    <row r="104" spans="1:12" x14ac:dyDescent="0.25">
      <c r="A104" t="s">
        <v>181</v>
      </c>
      <c r="B104" s="6">
        <v>46298</v>
      </c>
      <c r="C104" t="s">
        <v>11</v>
      </c>
      <c r="D104" t="s">
        <v>7</v>
      </c>
      <c r="K104">
        <v>1</v>
      </c>
      <c r="L104" t="s">
        <v>35</v>
      </c>
    </row>
    <row r="105" spans="1:12" x14ac:dyDescent="0.25">
      <c r="A105" t="s">
        <v>182</v>
      </c>
      <c r="B105" s="6">
        <v>46298</v>
      </c>
      <c r="C105" t="s">
        <v>14</v>
      </c>
      <c r="D105" t="s">
        <v>20</v>
      </c>
      <c r="K105">
        <v>1</v>
      </c>
      <c r="L105" t="s">
        <v>35</v>
      </c>
    </row>
    <row r="106" spans="1:12" x14ac:dyDescent="0.25">
      <c r="A106" t="s">
        <v>183</v>
      </c>
      <c r="B106" s="6">
        <v>46298</v>
      </c>
      <c r="C106" t="s">
        <v>15</v>
      </c>
      <c r="D106" t="s">
        <v>13</v>
      </c>
      <c r="K106">
        <v>1</v>
      </c>
      <c r="L106" t="s">
        <v>35</v>
      </c>
    </row>
    <row r="107" spans="1:12" x14ac:dyDescent="0.25">
      <c r="A107" t="s">
        <v>184</v>
      </c>
      <c r="B107" s="6">
        <v>46298</v>
      </c>
      <c r="C107" t="s">
        <v>17</v>
      </c>
      <c r="D107" t="s">
        <v>3</v>
      </c>
      <c r="K107">
        <v>1</v>
      </c>
      <c r="L107" t="s">
        <v>35</v>
      </c>
    </row>
    <row r="108" spans="1:12" x14ac:dyDescent="0.25">
      <c r="A108" t="s">
        <v>185</v>
      </c>
      <c r="B108" s="6">
        <v>46298</v>
      </c>
      <c r="C108" t="s">
        <v>18</v>
      </c>
      <c r="D108" t="s">
        <v>6</v>
      </c>
      <c r="K108">
        <v>1</v>
      </c>
      <c r="L108" t="s">
        <v>35</v>
      </c>
    </row>
    <row r="109" spans="1:12" x14ac:dyDescent="0.25">
      <c r="A109" t="s">
        <v>186</v>
      </c>
      <c r="B109" s="6">
        <v>46298</v>
      </c>
      <c r="C109" t="s">
        <v>21</v>
      </c>
      <c r="D109" t="s">
        <v>12</v>
      </c>
      <c r="K109">
        <v>1</v>
      </c>
      <c r="L109" t="s">
        <v>35</v>
      </c>
    </row>
    <row r="110" spans="1:12" x14ac:dyDescent="0.25">
      <c r="A110" t="s">
        <v>187</v>
      </c>
      <c r="B110" s="6">
        <v>46305</v>
      </c>
      <c r="C110" t="s">
        <v>3</v>
      </c>
      <c r="D110" t="s">
        <v>10</v>
      </c>
      <c r="K110">
        <v>1</v>
      </c>
      <c r="L110" t="s">
        <v>35</v>
      </c>
    </row>
    <row r="111" spans="1:12" x14ac:dyDescent="0.25">
      <c r="A111" t="s">
        <v>188</v>
      </c>
      <c r="B111" s="6">
        <v>46305</v>
      </c>
      <c r="C111" t="s">
        <v>6</v>
      </c>
      <c r="D111" t="s">
        <v>2</v>
      </c>
      <c r="K111">
        <v>1</v>
      </c>
      <c r="L111" t="s">
        <v>35</v>
      </c>
    </row>
    <row r="112" spans="1:12" x14ac:dyDescent="0.25">
      <c r="A112" t="s">
        <v>189</v>
      </c>
      <c r="B112" s="6">
        <v>46305</v>
      </c>
      <c r="C112" t="s">
        <v>7</v>
      </c>
      <c r="D112" t="s">
        <v>5</v>
      </c>
      <c r="K112">
        <v>1</v>
      </c>
      <c r="L112" t="s">
        <v>35</v>
      </c>
    </row>
    <row r="113" spans="1:12" x14ac:dyDescent="0.25">
      <c r="A113" t="s">
        <v>190</v>
      </c>
      <c r="B113" s="6">
        <v>46305</v>
      </c>
      <c r="C113" t="s">
        <v>8</v>
      </c>
      <c r="D113" t="s">
        <v>18</v>
      </c>
      <c r="K113">
        <v>1</v>
      </c>
      <c r="L113" t="s">
        <v>35</v>
      </c>
    </row>
    <row r="114" spans="1:12" x14ac:dyDescent="0.25">
      <c r="A114" t="s">
        <v>191</v>
      </c>
      <c r="B114" s="6">
        <v>46305</v>
      </c>
      <c r="C114" t="s">
        <v>9</v>
      </c>
      <c r="D114" t="s">
        <v>15</v>
      </c>
      <c r="K114">
        <v>1</v>
      </c>
      <c r="L114" t="s">
        <v>35</v>
      </c>
    </row>
    <row r="115" spans="1:12" x14ac:dyDescent="0.25">
      <c r="A115" t="s">
        <v>192</v>
      </c>
      <c r="B115" s="6">
        <v>46305</v>
      </c>
      <c r="C115" t="s">
        <v>12</v>
      </c>
      <c r="D115" t="s">
        <v>4</v>
      </c>
      <c r="K115">
        <v>1</v>
      </c>
      <c r="L115" t="s">
        <v>35</v>
      </c>
    </row>
    <row r="116" spans="1:12" x14ac:dyDescent="0.25">
      <c r="A116" t="s">
        <v>193</v>
      </c>
      <c r="B116" s="6">
        <v>46305</v>
      </c>
      <c r="C116" t="s">
        <v>33</v>
      </c>
      <c r="D116" t="s">
        <v>17</v>
      </c>
      <c r="K116">
        <v>1</v>
      </c>
      <c r="L116" t="s">
        <v>35</v>
      </c>
    </row>
    <row r="117" spans="1:12" x14ac:dyDescent="0.25">
      <c r="A117" t="s">
        <v>194</v>
      </c>
      <c r="B117" s="6">
        <v>46305</v>
      </c>
      <c r="C117" t="s">
        <v>13</v>
      </c>
      <c r="D117" t="s">
        <v>14</v>
      </c>
      <c r="K117">
        <v>1</v>
      </c>
      <c r="L117" t="s">
        <v>35</v>
      </c>
    </row>
    <row r="118" spans="1:12" x14ac:dyDescent="0.25">
      <c r="A118" t="s">
        <v>195</v>
      </c>
      <c r="B118" s="6">
        <v>46305</v>
      </c>
      <c r="C118" t="s">
        <v>16</v>
      </c>
      <c r="D118" t="s">
        <v>0</v>
      </c>
      <c r="K118">
        <v>1</v>
      </c>
      <c r="L118" t="s">
        <v>35</v>
      </c>
    </row>
    <row r="119" spans="1:12" x14ac:dyDescent="0.25">
      <c r="A119" t="s">
        <v>196</v>
      </c>
      <c r="B119" s="6">
        <v>46305</v>
      </c>
      <c r="C119" t="s">
        <v>19</v>
      </c>
      <c r="D119" t="s">
        <v>21</v>
      </c>
      <c r="K119">
        <v>1</v>
      </c>
      <c r="L119" t="s">
        <v>35</v>
      </c>
    </row>
    <row r="120" spans="1:12" x14ac:dyDescent="0.25">
      <c r="A120" t="s">
        <v>197</v>
      </c>
      <c r="B120" s="6">
        <v>46305</v>
      </c>
      <c r="C120" t="s">
        <v>20</v>
      </c>
      <c r="D120" t="s">
        <v>1</v>
      </c>
      <c r="K120">
        <v>1</v>
      </c>
      <c r="L120" t="s">
        <v>35</v>
      </c>
    </row>
    <row r="121" spans="1:12" x14ac:dyDescent="0.25">
      <c r="A121" t="s">
        <v>198</v>
      </c>
      <c r="B121" s="6">
        <v>46305</v>
      </c>
      <c r="C121" t="s">
        <v>22</v>
      </c>
      <c r="D121" t="s">
        <v>11</v>
      </c>
      <c r="K121">
        <v>1</v>
      </c>
      <c r="L121" t="s">
        <v>35</v>
      </c>
    </row>
    <row r="122" spans="1:12" x14ac:dyDescent="0.25">
      <c r="A122" t="s">
        <v>199</v>
      </c>
      <c r="B122" s="6">
        <v>46310</v>
      </c>
      <c r="C122" t="s">
        <v>12</v>
      </c>
      <c r="D122" t="s">
        <v>14</v>
      </c>
      <c r="K122">
        <v>1</v>
      </c>
      <c r="L122" t="s">
        <v>35</v>
      </c>
    </row>
    <row r="123" spans="1:12" x14ac:dyDescent="0.25">
      <c r="A123" t="s">
        <v>200</v>
      </c>
      <c r="B123" s="6">
        <v>46312</v>
      </c>
      <c r="C123" t="s">
        <v>1</v>
      </c>
      <c r="D123" t="s">
        <v>6</v>
      </c>
      <c r="K123">
        <v>1</v>
      </c>
      <c r="L123" t="s">
        <v>35</v>
      </c>
    </row>
    <row r="124" spans="1:12" x14ac:dyDescent="0.25">
      <c r="A124" t="s">
        <v>201</v>
      </c>
      <c r="B124" s="6">
        <v>46312</v>
      </c>
      <c r="C124" t="s">
        <v>3</v>
      </c>
      <c r="D124" t="s">
        <v>19</v>
      </c>
      <c r="K124">
        <v>1</v>
      </c>
      <c r="L124" t="s">
        <v>35</v>
      </c>
    </row>
    <row r="125" spans="1:12" x14ac:dyDescent="0.25">
      <c r="A125" t="s">
        <v>202</v>
      </c>
      <c r="B125" s="6">
        <v>46312</v>
      </c>
      <c r="C125" t="s">
        <v>9</v>
      </c>
      <c r="D125" t="s">
        <v>7</v>
      </c>
      <c r="K125">
        <v>1</v>
      </c>
      <c r="L125" t="s">
        <v>35</v>
      </c>
    </row>
    <row r="126" spans="1:12" x14ac:dyDescent="0.25">
      <c r="A126" t="s">
        <v>203</v>
      </c>
      <c r="B126" s="6">
        <v>46312</v>
      </c>
      <c r="C126" t="s">
        <v>10</v>
      </c>
      <c r="D126" t="s">
        <v>2</v>
      </c>
      <c r="K126">
        <v>1</v>
      </c>
      <c r="L126" t="s">
        <v>35</v>
      </c>
    </row>
    <row r="127" spans="1:12" x14ac:dyDescent="0.25">
      <c r="A127" t="s">
        <v>204</v>
      </c>
      <c r="B127" s="6">
        <v>46312</v>
      </c>
      <c r="C127" t="s">
        <v>33</v>
      </c>
      <c r="D127" t="s">
        <v>11</v>
      </c>
      <c r="K127">
        <v>1</v>
      </c>
      <c r="L127" t="s">
        <v>35</v>
      </c>
    </row>
    <row r="128" spans="1:12" x14ac:dyDescent="0.25">
      <c r="A128" t="s">
        <v>205</v>
      </c>
      <c r="B128" s="6">
        <v>46312</v>
      </c>
      <c r="C128" t="s">
        <v>15</v>
      </c>
      <c r="D128" t="s">
        <v>5</v>
      </c>
      <c r="K128">
        <v>1</v>
      </c>
      <c r="L128" t="s">
        <v>35</v>
      </c>
    </row>
    <row r="129" spans="1:12" x14ac:dyDescent="0.25">
      <c r="A129" t="s">
        <v>206</v>
      </c>
      <c r="B129" s="6">
        <v>46312</v>
      </c>
      <c r="C129" t="s">
        <v>16</v>
      </c>
      <c r="D129" t="s">
        <v>8</v>
      </c>
      <c r="K129">
        <v>1</v>
      </c>
      <c r="L129" t="s">
        <v>35</v>
      </c>
    </row>
    <row r="130" spans="1:12" x14ac:dyDescent="0.25">
      <c r="A130" t="s">
        <v>207</v>
      </c>
      <c r="B130" s="6">
        <v>46312</v>
      </c>
      <c r="C130" t="s">
        <v>18</v>
      </c>
      <c r="D130" t="s">
        <v>0</v>
      </c>
      <c r="K130">
        <v>1</v>
      </c>
      <c r="L130" t="s">
        <v>35</v>
      </c>
    </row>
    <row r="131" spans="1:12" x14ac:dyDescent="0.25">
      <c r="A131" t="s">
        <v>208</v>
      </c>
      <c r="B131" s="6">
        <v>46312</v>
      </c>
      <c r="C131" t="s">
        <v>20</v>
      </c>
      <c r="D131" t="s">
        <v>4</v>
      </c>
      <c r="K131">
        <v>1</v>
      </c>
      <c r="L131" t="s">
        <v>35</v>
      </c>
    </row>
    <row r="132" spans="1:12" x14ac:dyDescent="0.25">
      <c r="A132" t="s">
        <v>209</v>
      </c>
      <c r="B132" s="6">
        <v>46312</v>
      </c>
      <c r="C132" t="s">
        <v>21</v>
      </c>
      <c r="D132" t="s">
        <v>17</v>
      </c>
      <c r="K132">
        <v>1</v>
      </c>
      <c r="L132" t="s">
        <v>35</v>
      </c>
    </row>
    <row r="133" spans="1:12" x14ac:dyDescent="0.25">
      <c r="A133" t="s">
        <v>210</v>
      </c>
      <c r="B133" s="6">
        <v>46312</v>
      </c>
      <c r="C133" t="s">
        <v>22</v>
      </c>
      <c r="D133" t="s">
        <v>13</v>
      </c>
      <c r="K133">
        <v>1</v>
      </c>
      <c r="L133" t="s">
        <v>35</v>
      </c>
    </row>
    <row r="134" spans="1:12" x14ac:dyDescent="0.25">
      <c r="A134" t="s">
        <v>211</v>
      </c>
      <c r="B134" s="6">
        <v>46315</v>
      </c>
      <c r="C134" t="s">
        <v>0</v>
      </c>
      <c r="D134" t="s">
        <v>12</v>
      </c>
      <c r="K134">
        <v>1</v>
      </c>
      <c r="L134" t="s">
        <v>35</v>
      </c>
    </row>
    <row r="135" spans="1:12" x14ac:dyDescent="0.25">
      <c r="A135" t="s">
        <v>212</v>
      </c>
      <c r="B135" s="6">
        <v>46315</v>
      </c>
      <c r="C135" t="s">
        <v>2</v>
      </c>
      <c r="D135" t="s">
        <v>33</v>
      </c>
      <c r="K135">
        <v>1</v>
      </c>
      <c r="L135" t="s">
        <v>35</v>
      </c>
    </row>
    <row r="136" spans="1:12" x14ac:dyDescent="0.25">
      <c r="A136" t="s">
        <v>213</v>
      </c>
      <c r="B136" s="6">
        <v>46315</v>
      </c>
      <c r="C136" t="s">
        <v>4</v>
      </c>
      <c r="D136" t="s">
        <v>9</v>
      </c>
      <c r="K136">
        <v>1</v>
      </c>
      <c r="L136" t="s">
        <v>35</v>
      </c>
    </row>
    <row r="137" spans="1:12" x14ac:dyDescent="0.25">
      <c r="A137" t="s">
        <v>214</v>
      </c>
      <c r="B137" s="6">
        <v>46315</v>
      </c>
      <c r="C137" t="s">
        <v>5</v>
      </c>
      <c r="D137" t="s">
        <v>3</v>
      </c>
      <c r="K137">
        <v>1</v>
      </c>
      <c r="L137" t="s">
        <v>35</v>
      </c>
    </row>
    <row r="138" spans="1:12" x14ac:dyDescent="0.25">
      <c r="A138" t="s">
        <v>215</v>
      </c>
      <c r="B138" s="6">
        <v>46315</v>
      </c>
      <c r="C138" t="s">
        <v>6</v>
      </c>
      <c r="D138" t="s">
        <v>22</v>
      </c>
      <c r="K138">
        <v>1</v>
      </c>
      <c r="L138" t="s">
        <v>35</v>
      </c>
    </row>
    <row r="139" spans="1:12" x14ac:dyDescent="0.25">
      <c r="A139" t="s">
        <v>216</v>
      </c>
      <c r="B139" s="6">
        <v>46315</v>
      </c>
      <c r="C139" t="s">
        <v>7</v>
      </c>
      <c r="D139" t="s">
        <v>20</v>
      </c>
      <c r="K139">
        <v>1</v>
      </c>
      <c r="L139" t="s">
        <v>35</v>
      </c>
    </row>
    <row r="140" spans="1:12" x14ac:dyDescent="0.25">
      <c r="A140" t="s">
        <v>217</v>
      </c>
      <c r="B140" s="6">
        <v>46315</v>
      </c>
      <c r="C140" t="s">
        <v>8</v>
      </c>
      <c r="D140" t="s">
        <v>15</v>
      </c>
      <c r="K140">
        <v>1</v>
      </c>
      <c r="L140" t="s">
        <v>35</v>
      </c>
    </row>
    <row r="141" spans="1:12" x14ac:dyDescent="0.25">
      <c r="A141" t="s">
        <v>218</v>
      </c>
      <c r="B141" s="6">
        <v>46315</v>
      </c>
      <c r="C141" t="s">
        <v>11</v>
      </c>
      <c r="D141" t="s">
        <v>1</v>
      </c>
      <c r="K141">
        <v>1</v>
      </c>
      <c r="L141" t="s">
        <v>35</v>
      </c>
    </row>
    <row r="142" spans="1:12" x14ac:dyDescent="0.25">
      <c r="A142" t="s">
        <v>219</v>
      </c>
      <c r="B142" s="6">
        <v>46315</v>
      </c>
      <c r="C142" t="s">
        <v>13</v>
      </c>
      <c r="D142" t="s">
        <v>18</v>
      </c>
      <c r="K142">
        <v>1</v>
      </c>
      <c r="L142" t="s">
        <v>35</v>
      </c>
    </row>
    <row r="143" spans="1:12" x14ac:dyDescent="0.25">
      <c r="A143" t="s">
        <v>220</v>
      </c>
      <c r="B143" s="6">
        <v>46315</v>
      </c>
      <c r="C143" t="s">
        <v>14</v>
      </c>
      <c r="D143" t="s">
        <v>21</v>
      </c>
      <c r="K143">
        <v>1</v>
      </c>
      <c r="L143" t="s">
        <v>35</v>
      </c>
    </row>
    <row r="144" spans="1:12" x14ac:dyDescent="0.25">
      <c r="A144" t="s">
        <v>221</v>
      </c>
      <c r="B144" s="6">
        <v>46315</v>
      </c>
      <c r="C144" t="s">
        <v>19</v>
      </c>
      <c r="D144" t="s">
        <v>16</v>
      </c>
      <c r="K144">
        <v>1</v>
      </c>
      <c r="L144" t="s">
        <v>35</v>
      </c>
    </row>
    <row r="145" spans="1:12" x14ac:dyDescent="0.25">
      <c r="A145" t="s">
        <v>222</v>
      </c>
      <c r="B145" s="6">
        <v>46316</v>
      </c>
      <c r="C145" t="s">
        <v>17</v>
      </c>
      <c r="D145" t="s">
        <v>10</v>
      </c>
      <c r="K145">
        <v>1</v>
      </c>
      <c r="L145" t="s">
        <v>35</v>
      </c>
    </row>
    <row r="146" spans="1:12" x14ac:dyDescent="0.25">
      <c r="A146" t="s">
        <v>223</v>
      </c>
      <c r="B146" s="6">
        <v>46319</v>
      </c>
      <c r="C146" t="s">
        <v>0</v>
      </c>
      <c r="D146" t="s">
        <v>22</v>
      </c>
      <c r="K146">
        <v>1</v>
      </c>
      <c r="L146" t="s">
        <v>35</v>
      </c>
    </row>
    <row r="147" spans="1:12" x14ac:dyDescent="0.25">
      <c r="A147" t="s">
        <v>224</v>
      </c>
      <c r="B147" s="6">
        <v>46319</v>
      </c>
      <c r="C147" t="s">
        <v>2</v>
      </c>
      <c r="D147" t="s">
        <v>12</v>
      </c>
      <c r="K147">
        <v>1</v>
      </c>
      <c r="L147" t="s">
        <v>35</v>
      </c>
    </row>
    <row r="148" spans="1:12" x14ac:dyDescent="0.25">
      <c r="A148" t="s">
        <v>225</v>
      </c>
      <c r="B148" s="6">
        <v>46319</v>
      </c>
      <c r="C148" t="s">
        <v>4</v>
      </c>
      <c r="D148" t="s">
        <v>15</v>
      </c>
      <c r="K148">
        <v>1</v>
      </c>
      <c r="L148" t="s">
        <v>35</v>
      </c>
    </row>
    <row r="149" spans="1:12" x14ac:dyDescent="0.25">
      <c r="A149" t="s">
        <v>226</v>
      </c>
      <c r="B149" s="6">
        <v>46319</v>
      </c>
      <c r="C149" t="s">
        <v>5</v>
      </c>
      <c r="D149" t="s">
        <v>10</v>
      </c>
      <c r="K149">
        <v>1</v>
      </c>
      <c r="L149" t="s">
        <v>35</v>
      </c>
    </row>
    <row r="150" spans="1:12" x14ac:dyDescent="0.25">
      <c r="A150" t="s">
        <v>227</v>
      </c>
      <c r="B150" s="6">
        <v>46319</v>
      </c>
      <c r="C150" t="s">
        <v>6</v>
      </c>
      <c r="D150" t="s">
        <v>16</v>
      </c>
      <c r="K150">
        <v>1</v>
      </c>
      <c r="L150" t="s">
        <v>35</v>
      </c>
    </row>
    <row r="151" spans="1:12" x14ac:dyDescent="0.25">
      <c r="A151" t="s">
        <v>228</v>
      </c>
      <c r="B151" s="6">
        <v>46319</v>
      </c>
      <c r="C151" t="s">
        <v>7</v>
      </c>
      <c r="D151" t="s">
        <v>18</v>
      </c>
      <c r="K151">
        <v>1</v>
      </c>
      <c r="L151" t="s">
        <v>35</v>
      </c>
    </row>
    <row r="152" spans="1:12" x14ac:dyDescent="0.25">
      <c r="A152" t="s">
        <v>229</v>
      </c>
      <c r="B152" s="6">
        <v>46319</v>
      </c>
      <c r="C152" t="s">
        <v>8</v>
      </c>
      <c r="D152" t="s">
        <v>21</v>
      </c>
      <c r="K152">
        <v>1</v>
      </c>
      <c r="L152" t="s">
        <v>35</v>
      </c>
    </row>
    <row r="153" spans="1:12" x14ac:dyDescent="0.25">
      <c r="A153" t="s">
        <v>230</v>
      </c>
      <c r="B153" s="6">
        <v>46319</v>
      </c>
      <c r="C153" t="s">
        <v>11</v>
      </c>
      <c r="D153" t="s">
        <v>9</v>
      </c>
      <c r="K153">
        <v>1</v>
      </c>
      <c r="L153" t="s">
        <v>35</v>
      </c>
    </row>
    <row r="154" spans="1:12" x14ac:dyDescent="0.25">
      <c r="A154" t="s">
        <v>231</v>
      </c>
      <c r="B154" s="6">
        <v>46319</v>
      </c>
      <c r="C154" t="s">
        <v>13</v>
      </c>
      <c r="D154" t="s">
        <v>20</v>
      </c>
      <c r="K154">
        <v>1</v>
      </c>
      <c r="L154" t="s">
        <v>35</v>
      </c>
    </row>
    <row r="155" spans="1:12" x14ac:dyDescent="0.25">
      <c r="A155" t="s">
        <v>232</v>
      </c>
      <c r="B155" s="6">
        <v>46319</v>
      </c>
      <c r="C155" t="s">
        <v>14</v>
      </c>
      <c r="D155" t="s">
        <v>3</v>
      </c>
      <c r="K155">
        <v>1</v>
      </c>
      <c r="L155" t="s">
        <v>35</v>
      </c>
    </row>
    <row r="156" spans="1:12" x14ac:dyDescent="0.25">
      <c r="A156" t="s">
        <v>233</v>
      </c>
      <c r="B156" s="6">
        <v>46319</v>
      </c>
      <c r="C156" t="s">
        <v>17</v>
      </c>
      <c r="D156" t="s">
        <v>1</v>
      </c>
      <c r="K156">
        <v>1</v>
      </c>
      <c r="L156" t="s">
        <v>35</v>
      </c>
    </row>
    <row r="157" spans="1:12" x14ac:dyDescent="0.25">
      <c r="A157" t="s">
        <v>234</v>
      </c>
      <c r="B157" s="6">
        <v>46319</v>
      </c>
      <c r="C157" t="s">
        <v>19</v>
      </c>
      <c r="D157" t="s">
        <v>33</v>
      </c>
      <c r="K157">
        <v>1</v>
      </c>
      <c r="L157" t="s">
        <v>35</v>
      </c>
    </row>
    <row r="158" spans="1:12" x14ac:dyDescent="0.25">
      <c r="A158" t="s">
        <v>235</v>
      </c>
      <c r="B158" s="6">
        <v>46326</v>
      </c>
      <c r="C158" t="s">
        <v>1</v>
      </c>
      <c r="D158" t="s">
        <v>14</v>
      </c>
      <c r="K158">
        <v>1</v>
      </c>
      <c r="L158" t="s">
        <v>35</v>
      </c>
    </row>
    <row r="159" spans="1:12" x14ac:dyDescent="0.25">
      <c r="A159" t="s">
        <v>236</v>
      </c>
      <c r="B159" s="6">
        <v>46326</v>
      </c>
      <c r="C159" t="s">
        <v>3</v>
      </c>
      <c r="D159" t="s">
        <v>8</v>
      </c>
      <c r="K159">
        <v>1</v>
      </c>
      <c r="L159" t="s">
        <v>35</v>
      </c>
    </row>
    <row r="160" spans="1:12" x14ac:dyDescent="0.25">
      <c r="A160" t="s">
        <v>237</v>
      </c>
      <c r="B160" s="6">
        <v>46326</v>
      </c>
      <c r="C160" t="s">
        <v>9</v>
      </c>
      <c r="D160" t="s">
        <v>19</v>
      </c>
      <c r="K160">
        <v>1</v>
      </c>
      <c r="L160" t="s">
        <v>35</v>
      </c>
    </row>
    <row r="161" spans="1:12" x14ac:dyDescent="0.25">
      <c r="A161" t="s">
        <v>238</v>
      </c>
      <c r="B161" s="6">
        <v>46326</v>
      </c>
      <c r="C161" t="s">
        <v>10</v>
      </c>
      <c r="D161" t="s">
        <v>6</v>
      </c>
      <c r="K161">
        <v>1</v>
      </c>
      <c r="L161" t="s">
        <v>35</v>
      </c>
    </row>
    <row r="162" spans="1:12" x14ac:dyDescent="0.25">
      <c r="A162" t="s">
        <v>239</v>
      </c>
      <c r="B162" s="6">
        <v>46326</v>
      </c>
      <c r="C162" t="s">
        <v>12</v>
      </c>
      <c r="D162" t="s">
        <v>13</v>
      </c>
      <c r="K162">
        <v>1</v>
      </c>
      <c r="L162" t="s">
        <v>35</v>
      </c>
    </row>
    <row r="163" spans="1:12" x14ac:dyDescent="0.25">
      <c r="A163" t="s">
        <v>240</v>
      </c>
      <c r="B163" s="6">
        <v>46326</v>
      </c>
      <c r="C163" t="s">
        <v>33</v>
      </c>
      <c r="D163" t="s">
        <v>7</v>
      </c>
      <c r="K163">
        <v>1</v>
      </c>
      <c r="L163" t="s">
        <v>35</v>
      </c>
    </row>
    <row r="164" spans="1:12" x14ac:dyDescent="0.25">
      <c r="A164" t="s">
        <v>241</v>
      </c>
      <c r="B164" s="6">
        <v>46326</v>
      </c>
      <c r="C164" t="s">
        <v>15</v>
      </c>
      <c r="D164" t="s">
        <v>11</v>
      </c>
      <c r="K164">
        <v>1</v>
      </c>
      <c r="L164" t="s">
        <v>35</v>
      </c>
    </row>
    <row r="165" spans="1:12" x14ac:dyDescent="0.25">
      <c r="A165" t="s">
        <v>242</v>
      </c>
      <c r="B165" s="6">
        <v>46326</v>
      </c>
      <c r="C165" t="s">
        <v>16</v>
      </c>
      <c r="D165" t="s">
        <v>17</v>
      </c>
      <c r="K165">
        <v>1</v>
      </c>
      <c r="L165" t="s">
        <v>35</v>
      </c>
    </row>
    <row r="166" spans="1:12" x14ac:dyDescent="0.25">
      <c r="A166" t="s">
        <v>243</v>
      </c>
      <c r="B166" s="6">
        <v>46326</v>
      </c>
      <c r="C166" t="s">
        <v>20</v>
      </c>
      <c r="D166" t="s">
        <v>0</v>
      </c>
      <c r="K166">
        <v>1</v>
      </c>
      <c r="L166" t="s">
        <v>35</v>
      </c>
    </row>
    <row r="167" spans="1:12" x14ac:dyDescent="0.25">
      <c r="A167" t="s">
        <v>244</v>
      </c>
      <c r="B167" s="6">
        <v>46326</v>
      </c>
      <c r="C167" t="s">
        <v>21</v>
      </c>
      <c r="D167" t="s">
        <v>4</v>
      </c>
      <c r="K167">
        <v>1</v>
      </c>
      <c r="L167" t="s">
        <v>35</v>
      </c>
    </row>
    <row r="168" spans="1:12" x14ac:dyDescent="0.25">
      <c r="A168" t="s">
        <v>245</v>
      </c>
      <c r="B168" s="6">
        <v>46326</v>
      </c>
      <c r="C168" t="s">
        <v>22</v>
      </c>
      <c r="D168" t="s">
        <v>5</v>
      </c>
      <c r="K168">
        <v>1</v>
      </c>
      <c r="L168" t="s">
        <v>35</v>
      </c>
    </row>
    <row r="169" spans="1:12" x14ac:dyDescent="0.25">
      <c r="A169" t="s">
        <v>246</v>
      </c>
      <c r="B169" s="6">
        <v>46327</v>
      </c>
      <c r="C169" t="s">
        <v>18</v>
      </c>
      <c r="D169" t="s">
        <v>2</v>
      </c>
      <c r="K169">
        <v>1</v>
      </c>
      <c r="L169" t="s">
        <v>35</v>
      </c>
    </row>
    <row r="170" spans="1:12" x14ac:dyDescent="0.25">
      <c r="A170" t="s">
        <v>247</v>
      </c>
      <c r="B170" s="6">
        <v>46340</v>
      </c>
      <c r="C170" t="s">
        <v>0</v>
      </c>
      <c r="D170" t="s">
        <v>2</v>
      </c>
      <c r="K170">
        <v>1</v>
      </c>
      <c r="L170" t="s">
        <v>35</v>
      </c>
    </row>
    <row r="171" spans="1:12" x14ac:dyDescent="0.25">
      <c r="A171" t="s">
        <v>248</v>
      </c>
      <c r="B171" s="6">
        <v>46340</v>
      </c>
      <c r="C171" t="s">
        <v>4</v>
      </c>
      <c r="D171" t="s">
        <v>13</v>
      </c>
      <c r="K171">
        <v>1</v>
      </c>
      <c r="L171" t="s">
        <v>35</v>
      </c>
    </row>
    <row r="172" spans="1:12" x14ac:dyDescent="0.25">
      <c r="A172" t="s">
        <v>249</v>
      </c>
      <c r="B172" s="6">
        <v>46340</v>
      </c>
      <c r="C172" t="s">
        <v>7</v>
      </c>
      <c r="D172" t="s">
        <v>10</v>
      </c>
      <c r="K172">
        <v>1</v>
      </c>
      <c r="L172" t="s">
        <v>35</v>
      </c>
    </row>
    <row r="173" spans="1:12" x14ac:dyDescent="0.25">
      <c r="A173" t="s">
        <v>250</v>
      </c>
      <c r="B173" s="6">
        <v>46340</v>
      </c>
      <c r="C173" t="s">
        <v>9</v>
      </c>
      <c r="D173" t="s">
        <v>3</v>
      </c>
      <c r="K173">
        <v>1</v>
      </c>
      <c r="L173" t="s">
        <v>35</v>
      </c>
    </row>
    <row r="174" spans="1:12" x14ac:dyDescent="0.25">
      <c r="A174" t="s">
        <v>251</v>
      </c>
      <c r="B174" s="6">
        <v>46340</v>
      </c>
      <c r="C174" t="s">
        <v>11</v>
      </c>
      <c r="D174" t="s">
        <v>6</v>
      </c>
      <c r="K174">
        <v>1</v>
      </c>
      <c r="L174" t="s">
        <v>35</v>
      </c>
    </row>
    <row r="175" spans="1:12" x14ac:dyDescent="0.25">
      <c r="A175" t="s">
        <v>252</v>
      </c>
      <c r="B175" s="6">
        <v>46340</v>
      </c>
      <c r="C175" t="s">
        <v>33</v>
      </c>
      <c r="D175" t="s">
        <v>5</v>
      </c>
      <c r="K175">
        <v>1</v>
      </c>
      <c r="L175" t="s">
        <v>35</v>
      </c>
    </row>
    <row r="176" spans="1:12" x14ac:dyDescent="0.25">
      <c r="A176" t="s">
        <v>253</v>
      </c>
      <c r="B176" s="6">
        <v>46340</v>
      </c>
      <c r="C176" t="s">
        <v>15</v>
      </c>
      <c r="D176" t="s">
        <v>14</v>
      </c>
      <c r="K176">
        <v>1</v>
      </c>
      <c r="L176" t="s">
        <v>35</v>
      </c>
    </row>
    <row r="177" spans="1:12" x14ac:dyDescent="0.25">
      <c r="A177" t="s">
        <v>254</v>
      </c>
      <c r="B177" s="6">
        <v>46340</v>
      </c>
      <c r="C177" t="s">
        <v>18</v>
      </c>
      <c r="D177" t="s">
        <v>16</v>
      </c>
      <c r="K177">
        <v>1</v>
      </c>
      <c r="L177" t="s">
        <v>35</v>
      </c>
    </row>
    <row r="178" spans="1:12" x14ac:dyDescent="0.25">
      <c r="A178" t="s">
        <v>255</v>
      </c>
      <c r="B178" s="6">
        <v>46340</v>
      </c>
      <c r="C178" t="s">
        <v>19</v>
      </c>
      <c r="D178" t="s">
        <v>12</v>
      </c>
      <c r="K178">
        <v>1</v>
      </c>
      <c r="L178" t="s">
        <v>35</v>
      </c>
    </row>
    <row r="179" spans="1:12" x14ac:dyDescent="0.25">
      <c r="A179" t="s">
        <v>256</v>
      </c>
      <c r="B179" s="6">
        <v>46340</v>
      </c>
      <c r="C179" t="s">
        <v>20</v>
      </c>
      <c r="D179" t="s">
        <v>17</v>
      </c>
      <c r="K179">
        <v>1</v>
      </c>
      <c r="L179" t="s">
        <v>35</v>
      </c>
    </row>
    <row r="180" spans="1:12" x14ac:dyDescent="0.25">
      <c r="A180" t="s">
        <v>257</v>
      </c>
      <c r="B180" s="6">
        <v>46340</v>
      </c>
      <c r="C180" t="s">
        <v>21</v>
      </c>
      <c r="D180" t="s">
        <v>1</v>
      </c>
      <c r="K180">
        <v>1</v>
      </c>
      <c r="L180" t="s">
        <v>35</v>
      </c>
    </row>
    <row r="181" spans="1:12" x14ac:dyDescent="0.25">
      <c r="A181" t="s">
        <v>258</v>
      </c>
      <c r="B181" s="6">
        <v>46340</v>
      </c>
      <c r="C181" t="s">
        <v>22</v>
      </c>
      <c r="D181" t="s">
        <v>8</v>
      </c>
      <c r="K181">
        <v>1</v>
      </c>
      <c r="L181" t="s">
        <v>35</v>
      </c>
    </row>
    <row r="182" spans="1:12" x14ac:dyDescent="0.25">
      <c r="A182" t="s">
        <v>259</v>
      </c>
      <c r="B182" s="6">
        <v>46346</v>
      </c>
      <c r="C182" t="s">
        <v>1</v>
      </c>
      <c r="D182" t="s">
        <v>18</v>
      </c>
      <c r="K182">
        <v>1</v>
      </c>
      <c r="L182" t="s">
        <v>35</v>
      </c>
    </row>
    <row r="183" spans="1:12" x14ac:dyDescent="0.25">
      <c r="A183" t="s">
        <v>260</v>
      </c>
      <c r="B183" s="6">
        <v>46347</v>
      </c>
      <c r="C183" t="s">
        <v>2</v>
      </c>
      <c r="D183" t="s">
        <v>21</v>
      </c>
      <c r="K183">
        <v>1</v>
      </c>
      <c r="L183" t="s">
        <v>35</v>
      </c>
    </row>
    <row r="184" spans="1:12" x14ac:dyDescent="0.25">
      <c r="A184" t="s">
        <v>261</v>
      </c>
      <c r="B184" s="6">
        <v>46347</v>
      </c>
      <c r="C184" t="s">
        <v>3</v>
      </c>
      <c r="D184" t="s">
        <v>7</v>
      </c>
      <c r="K184">
        <v>1</v>
      </c>
      <c r="L184" t="s">
        <v>35</v>
      </c>
    </row>
    <row r="185" spans="1:12" x14ac:dyDescent="0.25">
      <c r="A185" t="s">
        <v>262</v>
      </c>
      <c r="B185" s="6">
        <v>46347</v>
      </c>
      <c r="C185" t="s">
        <v>5</v>
      </c>
      <c r="D185" t="s">
        <v>11</v>
      </c>
      <c r="K185">
        <v>1</v>
      </c>
      <c r="L185" t="s">
        <v>35</v>
      </c>
    </row>
    <row r="186" spans="1:12" x14ac:dyDescent="0.25">
      <c r="A186" t="s">
        <v>263</v>
      </c>
      <c r="B186" s="6">
        <v>46347</v>
      </c>
      <c r="C186" t="s">
        <v>6</v>
      </c>
      <c r="D186" t="s">
        <v>20</v>
      </c>
      <c r="K186">
        <v>1</v>
      </c>
      <c r="L186" t="s">
        <v>35</v>
      </c>
    </row>
    <row r="187" spans="1:12" x14ac:dyDescent="0.25">
      <c r="A187" t="s">
        <v>264</v>
      </c>
      <c r="B187" s="6">
        <v>46347</v>
      </c>
      <c r="C187" t="s">
        <v>8</v>
      </c>
      <c r="D187" t="s">
        <v>9</v>
      </c>
      <c r="K187">
        <v>1</v>
      </c>
      <c r="L187" t="s">
        <v>35</v>
      </c>
    </row>
    <row r="188" spans="1:12" x14ac:dyDescent="0.25">
      <c r="A188" t="s">
        <v>265</v>
      </c>
      <c r="B188" s="6">
        <v>46347</v>
      </c>
      <c r="C188" t="s">
        <v>10</v>
      </c>
      <c r="D188" t="s">
        <v>0</v>
      </c>
      <c r="K188">
        <v>1</v>
      </c>
      <c r="L188" t="s">
        <v>35</v>
      </c>
    </row>
    <row r="189" spans="1:12" x14ac:dyDescent="0.25">
      <c r="A189" t="s">
        <v>266</v>
      </c>
      <c r="B189" s="6">
        <v>46347</v>
      </c>
      <c r="C189" t="s">
        <v>12</v>
      </c>
      <c r="D189" t="s">
        <v>33</v>
      </c>
      <c r="K189">
        <v>1</v>
      </c>
      <c r="L189" t="s">
        <v>35</v>
      </c>
    </row>
    <row r="190" spans="1:12" x14ac:dyDescent="0.25">
      <c r="A190" t="s">
        <v>267</v>
      </c>
      <c r="B190" s="6">
        <v>46347</v>
      </c>
      <c r="C190" t="s">
        <v>13</v>
      </c>
      <c r="D190" t="s">
        <v>19</v>
      </c>
      <c r="K190">
        <v>1</v>
      </c>
      <c r="L190" t="s">
        <v>35</v>
      </c>
    </row>
    <row r="191" spans="1:12" x14ac:dyDescent="0.25">
      <c r="A191" t="s">
        <v>268</v>
      </c>
      <c r="B191" s="6">
        <v>46347</v>
      </c>
      <c r="C191" t="s">
        <v>14</v>
      </c>
      <c r="D191" t="s">
        <v>22</v>
      </c>
      <c r="K191">
        <v>1</v>
      </c>
      <c r="L191" t="s">
        <v>35</v>
      </c>
    </row>
    <row r="192" spans="1:12" x14ac:dyDescent="0.25">
      <c r="A192" t="s">
        <v>269</v>
      </c>
      <c r="B192" s="6">
        <v>46347</v>
      </c>
      <c r="C192" t="s">
        <v>16</v>
      </c>
      <c r="D192" t="s">
        <v>15</v>
      </c>
      <c r="K192">
        <v>1</v>
      </c>
      <c r="L192" t="s">
        <v>35</v>
      </c>
    </row>
    <row r="193" spans="1:12" x14ac:dyDescent="0.25">
      <c r="A193" t="s">
        <v>270</v>
      </c>
      <c r="B193" s="6">
        <v>46347</v>
      </c>
      <c r="C193" t="s">
        <v>17</v>
      </c>
      <c r="D193" t="s">
        <v>4</v>
      </c>
      <c r="K193">
        <v>1</v>
      </c>
      <c r="L193" t="s">
        <v>35</v>
      </c>
    </row>
    <row r="194" spans="1:12" x14ac:dyDescent="0.25">
      <c r="A194" t="s">
        <v>271</v>
      </c>
      <c r="B194" s="6">
        <v>46352</v>
      </c>
      <c r="C194" t="s">
        <v>7</v>
      </c>
      <c r="D194" t="s">
        <v>8</v>
      </c>
      <c r="K194">
        <v>1</v>
      </c>
      <c r="L194" t="s">
        <v>35</v>
      </c>
    </row>
    <row r="195" spans="1:12" x14ac:dyDescent="0.25">
      <c r="A195" t="s">
        <v>272</v>
      </c>
      <c r="B195" s="6">
        <v>46354</v>
      </c>
      <c r="C195" t="s">
        <v>0</v>
      </c>
      <c r="D195" t="s">
        <v>1</v>
      </c>
      <c r="K195">
        <v>1</v>
      </c>
      <c r="L195" t="s">
        <v>35</v>
      </c>
    </row>
    <row r="196" spans="1:12" x14ac:dyDescent="0.25">
      <c r="A196" t="s">
        <v>273</v>
      </c>
      <c r="B196" s="6">
        <v>46354</v>
      </c>
      <c r="C196" t="s">
        <v>4</v>
      </c>
      <c r="D196" t="s">
        <v>5</v>
      </c>
      <c r="K196">
        <v>1</v>
      </c>
      <c r="L196" t="s">
        <v>35</v>
      </c>
    </row>
    <row r="197" spans="1:12" x14ac:dyDescent="0.25">
      <c r="A197" t="s">
        <v>274</v>
      </c>
      <c r="B197" s="6">
        <v>46354</v>
      </c>
      <c r="C197" t="s">
        <v>9</v>
      </c>
      <c r="D197" t="s">
        <v>12</v>
      </c>
      <c r="K197">
        <v>1</v>
      </c>
      <c r="L197" t="s">
        <v>35</v>
      </c>
    </row>
    <row r="198" spans="1:12" x14ac:dyDescent="0.25">
      <c r="A198" t="s">
        <v>275</v>
      </c>
      <c r="B198" s="6">
        <v>46354</v>
      </c>
      <c r="C198" t="s">
        <v>11</v>
      </c>
      <c r="D198" t="s">
        <v>14</v>
      </c>
      <c r="K198">
        <v>1</v>
      </c>
      <c r="L198" t="s">
        <v>35</v>
      </c>
    </row>
    <row r="199" spans="1:12" x14ac:dyDescent="0.25">
      <c r="A199" t="s">
        <v>276</v>
      </c>
      <c r="B199" s="6">
        <v>46354</v>
      </c>
      <c r="C199" t="s">
        <v>33</v>
      </c>
      <c r="D199" t="s">
        <v>13</v>
      </c>
      <c r="K199">
        <v>1</v>
      </c>
      <c r="L199" t="s">
        <v>35</v>
      </c>
    </row>
    <row r="200" spans="1:12" x14ac:dyDescent="0.25">
      <c r="A200" t="s">
        <v>277</v>
      </c>
      <c r="B200" s="6">
        <v>46354</v>
      </c>
      <c r="C200" t="s">
        <v>15</v>
      </c>
      <c r="D200" t="s">
        <v>6</v>
      </c>
      <c r="K200">
        <v>1</v>
      </c>
      <c r="L200" t="s">
        <v>35</v>
      </c>
    </row>
    <row r="201" spans="1:12" x14ac:dyDescent="0.25">
      <c r="A201" t="s">
        <v>278</v>
      </c>
      <c r="B201" s="6">
        <v>46354</v>
      </c>
      <c r="C201" t="s">
        <v>18</v>
      </c>
      <c r="D201" t="s">
        <v>17</v>
      </c>
      <c r="K201">
        <v>1</v>
      </c>
      <c r="L201" t="s">
        <v>35</v>
      </c>
    </row>
    <row r="202" spans="1:12" x14ac:dyDescent="0.25">
      <c r="A202" t="s">
        <v>279</v>
      </c>
      <c r="B202" s="6">
        <v>46354</v>
      </c>
      <c r="C202" t="s">
        <v>19</v>
      </c>
      <c r="D202" t="s">
        <v>2</v>
      </c>
      <c r="K202">
        <v>1</v>
      </c>
      <c r="L202" t="s">
        <v>35</v>
      </c>
    </row>
    <row r="203" spans="1:12" x14ac:dyDescent="0.25">
      <c r="A203" t="s">
        <v>280</v>
      </c>
      <c r="B203" s="6">
        <v>46354</v>
      </c>
      <c r="C203" t="s">
        <v>20</v>
      </c>
      <c r="D203" t="s">
        <v>10</v>
      </c>
      <c r="K203">
        <v>1</v>
      </c>
      <c r="L203" t="s">
        <v>35</v>
      </c>
    </row>
    <row r="204" spans="1:12" x14ac:dyDescent="0.25">
      <c r="A204" t="s">
        <v>281</v>
      </c>
      <c r="B204" s="6">
        <v>46354</v>
      </c>
      <c r="C204" t="s">
        <v>21</v>
      </c>
      <c r="D204" t="s">
        <v>16</v>
      </c>
      <c r="K204">
        <v>1</v>
      </c>
      <c r="L204" t="s">
        <v>35</v>
      </c>
    </row>
    <row r="205" spans="1:12" x14ac:dyDescent="0.25">
      <c r="A205" t="s">
        <v>282</v>
      </c>
      <c r="B205" s="6">
        <v>46354</v>
      </c>
      <c r="C205" t="s">
        <v>22</v>
      </c>
      <c r="D205" t="s">
        <v>3</v>
      </c>
      <c r="K205">
        <v>1</v>
      </c>
      <c r="L205" t="s">
        <v>35</v>
      </c>
    </row>
    <row r="206" spans="1:12" x14ac:dyDescent="0.25">
      <c r="A206" t="s">
        <v>283</v>
      </c>
      <c r="B206" s="6">
        <v>46357</v>
      </c>
      <c r="C206" t="s">
        <v>1</v>
      </c>
      <c r="D206" t="s">
        <v>22</v>
      </c>
      <c r="K206">
        <v>1</v>
      </c>
      <c r="L206" t="s">
        <v>35</v>
      </c>
    </row>
    <row r="207" spans="1:12" x14ac:dyDescent="0.25">
      <c r="A207" t="s">
        <v>284</v>
      </c>
      <c r="B207" s="6">
        <v>46357</v>
      </c>
      <c r="C207" t="s">
        <v>2</v>
      </c>
      <c r="D207" t="s">
        <v>11</v>
      </c>
      <c r="K207">
        <v>1</v>
      </c>
      <c r="L207" t="s">
        <v>35</v>
      </c>
    </row>
    <row r="208" spans="1:12" x14ac:dyDescent="0.25">
      <c r="A208" t="s">
        <v>285</v>
      </c>
      <c r="B208" s="6">
        <v>46357</v>
      </c>
      <c r="C208" t="s">
        <v>3</v>
      </c>
      <c r="D208" t="s">
        <v>33</v>
      </c>
      <c r="K208">
        <v>1</v>
      </c>
      <c r="L208" t="s">
        <v>35</v>
      </c>
    </row>
    <row r="209" spans="1:12" x14ac:dyDescent="0.25">
      <c r="A209" t="s">
        <v>286</v>
      </c>
      <c r="B209" s="6">
        <v>46357</v>
      </c>
      <c r="C209" t="s">
        <v>5</v>
      </c>
      <c r="D209" t="s">
        <v>21</v>
      </c>
      <c r="K209">
        <v>1</v>
      </c>
      <c r="L209" t="s">
        <v>35</v>
      </c>
    </row>
    <row r="210" spans="1:12" x14ac:dyDescent="0.25">
      <c r="A210" t="s">
        <v>287</v>
      </c>
      <c r="B210" s="6">
        <v>46357</v>
      </c>
      <c r="C210" t="s">
        <v>6</v>
      </c>
      <c r="D210" t="s">
        <v>9</v>
      </c>
      <c r="K210">
        <v>1</v>
      </c>
      <c r="L210" t="s">
        <v>35</v>
      </c>
    </row>
    <row r="211" spans="1:12" x14ac:dyDescent="0.25">
      <c r="A211" t="s">
        <v>288</v>
      </c>
      <c r="B211" s="6">
        <v>46357</v>
      </c>
      <c r="C211" t="s">
        <v>8</v>
      </c>
      <c r="D211" t="s">
        <v>19</v>
      </c>
      <c r="K211">
        <v>1</v>
      </c>
      <c r="L211" t="s">
        <v>35</v>
      </c>
    </row>
    <row r="212" spans="1:12" x14ac:dyDescent="0.25">
      <c r="A212" t="s">
        <v>289</v>
      </c>
      <c r="B212" s="6">
        <v>46357</v>
      </c>
      <c r="C212" t="s">
        <v>10</v>
      </c>
      <c r="D212" t="s">
        <v>15</v>
      </c>
      <c r="K212">
        <v>1</v>
      </c>
      <c r="L212" t="s">
        <v>35</v>
      </c>
    </row>
    <row r="213" spans="1:12" x14ac:dyDescent="0.25">
      <c r="A213" t="s">
        <v>290</v>
      </c>
      <c r="B213" s="6">
        <v>46357</v>
      </c>
      <c r="C213" t="s">
        <v>12</v>
      </c>
      <c r="D213" t="s">
        <v>20</v>
      </c>
      <c r="K213">
        <v>1</v>
      </c>
      <c r="L213" t="s">
        <v>35</v>
      </c>
    </row>
    <row r="214" spans="1:12" x14ac:dyDescent="0.25">
      <c r="A214" t="s">
        <v>291</v>
      </c>
      <c r="B214" s="6">
        <v>46357</v>
      </c>
      <c r="C214" t="s">
        <v>13</v>
      </c>
      <c r="D214" t="s">
        <v>0</v>
      </c>
      <c r="K214">
        <v>1</v>
      </c>
      <c r="L214" t="s">
        <v>35</v>
      </c>
    </row>
    <row r="215" spans="1:12" x14ac:dyDescent="0.25">
      <c r="A215" t="s">
        <v>292</v>
      </c>
      <c r="B215" s="6">
        <v>46357</v>
      </c>
      <c r="C215" t="s">
        <v>14</v>
      </c>
      <c r="D215" t="s">
        <v>18</v>
      </c>
      <c r="K215">
        <v>1</v>
      </c>
      <c r="L215" t="s">
        <v>35</v>
      </c>
    </row>
    <row r="216" spans="1:12" x14ac:dyDescent="0.25">
      <c r="A216" t="s">
        <v>293</v>
      </c>
      <c r="B216" s="6">
        <v>46357</v>
      </c>
      <c r="C216" t="s">
        <v>16</v>
      </c>
      <c r="D216" t="s">
        <v>4</v>
      </c>
      <c r="K216">
        <v>1</v>
      </c>
      <c r="L216" t="s">
        <v>35</v>
      </c>
    </row>
    <row r="217" spans="1:12" x14ac:dyDescent="0.25">
      <c r="A217" t="s">
        <v>294</v>
      </c>
      <c r="B217" s="6">
        <v>46357</v>
      </c>
      <c r="C217" t="s">
        <v>17</v>
      </c>
      <c r="D217" t="s">
        <v>7</v>
      </c>
      <c r="K217">
        <v>1</v>
      </c>
      <c r="L217" t="s">
        <v>35</v>
      </c>
    </row>
    <row r="218" spans="1:12" x14ac:dyDescent="0.25">
      <c r="A218" t="s">
        <v>295</v>
      </c>
      <c r="B218" s="6">
        <v>46366</v>
      </c>
      <c r="C218" t="s">
        <v>9</v>
      </c>
      <c r="D218" t="s">
        <v>18</v>
      </c>
      <c r="K218">
        <v>1</v>
      </c>
      <c r="L218" t="s">
        <v>35</v>
      </c>
    </row>
    <row r="219" spans="1:12" x14ac:dyDescent="0.25">
      <c r="A219" t="s">
        <v>296</v>
      </c>
      <c r="B219" s="6">
        <v>46368</v>
      </c>
      <c r="C219" t="s">
        <v>3</v>
      </c>
      <c r="D219" t="s">
        <v>0</v>
      </c>
      <c r="K219">
        <v>1</v>
      </c>
      <c r="L219" t="s">
        <v>35</v>
      </c>
    </row>
    <row r="220" spans="1:12" x14ac:dyDescent="0.25">
      <c r="A220" t="s">
        <v>297</v>
      </c>
      <c r="B220" s="6">
        <v>46368</v>
      </c>
      <c r="C220" t="s">
        <v>5</v>
      </c>
      <c r="D220" t="s">
        <v>17</v>
      </c>
      <c r="K220">
        <v>1</v>
      </c>
      <c r="L220" t="s">
        <v>35</v>
      </c>
    </row>
    <row r="221" spans="1:12" x14ac:dyDescent="0.25">
      <c r="A221" t="s">
        <v>298</v>
      </c>
      <c r="B221" s="6">
        <v>46368</v>
      </c>
      <c r="C221" t="s">
        <v>7</v>
      </c>
      <c r="D221" t="s">
        <v>4</v>
      </c>
      <c r="K221">
        <v>1</v>
      </c>
      <c r="L221" t="s">
        <v>35</v>
      </c>
    </row>
    <row r="222" spans="1:12" x14ac:dyDescent="0.25">
      <c r="A222" t="s">
        <v>299</v>
      </c>
      <c r="B222" s="6">
        <v>46368</v>
      </c>
      <c r="C222" t="s">
        <v>8</v>
      </c>
      <c r="D222" t="s">
        <v>10</v>
      </c>
      <c r="K222">
        <v>1</v>
      </c>
      <c r="L222" t="s">
        <v>35</v>
      </c>
    </row>
    <row r="223" spans="1:12" x14ac:dyDescent="0.25">
      <c r="A223" t="s">
        <v>300</v>
      </c>
      <c r="B223" s="6">
        <v>46368</v>
      </c>
      <c r="C223" t="s">
        <v>11</v>
      </c>
      <c r="D223" t="s">
        <v>21</v>
      </c>
      <c r="K223">
        <v>1</v>
      </c>
      <c r="L223" t="s">
        <v>35</v>
      </c>
    </row>
    <row r="224" spans="1:12" x14ac:dyDescent="0.25">
      <c r="A224" t="s">
        <v>301</v>
      </c>
      <c r="B224" s="6">
        <v>46368</v>
      </c>
      <c r="C224" t="s">
        <v>12</v>
      </c>
      <c r="D224" t="s">
        <v>22</v>
      </c>
      <c r="K224">
        <v>1</v>
      </c>
      <c r="L224" t="s">
        <v>35</v>
      </c>
    </row>
    <row r="225" spans="1:12" x14ac:dyDescent="0.25">
      <c r="A225" t="s">
        <v>302</v>
      </c>
      <c r="B225" s="6">
        <v>46368</v>
      </c>
      <c r="C225" t="s">
        <v>33</v>
      </c>
      <c r="D225" t="s">
        <v>6</v>
      </c>
      <c r="K225">
        <v>1</v>
      </c>
      <c r="L225" t="s">
        <v>35</v>
      </c>
    </row>
    <row r="226" spans="1:12" x14ac:dyDescent="0.25">
      <c r="A226" t="s">
        <v>303</v>
      </c>
      <c r="B226" s="6">
        <v>46368</v>
      </c>
      <c r="C226" t="s">
        <v>13</v>
      </c>
      <c r="D226" t="s">
        <v>16</v>
      </c>
      <c r="K226">
        <v>1</v>
      </c>
      <c r="L226" t="s">
        <v>35</v>
      </c>
    </row>
    <row r="227" spans="1:12" x14ac:dyDescent="0.25">
      <c r="A227" t="s">
        <v>304</v>
      </c>
      <c r="B227" s="6">
        <v>46368</v>
      </c>
      <c r="C227" t="s">
        <v>14</v>
      </c>
      <c r="D227" t="s">
        <v>2</v>
      </c>
      <c r="K227">
        <v>1</v>
      </c>
      <c r="L227" t="s">
        <v>35</v>
      </c>
    </row>
    <row r="228" spans="1:12" x14ac:dyDescent="0.25">
      <c r="A228" t="s">
        <v>305</v>
      </c>
      <c r="B228" s="6">
        <v>46368</v>
      </c>
      <c r="C228" t="s">
        <v>15</v>
      </c>
      <c r="D228" t="s">
        <v>1</v>
      </c>
      <c r="K228">
        <v>1</v>
      </c>
      <c r="L228" t="s">
        <v>35</v>
      </c>
    </row>
    <row r="229" spans="1:12" x14ac:dyDescent="0.25">
      <c r="A229" t="s">
        <v>306</v>
      </c>
      <c r="B229" s="6">
        <v>46368</v>
      </c>
      <c r="C229" t="s">
        <v>19</v>
      </c>
      <c r="D229" t="s">
        <v>20</v>
      </c>
      <c r="K229">
        <v>1</v>
      </c>
      <c r="L229" t="s">
        <v>35</v>
      </c>
    </row>
    <row r="230" spans="1:12" x14ac:dyDescent="0.25">
      <c r="A230" t="s">
        <v>307</v>
      </c>
      <c r="B230" s="6">
        <v>46374</v>
      </c>
      <c r="C230" t="s">
        <v>6</v>
      </c>
      <c r="D230" t="s">
        <v>19</v>
      </c>
      <c r="K230">
        <v>1</v>
      </c>
      <c r="L230" t="s">
        <v>35</v>
      </c>
    </row>
    <row r="231" spans="1:12" x14ac:dyDescent="0.25">
      <c r="A231" t="s">
        <v>308</v>
      </c>
      <c r="B231" s="6">
        <v>46375</v>
      </c>
      <c r="C231" t="s">
        <v>0</v>
      </c>
      <c r="D231" t="s">
        <v>14</v>
      </c>
      <c r="K231">
        <v>1</v>
      </c>
      <c r="L231" t="s">
        <v>35</v>
      </c>
    </row>
    <row r="232" spans="1:12" x14ac:dyDescent="0.25">
      <c r="A232" t="s">
        <v>309</v>
      </c>
      <c r="B232" s="6">
        <v>46375</v>
      </c>
      <c r="C232" t="s">
        <v>1</v>
      </c>
      <c r="D232" t="s">
        <v>8</v>
      </c>
      <c r="K232">
        <v>1</v>
      </c>
      <c r="L232" t="s">
        <v>35</v>
      </c>
    </row>
    <row r="233" spans="1:12" x14ac:dyDescent="0.25">
      <c r="A233" t="s">
        <v>310</v>
      </c>
      <c r="B233" s="6">
        <v>46375</v>
      </c>
      <c r="C233" t="s">
        <v>2</v>
      </c>
      <c r="D233" t="s">
        <v>5</v>
      </c>
      <c r="K233">
        <v>1</v>
      </c>
      <c r="L233" t="s">
        <v>35</v>
      </c>
    </row>
    <row r="234" spans="1:12" x14ac:dyDescent="0.25">
      <c r="A234" t="s">
        <v>311</v>
      </c>
      <c r="B234" s="6">
        <v>46375</v>
      </c>
      <c r="C234" t="s">
        <v>4</v>
      </c>
      <c r="D234" t="s">
        <v>3</v>
      </c>
      <c r="K234">
        <v>1</v>
      </c>
      <c r="L234" t="s">
        <v>35</v>
      </c>
    </row>
    <row r="235" spans="1:12" x14ac:dyDescent="0.25">
      <c r="A235" t="s">
        <v>312</v>
      </c>
      <c r="B235" s="6">
        <v>46375</v>
      </c>
      <c r="C235" t="s">
        <v>10</v>
      </c>
      <c r="D235" t="s">
        <v>13</v>
      </c>
      <c r="K235">
        <v>1</v>
      </c>
      <c r="L235" t="s">
        <v>35</v>
      </c>
    </row>
    <row r="236" spans="1:12" x14ac:dyDescent="0.25">
      <c r="A236" t="s">
        <v>313</v>
      </c>
      <c r="B236" s="6">
        <v>46375</v>
      </c>
      <c r="C236" t="s">
        <v>16</v>
      </c>
      <c r="D236" t="s">
        <v>12</v>
      </c>
      <c r="K236">
        <v>1</v>
      </c>
      <c r="L236" t="s">
        <v>35</v>
      </c>
    </row>
    <row r="237" spans="1:12" x14ac:dyDescent="0.25">
      <c r="A237" t="s">
        <v>314</v>
      </c>
      <c r="B237" s="6">
        <v>46375</v>
      </c>
      <c r="C237" t="s">
        <v>17</v>
      </c>
      <c r="D237" t="s">
        <v>9</v>
      </c>
      <c r="K237">
        <v>1</v>
      </c>
      <c r="L237" t="s">
        <v>35</v>
      </c>
    </row>
    <row r="238" spans="1:12" x14ac:dyDescent="0.25">
      <c r="A238" t="s">
        <v>315</v>
      </c>
      <c r="B238" s="6">
        <v>46375</v>
      </c>
      <c r="C238" t="s">
        <v>18</v>
      </c>
      <c r="D238" t="s">
        <v>11</v>
      </c>
      <c r="K238">
        <v>1</v>
      </c>
      <c r="L238" t="s">
        <v>35</v>
      </c>
    </row>
    <row r="239" spans="1:12" x14ac:dyDescent="0.25">
      <c r="A239" t="s">
        <v>316</v>
      </c>
      <c r="B239" s="6">
        <v>46375</v>
      </c>
      <c r="C239" t="s">
        <v>20</v>
      </c>
      <c r="D239" t="s">
        <v>33</v>
      </c>
      <c r="K239">
        <v>1</v>
      </c>
      <c r="L239" t="s">
        <v>35</v>
      </c>
    </row>
    <row r="240" spans="1:12" x14ac:dyDescent="0.25">
      <c r="A240" t="s">
        <v>317</v>
      </c>
      <c r="B240" s="6">
        <v>46375</v>
      </c>
      <c r="C240" t="s">
        <v>21</v>
      </c>
      <c r="D240" t="s">
        <v>15</v>
      </c>
      <c r="K240">
        <v>1</v>
      </c>
      <c r="L240" t="s">
        <v>35</v>
      </c>
    </row>
    <row r="241" spans="1:12" x14ac:dyDescent="0.25">
      <c r="A241" t="s">
        <v>318</v>
      </c>
      <c r="B241" s="6">
        <v>46375</v>
      </c>
      <c r="C241" t="s">
        <v>22</v>
      </c>
      <c r="D241" t="s">
        <v>7</v>
      </c>
      <c r="K241">
        <v>1</v>
      </c>
      <c r="L241" t="s">
        <v>35</v>
      </c>
    </row>
    <row r="242" spans="1:12" x14ac:dyDescent="0.25">
      <c r="A242" t="s">
        <v>319</v>
      </c>
      <c r="B242" s="6">
        <v>46382</v>
      </c>
      <c r="C242" t="s">
        <v>3</v>
      </c>
      <c r="D242" t="s">
        <v>20</v>
      </c>
      <c r="K242">
        <v>1</v>
      </c>
      <c r="L242" t="s">
        <v>35</v>
      </c>
    </row>
    <row r="243" spans="1:12" x14ac:dyDescent="0.25">
      <c r="A243" t="s">
        <v>320</v>
      </c>
      <c r="B243" s="6">
        <v>46382</v>
      </c>
      <c r="C243" t="s">
        <v>5</v>
      </c>
      <c r="D243" t="s">
        <v>18</v>
      </c>
      <c r="K243">
        <v>1</v>
      </c>
      <c r="L243" t="s">
        <v>35</v>
      </c>
    </row>
    <row r="244" spans="1:12" x14ac:dyDescent="0.25">
      <c r="A244" t="s">
        <v>321</v>
      </c>
      <c r="B244" s="6">
        <v>46382</v>
      </c>
      <c r="C244" t="s">
        <v>7</v>
      </c>
      <c r="D244" t="s">
        <v>21</v>
      </c>
      <c r="K244">
        <v>1</v>
      </c>
      <c r="L244" t="s">
        <v>35</v>
      </c>
    </row>
    <row r="245" spans="1:12" x14ac:dyDescent="0.25">
      <c r="A245" t="s">
        <v>322</v>
      </c>
      <c r="B245" s="6">
        <v>46382</v>
      </c>
      <c r="C245" t="s">
        <v>8</v>
      </c>
      <c r="D245" t="s">
        <v>2</v>
      </c>
      <c r="K245">
        <v>1</v>
      </c>
      <c r="L245" t="s">
        <v>35</v>
      </c>
    </row>
    <row r="246" spans="1:12" x14ac:dyDescent="0.25">
      <c r="A246" t="s">
        <v>323</v>
      </c>
      <c r="B246" s="6">
        <v>46382</v>
      </c>
      <c r="C246" t="s">
        <v>9</v>
      </c>
      <c r="D246" t="s">
        <v>0</v>
      </c>
      <c r="K246">
        <v>1</v>
      </c>
      <c r="L246" t="s">
        <v>35</v>
      </c>
    </row>
    <row r="247" spans="1:12" x14ac:dyDescent="0.25">
      <c r="A247" t="s">
        <v>324</v>
      </c>
      <c r="B247" s="6">
        <v>46382</v>
      </c>
      <c r="C247" t="s">
        <v>11</v>
      </c>
      <c r="D247" t="s">
        <v>4</v>
      </c>
      <c r="K247">
        <v>1</v>
      </c>
      <c r="L247" t="s">
        <v>35</v>
      </c>
    </row>
    <row r="248" spans="1:12" x14ac:dyDescent="0.25">
      <c r="A248" t="s">
        <v>325</v>
      </c>
      <c r="B248" s="6">
        <v>46382</v>
      </c>
      <c r="C248" t="s">
        <v>12</v>
      </c>
      <c r="D248" t="s">
        <v>1</v>
      </c>
      <c r="K248">
        <v>1</v>
      </c>
      <c r="L248" t="s">
        <v>35</v>
      </c>
    </row>
    <row r="249" spans="1:12" x14ac:dyDescent="0.25">
      <c r="A249" t="s">
        <v>326</v>
      </c>
      <c r="B249" s="6">
        <v>46382</v>
      </c>
      <c r="C249" t="s">
        <v>33</v>
      </c>
      <c r="D249" t="s">
        <v>10</v>
      </c>
      <c r="K249">
        <v>1</v>
      </c>
      <c r="L249" t="s">
        <v>35</v>
      </c>
    </row>
    <row r="250" spans="1:12" x14ac:dyDescent="0.25">
      <c r="A250" t="s">
        <v>327</v>
      </c>
      <c r="B250" s="6">
        <v>46382</v>
      </c>
      <c r="C250" t="s">
        <v>13</v>
      </c>
      <c r="D250" t="s">
        <v>6</v>
      </c>
      <c r="K250">
        <v>1</v>
      </c>
      <c r="L250" t="s">
        <v>35</v>
      </c>
    </row>
    <row r="251" spans="1:12" x14ac:dyDescent="0.25">
      <c r="A251" t="s">
        <v>328</v>
      </c>
      <c r="B251" s="6">
        <v>46382</v>
      </c>
      <c r="C251" t="s">
        <v>14</v>
      </c>
      <c r="D251" t="s">
        <v>16</v>
      </c>
      <c r="K251">
        <v>1</v>
      </c>
      <c r="L251" t="s">
        <v>35</v>
      </c>
    </row>
    <row r="252" spans="1:12" x14ac:dyDescent="0.25">
      <c r="A252" t="s">
        <v>329</v>
      </c>
      <c r="B252" s="6">
        <v>46382</v>
      </c>
      <c r="C252" t="s">
        <v>15</v>
      </c>
      <c r="D252" t="s">
        <v>22</v>
      </c>
      <c r="K252">
        <v>1</v>
      </c>
      <c r="L252" t="s">
        <v>35</v>
      </c>
    </row>
    <row r="253" spans="1:12" x14ac:dyDescent="0.25">
      <c r="A253" t="s">
        <v>330</v>
      </c>
      <c r="B253" s="6">
        <v>46382</v>
      </c>
      <c r="C253" t="s">
        <v>19</v>
      </c>
      <c r="D253" t="s">
        <v>17</v>
      </c>
      <c r="K253">
        <v>1</v>
      </c>
      <c r="L253" t="s">
        <v>35</v>
      </c>
    </row>
    <row r="254" spans="1:12" x14ac:dyDescent="0.25">
      <c r="A254" t="s">
        <v>331</v>
      </c>
      <c r="B254" s="6">
        <v>46385</v>
      </c>
      <c r="C254" t="s">
        <v>0</v>
      </c>
      <c r="D254" t="s">
        <v>11</v>
      </c>
      <c r="K254">
        <v>1</v>
      </c>
      <c r="L254" t="s">
        <v>35</v>
      </c>
    </row>
    <row r="255" spans="1:12" x14ac:dyDescent="0.25">
      <c r="A255" t="s">
        <v>332</v>
      </c>
      <c r="B255" s="6">
        <v>46385</v>
      </c>
      <c r="C255" t="s">
        <v>1</v>
      </c>
      <c r="D255" t="s">
        <v>5</v>
      </c>
      <c r="K255">
        <v>1</v>
      </c>
      <c r="L255" t="s">
        <v>35</v>
      </c>
    </row>
    <row r="256" spans="1:12" x14ac:dyDescent="0.25">
      <c r="A256" t="s">
        <v>333</v>
      </c>
      <c r="B256" s="6">
        <v>46385</v>
      </c>
      <c r="C256" t="s">
        <v>2</v>
      </c>
      <c r="D256" t="s">
        <v>3</v>
      </c>
      <c r="K256">
        <v>1</v>
      </c>
      <c r="L256" t="s">
        <v>35</v>
      </c>
    </row>
    <row r="257" spans="1:12" x14ac:dyDescent="0.25">
      <c r="A257" t="s">
        <v>334</v>
      </c>
      <c r="B257" s="6">
        <v>46385</v>
      </c>
      <c r="C257" t="s">
        <v>4</v>
      </c>
      <c r="D257" t="s">
        <v>14</v>
      </c>
      <c r="K257">
        <v>1</v>
      </c>
      <c r="L257" t="s">
        <v>35</v>
      </c>
    </row>
    <row r="258" spans="1:12" x14ac:dyDescent="0.25">
      <c r="A258" t="s">
        <v>335</v>
      </c>
      <c r="B258" s="6">
        <v>46385</v>
      </c>
      <c r="C258" t="s">
        <v>6</v>
      </c>
      <c r="D258" t="s">
        <v>7</v>
      </c>
      <c r="K258">
        <v>1</v>
      </c>
      <c r="L258" t="s">
        <v>35</v>
      </c>
    </row>
    <row r="259" spans="1:12" x14ac:dyDescent="0.25">
      <c r="A259" t="s">
        <v>336</v>
      </c>
      <c r="B259" s="6">
        <v>46385</v>
      </c>
      <c r="C259" t="s">
        <v>10</v>
      </c>
      <c r="D259" t="s">
        <v>9</v>
      </c>
      <c r="K259">
        <v>1</v>
      </c>
      <c r="L259" t="s">
        <v>35</v>
      </c>
    </row>
    <row r="260" spans="1:12" x14ac:dyDescent="0.25">
      <c r="A260" t="s">
        <v>337</v>
      </c>
      <c r="B260" s="6">
        <v>46385</v>
      </c>
      <c r="C260" t="s">
        <v>16</v>
      </c>
      <c r="D260" t="s">
        <v>33</v>
      </c>
      <c r="K260">
        <v>1</v>
      </c>
      <c r="L260" t="s">
        <v>35</v>
      </c>
    </row>
    <row r="261" spans="1:12" x14ac:dyDescent="0.25">
      <c r="A261" t="s">
        <v>338</v>
      </c>
      <c r="B261" s="6">
        <v>46385</v>
      </c>
      <c r="C261" t="s">
        <v>17</v>
      </c>
      <c r="D261" t="s">
        <v>15</v>
      </c>
      <c r="K261">
        <v>1</v>
      </c>
      <c r="L261" t="s">
        <v>35</v>
      </c>
    </row>
    <row r="262" spans="1:12" x14ac:dyDescent="0.25">
      <c r="A262" t="s">
        <v>339</v>
      </c>
      <c r="B262" s="6">
        <v>46385</v>
      </c>
      <c r="C262" t="s">
        <v>18</v>
      </c>
      <c r="D262" t="s">
        <v>12</v>
      </c>
      <c r="K262">
        <v>1</v>
      </c>
      <c r="L262" t="s">
        <v>35</v>
      </c>
    </row>
    <row r="263" spans="1:12" x14ac:dyDescent="0.25">
      <c r="A263" t="s">
        <v>340</v>
      </c>
      <c r="B263" s="6">
        <v>46385</v>
      </c>
      <c r="C263" t="s">
        <v>20</v>
      </c>
      <c r="D263" t="s">
        <v>8</v>
      </c>
      <c r="K263">
        <v>1</v>
      </c>
      <c r="L263" t="s">
        <v>35</v>
      </c>
    </row>
    <row r="264" spans="1:12" x14ac:dyDescent="0.25">
      <c r="A264" t="s">
        <v>341</v>
      </c>
      <c r="B264" s="6">
        <v>46385</v>
      </c>
      <c r="C264" t="s">
        <v>21</v>
      </c>
      <c r="D264" t="s">
        <v>13</v>
      </c>
      <c r="K264">
        <v>1</v>
      </c>
      <c r="L264" t="s">
        <v>35</v>
      </c>
    </row>
    <row r="265" spans="1:12" x14ac:dyDescent="0.25">
      <c r="A265" t="s">
        <v>342</v>
      </c>
      <c r="B265" s="6">
        <v>46385</v>
      </c>
      <c r="C265" t="s">
        <v>22</v>
      </c>
      <c r="D265" t="s">
        <v>19</v>
      </c>
      <c r="K265">
        <v>1</v>
      </c>
      <c r="L265" t="s">
        <v>35</v>
      </c>
    </row>
    <row r="266" spans="1:12" x14ac:dyDescent="0.25">
      <c r="A266" t="s">
        <v>343</v>
      </c>
      <c r="B266" s="6">
        <v>46388</v>
      </c>
      <c r="C266" t="s">
        <v>0</v>
      </c>
      <c r="D266" t="s">
        <v>15</v>
      </c>
      <c r="K266">
        <v>1</v>
      </c>
      <c r="L266" t="s">
        <v>35</v>
      </c>
    </row>
    <row r="267" spans="1:12" x14ac:dyDescent="0.25">
      <c r="A267" t="s">
        <v>344</v>
      </c>
      <c r="B267" s="6">
        <v>46388</v>
      </c>
      <c r="C267" t="s">
        <v>1</v>
      </c>
      <c r="D267" t="s">
        <v>13</v>
      </c>
      <c r="K267">
        <v>1</v>
      </c>
      <c r="L267" t="s">
        <v>35</v>
      </c>
    </row>
    <row r="268" spans="1:12" x14ac:dyDescent="0.25">
      <c r="A268" t="s">
        <v>345</v>
      </c>
      <c r="B268" s="6">
        <v>46388</v>
      </c>
      <c r="C268" t="s">
        <v>2</v>
      </c>
      <c r="D268" t="s">
        <v>7</v>
      </c>
      <c r="K268">
        <v>1</v>
      </c>
      <c r="L268" t="s">
        <v>35</v>
      </c>
    </row>
    <row r="269" spans="1:12" x14ac:dyDescent="0.25">
      <c r="A269" t="s">
        <v>346</v>
      </c>
      <c r="B269" s="6">
        <v>46388</v>
      </c>
      <c r="C269" t="s">
        <v>4</v>
      </c>
      <c r="D269" t="s">
        <v>19</v>
      </c>
      <c r="K269">
        <v>1</v>
      </c>
      <c r="L269" t="s">
        <v>35</v>
      </c>
    </row>
    <row r="270" spans="1:12" x14ac:dyDescent="0.25">
      <c r="A270" t="s">
        <v>347</v>
      </c>
      <c r="B270" s="6">
        <v>46388</v>
      </c>
      <c r="C270" t="s">
        <v>10</v>
      </c>
      <c r="D270" t="s">
        <v>14</v>
      </c>
      <c r="K270">
        <v>1</v>
      </c>
      <c r="L270" t="s">
        <v>35</v>
      </c>
    </row>
    <row r="271" spans="1:12" x14ac:dyDescent="0.25">
      <c r="A271" t="s">
        <v>348</v>
      </c>
      <c r="B271" s="6">
        <v>46388</v>
      </c>
      <c r="C271" t="s">
        <v>17</v>
      </c>
      <c r="D271" t="s">
        <v>33</v>
      </c>
      <c r="K271">
        <v>1</v>
      </c>
      <c r="L271" t="s">
        <v>35</v>
      </c>
    </row>
    <row r="272" spans="1:12" x14ac:dyDescent="0.25">
      <c r="A272" t="s">
        <v>349</v>
      </c>
      <c r="B272" s="6">
        <v>46388</v>
      </c>
      <c r="C272" t="s">
        <v>18</v>
      </c>
      <c r="D272" t="s">
        <v>8</v>
      </c>
      <c r="K272">
        <v>1</v>
      </c>
      <c r="L272" t="s">
        <v>35</v>
      </c>
    </row>
    <row r="273" spans="1:12" x14ac:dyDescent="0.25">
      <c r="A273" t="s">
        <v>350</v>
      </c>
      <c r="B273" s="6">
        <v>46388</v>
      </c>
      <c r="C273" t="s">
        <v>21</v>
      </c>
      <c r="D273" t="s">
        <v>3</v>
      </c>
      <c r="K273">
        <v>1</v>
      </c>
      <c r="L273" t="s">
        <v>35</v>
      </c>
    </row>
    <row r="274" spans="1:12" x14ac:dyDescent="0.25">
      <c r="A274" t="s">
        <v>351</v>
      </c>
      <c r="B274" s="6">
        <v>46388</v>
      </c>
      <c r="C274" t="s">
        <v>22</v>
      </c>
      <c r="D274" t="s">
        <v>9</v>
      </c>
      <c r="K274">
        <v>1</v>
      </c>
      <c r="L274" t="s">
        <v>35</v>
      </c>
    </row>
    <row r="275" spans="1:12" x14ac:dyDescent="0.25">
      <c r="A275" t="s">
        <v>352</v>
      </c>
      <c r="B275" s="6">
        <v>46389</v>
      </c>
      <c r="C275" t="s">
        <v>6</v>
      </c>
      <c r="D275" t="s">
        <v>12</v>
      </c>
      <c r="K275">
        <v>1</v>
      </c>
      <c r="L275" t="s">
        <v>35</v>
      </c>
    </row>
    <row r="276" spans="1:12" x14ac:dyDescent="0.25">
      <c r="A276" t="s">
        <v>353</v>
      </c>
      <c r="B276" s="6">
        <v>46389</v>
      </c>
      <c r="C276" t="s">
        <v>16</v>
      </c>
      <c r="D276" t="s">
        <v>11</v>
      </c>
      <c r="K276">
        <v>1</v>
      </c>
      <c r="L276" t="s">
        <v>35</v>
      </c>
    </row>
    <row r="277" spans="1:12" x14ac:dyDescent="0.25">
      <c r="A277" t="s">
        <v>354</v>
      </c>
      <c r="B277" s="6">
        <v>46389</v>
      </c>
      <c r="C277" t="s">
        <v>20</v>
      </c>
      <c r="D277" t="s">
        <v>5</v>
      </c>
      <c r="K277">
        <v>1</v>
      </c>
      <c r="L277" t="s">
        <v>35</v>
      </c>
    </row>
    <row r="278" spans="1:12" x14ac:dyDescent="0.25">
      <c r="A278" t="s">
        <v>355</v>
      </c>
      <c r="B278" s="6">
        <v>46395</v>
      </c>
      <c r="C278" t="s">
        <v>5</v>
      </c>
      <c r="D278" t="s">
        <v>2</v>
      </c>
      <c r="K278">
        <v>1</v>
      </c>
      <c r="L278" t="s">
        <v>35</v>
      </c>
    </row>
    <row r="279" spans="1:12" x14ac:dyDescent="0.25">
      <c r="A279" t="s">
        <v>356</v>
      </c>
      <c r="B279" s="6">
        <v>46396</v>
      </c>
      <c r="C279" t="s">
        <v>3</v>
      </c>
      <c r="D279" t="s">
        <v>4</v>
      </c>
      <c r="K279">
        <v>1</v>
      </c>
      <c r="L279" t="s">
        <v>35</v>
      </c>
    </row>
    <row r="280" spans="1:12" x14ac:dyDescent="0.25">
      <c r="A280" t="s">
        <v>357</v>
      </c>
      <c r="B280" s="6">
        <v>46396</v>
      </c>
      <c r="C280" t="s">
        <v>7</v>
      </c>
      <c r="D280" t="s">
        <v>22</v>
      </c>
      <c r="K280">
        <v>1</v>
      </c>
      <c r="L280" t="s">
        <v>35</v>
      </c>
    </row>
    <row r="281" spans="1:12" x14ac:dyDescent="0.25">
      <c r="A281" t="s">
        <v>358</v>
      </c>
      <c r="B281" s="6">
        <v>46396</v>
      </c>
      <c r="C281" t="s">
        <v>8</v>
      </c>
      <c r="D281" t="s">
        <v>1</v>
      </c>
      <c r="K281">
        <v>1</v>
      </c>
      <c r="L281" t="s">
        <v>35</v>
      </c>
    </row>
    <row r="282" spans="1:12" x14ac:dyDescent="0.25">
      <c r="A282" t="s">
        <v>359</v>
      </c>
      <c r="B282" s="6">
        <v>46396</v>
      </c>
      <c r="C282" t="s">
        <v>9</v>
      </c>
      <c r="D282" t="s">
        <v>17</v>
      </c>
      <c r="K282">
        <v>1</v>
      </c>
      <c r="L282" t="s">
        <v>35</v>
      </c>
    </row>
    <row r="283" spans="1:12" x14ac:dyDescent="0.25">
      <c r="A283" t="s">
        <v>360</v>
      </c>
      <c r="B283" s="6">
        <v>46396</v>
      </c>
      <c r="C283" t="s">
        <v>11</v>
      </c>
      <c r="D283" t="s">
        <v>18</v>
      </c>
      <c r="K283">
        <v>1</v>
      </c>
      <c r="L283" t="s">
        <v>35</v>
      </c>
    </row>
    <row r="284" spans="1:12" x14ac:dyDescent="0.25">
      <c r="A284" t="s">
        <v>361</v>
      </c>
      <c r="B284" s="6">
        <v>46396</v>
      </c>
      <c r="C284" t="s">
        <v>12</v>
      </c>
      <c r="D284" t="s">
        <v>16</v>
      </c>
      <c r="K284">
        <v>1</v>
      </c>
      <c r="L284" t="s">
        <v>35</v>
      </c>
    </row>
    <row r="285" spans="1:12" x14ac:dyDescent="0.25">
      <c r="A285" t="s">
        <v>362</v>
      </c>
      <c r="B285" s="6">
        <v>46396</v>
      </c>
      <c r="C285" t="s">
        <v>33</v>
      </c>
      <c r="D285" t="s">
        <v>20</v>
      </c>
      <c r="K285">
        <v>1</v>
      </c>
      <c r="L285" t="s">
        <v>35</v>
      </c>
    </row>
    <row r="286" spans="1:12" x14ac:dyDescent="0.25">
      <c r="A286" t="s">
        <v>363</v>
      </c>
      <c r="B286" s="6">
        <v>46396</v>
      </c>
      <c r="C286" t="s">
        <v>13</v>
      </c>
      <c r="D286" t="s">
        <v>10</v>
      </c>
      <c r="K286">
        <v>1</v>
      </c>
      <c r="L286" t="s">
        <v>35</v>
      </c>
    </row>
    <row r="287" spans="1:12" x14ac:dyDescent="0.25">
      <c r="A287" t="s">
        <v>364</v>
      </c>
      <c r="B287" s="6">
        <v>46396</v>
      </c>
      <c r="C287" t="s">
        <v>14</v>
      </c>
      <c r="D287" t="s">
        <v>0</v>
      </c>
      <c r="K287">
        <v>1</v>
      </c>
      <c r="L287" t="s">
        <v>35</v>
      </c>
    </row>
    <row r="288" spans="1:12" x14ac:dyDescent="0.25">
      <c r="A288" t="s">
        <v>365</v>
      </c>
      <c r="B288" s="6">
        <v>46396</v>
      </c>
      <c r="C288" t="s">
        <v>15</v>
      </c>
      <c r="D288" t="s">
        <v>21</v>
      </c>
      <c r="K288">
        <v>1</v>
      </c>
      <c r="L288" t="s">
        <v>35</v>
      </c>
    </row>
    <row r="289" spans="1:12" x14ac:dyDescent="0.25">
      <c r="A289" t="s">
        <v>366</v>
      </c>
      <c r="B289" s="6">
        <v>46396</v>
      </c>
      <c r="C289" t="s">
        <v>19</v>
      </c>
      <c r="D289" t="s">
        <v>6</v>
      </c>
      <c r="K289">
        <v>1</v>
      </c>
      <c r="L289" t="s">
        <v>35</v>
      </c>
    </row>
    <row r="290" spans="1:12" x14ac:dyDescent="0.25">
      <c r="A290" t="s">
        <v>367</v>
      </c>
      <c r="B290" s="6">
        <v>46403</v>
      </c>
      <c r="C290" t="s">
        <v>0</v>
      </c>
      <c r="D290" t="s">
        <v>18</v>
      </c>
      <c r="K290">
        <v>1</v>
      </c>
      <c r="L290" t="s">
        <v>35</v>
      </c>
    </row>
    <row r="291" spans="1:12" x14ac:dyDescent="0.25">
      <c r="A291" t="s">
        <v>368</v>
      </c>
      <c r="B291" s="6">
        <v>46403</v>
      </c>
      <c r="C291" t="s">
        <v>2</v>
      </c>
      <c r="D291" t="s">
        <v>10</v>
      </c>
      <c r="K291">
        <v>1</v>
      </c>
      <c r="L291" t="s">
        <v>35</v>
      </c>
    </row>
    <row r="292" spans="1:12" x14ac:dyDescent="0.25">
      <c r="A292" t="s">
        <v>369</v>
      </c>
      <c r="B292" s="6">
        <v>46403</v>
      </c>
      <c r="C292" t="s">
        <v>4</v>
      </c>
      <c r="D292" t="s">
        <v>20</v>
      </c>
      <c r="K292">
        <v>1</v>
      </c>
      <c r="L292" t="s">
        <v>35</v>
      </c>
    </row>
    <row r="293" spans="1:12" x14ac:dyDescent="0.25">
      <c r="A293" t="s">
        <v>370</v>
      </c>
      <c r="B293" s="6">
        <v>46403</v>
      </c>
      <c r="C293" t="s">
        <v>5</v>
      </c>
      <c r="D293" t="s">
        <v>15</v>
      </c>
      <c r="K293">
        <v>1</v>
      </c>
      <c r="L293" t="s">
        <v>35</v>
      </c>
    </row>
    <row r="294" spans="1:12" x14ac:dyDescent="0.25">
      <c r="A294" t="s">
        <v>371</v>
      </c>
      <c r="B294" s="6">
        <v>46403</v>
      </c>
      <c r="C294" t="s">
        <v>6</v>
      </c>
      <c r="D294" t="s">
        <v>1</v>
      </c>
      <c r="K294">
        <v>1</v>
      </c>
      <c r="L294" t="s">
        <v>35</v>
      </c>
    </row>
    <row r="295" spans="1:12" x14ac:dyDescent="0.25">
      <c r="A295" t="s">
        <v>372</v>
      </c>
      <c r="B295" s="6">
        <v>46403</v>
      </c>
      <c r="C295" t="s">
        <v>7</v>
      </c>
      <c r="D295" t="s">
        <v>9</v>
      </c>
      <c r="K295">
        <v>1</v>
      </c>
      <c r="L295" t="s">
        <v>35</v>
      </c>
    </row>
    <row r="296" spans="1:12" x14ac:dyDescent="0.25">
      <c r="A296" t="s">
        <v>373</v>
      </c>
      <c r="B296" s="6">
        <v>46403</v>
      </c>
      <c r="C296" t="s">
        <v>8</v>
      </c>
      <c r="D296" t="s">
        <v>16</v>
      </c>
      <c r="K296">
        <v>1</v>
      </c>
      <c r="L296" t="s">
        <v>35</v>
      </c>
    </row>
    <row r="297" spans="1:12" x14ac:dyDescent="0.25">
      <c r="A297" t="s">
        <v>374</v>
      </c>
      <c r="B297" s="6">
        <v>46403</v>
      </c>
      <c r="C297" t="s">
        <v>11</v>
      </c>
      <c r="D297" t="s">
        <v>33</v>
      </c>
      <c r="K297">
        <v>1</v>
      </c>
      <c r="L297" t="s">
        <v>35</v>
      </c>
    </row>
    <row r="298" spans="1:12" x14ac:dyDescent="0.25">
      <c r="A298" t="s">
        <v>375</v>
      </c>
      <c r="B298" s="6">
        <v>46403</v>
      </c>
      <c r="C298" t="s">
        <v>13</v>
      </c>
      <c r="D298" t="s">
        <v>22</v>
      </c>
      <c r="K298">
        <v>1</v>
      </c>
      <c r="L298" t="s">
        <v>35</v>
      </c>
    </row>
    <row r="299" spans="1:12" x14ac:dyDescent="0.25">
      <c r="A299" t="s">
        <v>376</v>
      </c>
      <c r="B299" s="6">
        <v>46403</v>
      </c>
      <c r="C299" t="s">
        <v>14</v>
      </c>
      <c r="D299" t="s">
        <v>12</v>
      </c>
      <c r="K299">
        <v>1</v>
      </c>
      <c r="L299" t="s">
        <v>35</v>
      </c>
    </row>
    <row r="300" spans="1:12" x14ac:dyDescent="0.25">
      <c r="A300" t="s">
        <v>377</v>
      </c>
      <c r="B300" s="6">
        <v>46403</v>
      </c>
      <c r="C300" t="s">
        <v>17</v>
      </c>
      <c r="D300" t="s">
        <v>21</v>
      </c>
      <c r="K300">
        <v>1</v>
      </c>
      <c r="L300" t="s">
        <v>35</v>
      </c>
    </row>
    <row r="301" spans="1:12" x14ac:dyDescent="0.25">
      <c r="A301" t="s">
        <v>378</v>
      </c>
      <c r="B301" s="6">
        <v>46403</v>
      </c>
      <c r="C301" t="s">
        <v>19</v>
      </c>
      <c r="D301" t="s">
        <v>3</v>
      </c>
      <c r="K301">
        <v>1</v>
      </c>
      <c r="L301" t="s">
        <v>35</v>
      </c>
    </row>
    <row r="302" spans="1:12" x14ac:dyDescent="0.25">
      <c r="A302" t="s">
        <v>379</v>
      </c>
      <c r="B302" s="6">
        <v>46406</v>
      </c>
      <c r="C302" t="s">
        <v>1</v>
      </c>
      <c r="D302" t="s">
        <v>11</v>
      </c>
      <c r="K302">
        <v>1</v>
      </c>
      <c r="L302" t="s">
        <v>35</v>
      </c>
    </row>
    <row r="303" spans="1:12" x14ac:dyDescent="0.25">
      <c r="A303" t="s">
        <v>380</v>
      </c>
      <c r="B303" s="6">
        <v>46406</v>
      </c>
      <c r="C303" t="s">
        <v>3</v>
      </c>
      <c r="D303" t="s">
        <v>5</v>
      </c>
      <c r="K303">
        <v>1</v>
      </c>
      <c r="L303" t="s">
        <v>35</v>
      </c>
    </row>
    <row r="304" spans="1:12" x14ac:dyDescent="0.25">
      <c r="A304" t="s">
        <v>381</v>
      </c>
      <c r="B304" s="6">
        <v>46406</v>
      </c>
      <c r="C304" t="s">
        <v>9</v>
      </c>
      <c r="D304" t="s">
        <v>4</v>
      </c>
      <c r="K304">
        <v>1</v>
      </c>
      <c r="L304" t="s">
        <v>35</v>
      </c>
    </row>
    <row r="305" spans="1:12" x14ac:dyDescent="0.25">
      <c r="A305" t="s">
        <v>382</v>
      </c>
      <c r="B305" s="6">
        <v>46406</v>
      </c>
      <c r="C305" t="s">
        <v>10</v>
      </c>
      <c r="D305" t="s">
        <v>17</v>
      </c>
      <c r="K305">
        <v>1</v>
      </c>
      <c r="L305" t="s">
        <v>35</v>
      </c>
    </row>
    <row r="306" spans="1:12" x14ac:dyDescent="0.25">
      <c r="A306" t="s">
        <v>383</v>
      </c>
      <c r="B306" s="6">
        <v>46406</v>
      </c>
      <c r="C306" t="s">
        <v>12</v>
      </c>
      <c r="D306" t="s">
        <v>0</v>
      </c>
      <c r="K306">
        <v>1</v>
      </c>
      <c r="L306" t="s">
        <v>35</v>
      </c>
    </row>
    <row r="307" spans="1:12" x14ac:dyDescent="0.25">
      <c r="A307" t="s">
        <v>384</v>
      </c>
      <c r="B307" s="6">
        <v>46406</v>
      </c>
      <c r="C307" t="s">
        <v>33</v>
      </c>
      <c r="D307" t="s">
        <v>2</v>
      </c>
      <c r="K307">
        <v>1</v>
      </c>
      <c r="L307" t="s">
        <v>35</v>
      </c>
    </row>
    <row r="308" spans="1:12" x14ac:dyDescent="0.25">
      <c r="A308" t="s">
        <v>385</v>
      </c>
      <c r="B308" s="6">
        <v>46406</v>
      </c>
      <c r="C308" t="s">
        <v>15</v>
      </c>
      <c r="D308" t="s">
        <v>8</v>
      </c>
      <c r="K308">
        <v>1</v>
      </c>
      <c r="L308" t="s">
        <v>35</v>
      </c>
    </row>
    <row r="309" spans="1:12" x14ac:dyDescent="0.25">
      <c r="A309" t="s">
        <v>386</v>
      </c>
      <c r="B309" s="6">
        <v>46406</v>
      </c>
      <c r="C309" t="s">
        <v>16</v>
      </c>
      <c r="D309" t="s">
        <v>19</v>
      </c>
      <c r="K309">
        <v>1</v>
      </c>
      <c r="L309" t="s">
        <v>35</v>
      </c>
    </row>
    <row r="310" spans="1:12" x14ac:dyDescent="0.25">
      <c r="A310" t="s">
        <v>387</v>
      </c>
      <c r="B310" s="6">
        <v>46406</v>
      </c>
      <c r="C310" t="s">
        <v>18</v>
      </c>
      <c r="D310" t="s">
        <v>13</v>
      </c>
      <c r="K310">
        <v>1</v>
      </c>
      <c r="L310" t="s">
        <v>35</v>
      </c>
    </row>
    <row r="311" spans="1:12" x14ac:dyDescent="0.25">
      <c r="A311" t="s">
        <v>388</v>
      </c>
      <c r="B311" s="6">
        <v>46406</v>
      </c>
      <c r="C311" t="s">
        <v>20</v>
      </c>
      <c r="D311" t="s">
        <v>7</v>
      </c>
      <c r="K311">
        <v>1</v>
      </c>
      <c r="L311" t="s">
        <v>35</v>
      </c>
    </row>
    <row r="312" spans="1:12" x14ac:dyDescent="0.25">
      <c r="A312" t="s">
        <v>389</v>
      </c>
      <c r="B312" s="6">
        <v>46406</v>
      </c>
      <c r="C312" t="s">
        <v>21</v>
      </c>
      <c r="D312" t="s">
        <v>14</v>
      </c>
      <c r="K312">
        <v>1</v>
      </c>
      <c r="L312" t="s">
        <v>35</v>
      </c>
    </row>
    <row r="313" spans="1:12" x14ac:dyDescent="0.25">
      <c r="A313" t="s">
        <v>390</v>
      </c>
      <c r="B313" s="6">
        <v>46406</v>
      </c>
      <c r="C313" t="s">
        <v>22</v>
      </c>
      <c r="D313" t="s">
        <v>6</v>
      </c>
      <c r="K313">
        <v>1</v>
      </c>
      <c r="L313" t="s">
        <v>35</v>
      </c>
    </row>
    <row r="314" spans="1:12" x14ac:dyDescent="0.25">
      <c r="A314" t="s">
        <v>391</v>
      </c>
      <c r="B314" s="6">
        <v>46410</v>
      </c>
      <c r="C314" t="s">
        <v>1</v>
      </c>
      <c r="D314" t="s">
        <v>17</v>
      </c>
      <c r="K314">
        <v>1</v>
      </c>
      <c r="L314" t="s">
        <v>35</v>
      </c>
    </row>
    <row r="315" spans="1:12" x14ac:dyDescent="0.25">
      <c r="A315" t="s">
        <v>392</v>
      </c>
      <c r="B315" s="6">
        <v>46410</v>
      </c>
      <c r="C315" t="s">
        <v>3</v>
      </c>
      <c r="D315" t="s">
        <v>14</v>
      </c>
      <c r="K315">
        <v>1</v>
      </c>
      <c r="L315" t="s">
        <v>35</v>
      </c>
    </row>
    <row r="316" spans="1:12" x14ac:dyDescent="0.25">
      <c r="A316" t="s">
        <v>393</v>
      </c>
      <c r="B316" s="6">
        <v>46410</v>
      </c>
      <c r="C316" t="s">
        <v>9</v>
      </c>
      <c r="D316" t="s">
        <v>11</v>
      </c>
      <c r="K316">
        <v>1</v>
      </c>
      <c r="L316" t="s">
        <v>35</v>
      </c>
    </row>
    <row r="317" spans="1:12" x14ac:dyDescent="0.25">
      <c r="A317" t="s">
        <v>394</v>
      </c>
      <c r="B317" s="6">
        <v>46410</v>
      </c>
      <c r="C317" t="s">
        <v>10</v>
      </c>
      <c r="D317" t="s">
        <v>5</v>
      </c>
      <c r="K317">
        <v>1</v>
      </c>
      <c r="L317" t="s">
        <v>35</v>
      </c>
    </row>
    <row r="318" spans="1:12" x14ac:dyDescent="0.25">
      <c r="A318" t="s">
        <v>395</v>
      </c>
      <c r="B318" s="6">
        <v>46410</v>
      </c>
      <c r="C318" t="s">
        <v>12</v>
      </c>
      <c r="D318" t="s">
        <v>2</v>
      </c>
      <c r="K318">
        <v>1</v>
      </c>
      <c r="L318" t="s">
        <v>35</v>
      </c>
    </row>
    <row r="319" spans="1:12" x14ac:dyDescent="0.25">
      <c r="A319" t="s">
        <v>396</v>
      </c>
      <c r="B319" s="6">
        <v>46410</v>
      </c>
      <c r="C319" t="s">
        <v>33</v>
      </c>
      <c r="D319" t="s">
        <v>19</v>
      </c>
      <c r="K319">
        <v>1</v>
      </c>
      <c r="L319" t="s">
        <v>35</v>
      </c>
    </row>
    <row r="320" spans="1:12" x14ac:dyDescent="0.25">
      <c r="A320" t="s">
        <v>397</v>
      </c>
      <c r="B320" s="6">
        <v>46410</v>
      </c>
      <c r="C320" t="s">
        <v>15</v>
      </c>
      <c r="D320" t="s">
        <v>4</v>
      </c>
      <c r="K320">
        <v>1</v>
      </c>
      <c r="L320" t="s">
        <v>35</v>
      </c>
    </row>
    <row r="321" spans="1:12" x14ac:dyDescent="0.25">
      <c r="A321" t="s">
        <v>398</v>
      </c>
      <c r="B321" s="6">
        <v>46410</v>
      </c>
      <c r="C321" t="s">
        <v>16</v>
      </c>
      <c r="D321" t="s">
        <v>6</v>
      </c>
      <c r="K321">
        <v>1</v>
      </c>
      <c r="L321" t="s">
        <v>35</v>
      </c>
    </row>
    <row r="322" spans="1:12" x14ac:dyDescent="0.25">
      <c r="A322" t="s">
        <v>399</v>
      </c>
      <c r="B322" s="6">
        <v>46410</v>
      </c>
      <c r="C322" t="s">
        <v>18</v>
      </c>
      <c r="D322" t="s">
        <v>7</v>
      </c>
      <c r="K322">
        <v>1</v>
      </c>
      <c r="L322" t="s">
        <v>35</v>
      </c>
    </row>
    <row r="323" spans="1:12" x14ac:dyDescent="0.25">
      <c r="A323" t="s">
        <v>400</v>
      </c>
      <c r="B323" s="6">
        <v>46410</v>
      </c>
      <c r="C323" t="s">
        <v>20</v>
      </c>
      <c r="D323" t="s">
        <v>13</v>
      </c>
      <c r="K323">
        <v>1</v>
      </c>
      <c r="L323" t="s">
        <v>35</v>
      </c>
    </row>
    <row r="324" spans="1:12" x14ac:dyDescent="0.25">
      <c r="A324" t="s">
        <v>401</v>
      </c>
      <c r="B324" s="6">
        <v>46410</v>
      </c>
      <c r="C324" t="s">
        <v>21</v>
      </c>
      <c r="D324" t="s">
        <v>8</v>
      </c>
      <c r="K324">
        <v>1</v>
      </c>
      <c r="L324" t="s">
        <v>35</v>
      </c>
    </row>
    <row r="325" spans="1:12" x14ac:dyDescent="0.25">
      <c r="A325" t="s">
        <v>402</v>
      </c>
      <c r="B325" s="6">
        <v>46410</v>
      </c>
      <c r="C325" t="s">
        <v>22</v>
      </c>
      <c r="D325" t="s">
        <v>0</v>
      </c>
      <c r="K325">
        <v>1</v>
      </c>
      <c r="L325" t="s">
        <v>35</v>
      </c>
    </row>
    <row r="326" spans="1:12" x14ac:dyDescent="0.25">
      <c r="A326" t="s">
        <v>403</v>
      </c>
      <c r="B326" s="6">
        <v>46417</v>
      </c>
      <c r="C326" t="s">
        <v>0</v>
      </c>
      <c r="D326" t="s">
        <v>20</v>
      </c>
      <c r="K326">
        <v>1</v>
      </c>
      <c r="L326" t="s">
        <v>35</v>
      </c>
    </row>
    <row r="327" spans="1:12" x14ac:dyDescent="0.25">
      <c r="A327" t="s">
        <v>404</v>
      </c>
      <c r="B327" s="6">
        <v>46417</v>
      </c>
      <c r="C327" t="s">
        <v>2</v>
      </c>
      <c r="D327" t="s">
        <v>18</v>
      </c>
      <c r="K327">
        <v>1</v>
      </c>
      <c r="L327" t="s">
        <v>35</v>
      </c>
    </row>
    <row r="328" spans="1:12" x14ac:dyDescent="0.25">
      <c r="A328" t="s">
        <v>405</v>
      </c>
      <c r="B328" s="6">
        <v>46417</v>
      </c>
      <c r="C328" t="s">
        <v>4</v>
      </c>
      <c r="D328" t="s">
        <v>21</v>
      </c>
      <c r="K328">
        <v>1</v>
      </c>
      <c r="L328" t="s">
        <v>35</v>
      </c>
    </row>
    <row r="329" spans="1:12" x14ac:dyDescent="0.25">
      <c r="A329" t="s">
        <v>406</v>
      </c>
      <c r="B329" s="6">
        <v>46417</v>
      </c>
      <c r="C329" t="s">
        <v>5</v>
      </c>
      <c r="D329" t="s">
        <v>22</v>
      </c>
      <c r="K329">
        <v>1</v>
      </c>
      <c r="L329" t="s">
        <v>35</v>
      </c>
    </row>
    <row r="330" spans="1:12" x14ac:dyDescent="0.25">
      <c r="A330" t="s">
        <v>407</v>
      </c>
      <c r="B330" s="6">
        <v>46417</v>
      </c>
      <c r="C330" t="s">
        <v>6</v>
      </c>
      <c r="D330" t="s">
        <v>10</v>
      </c>
      <c r="K330">
        <v>1</v>
      </c>
      <c r="L330" t="s">
        <v>35</v>
      </c>
    </row>
    <row r="331" spans="1:12" x14ac:dyDescent="0.25">
      <c r="A331" t="s">
        <v>408</v>
      </c>
      <c r="B331" s="6">
        <v>46417</v>
      </c>
      <c r="C331" t="s">
        <v>7</v>
      </c>
      <c r="D331" t="s">
        <v>33</v>
      </c>
      <c r="K331">
        <v>1</v>
      </c>
      <c r="L331" t="s">
        <v>35</v>
      </c>
    </row>
    <row r="332" spans="1:12" x14ac:dyDescent="0.25">
      <c r="A332" t="s">
        <v>409</v>
      </c>
      <c r="B332" s="6">
        <v>46417</v>
      </c>
      <c r="C332" t="s">
        <v>8</v>
      </c>
      <c r="D332" t="s">
        <v>3</v>
      </c>
      <c r="K332">
        <v>1</v>
      </c>
      <c r="L332" t="s">
        <v>35</v>
      </c>
    </row>
    <row r="333" spans="1:12" x14ac:dyDescent="0.25">
      <c r="A333" t="s">
        <v>410</v>
      </c>
      <c r="B333" s="6">
        <v>46417</v>
      </c>
      <c r="C333" t="s">
        <v>11</v>
      </c>
      <c r="D333" t="s">
        <v>15</v>
      </c>
      <c r="K333">
        <v>1</v>
      </c>
      <c r="L333" t="s">
        <v>35</v>
      </c>
    </row>
    <row r="334" spans="1:12" x14ac:dyDescent="0.25">
      <c r="A334" t="s">
        <v>411</v>
      </c>
      <c r="B334" s="6">
        <v>46417</v>
      </c>
      <c r="C334" t="s">
        <v>13</v>
      </c>
      <c r="D334" t="s">
        <v>12</v>
      </c>
      <c r="K334">
        <v>1</v>
      </c>
      <c r="L334" t="s">
        <v>35</v>
      </c>
    </row>
    <row r="335" spans="1:12" x14ac:dyDescent="0.25">
      <c r="A335" t="s">
        <v>412</v>
      </c>
      <c r="B335" s="6">
        <v>46417</v>
      </c>
      <c r="C335" t="s">
        <v>14</v>
      </c>
      <c r="D335" t="s">
        <v>1</v>
      </c>
      <c r="K335">
        <v>1</v>
      </c>
      <c r="L335" t="s">
        <v>35</v>
      </c>
    </row>
    <row r="336" spans="1:12" x14ac:dyDescent="0.25">
      <c r="A336" t="s">
        <v>413</v>
      </c>
      <c r="B336" s="6">
        <v>46417</v>
      </c>
      <c r="C336" t="s">
        <v>17</v>
      </c>
      <c r="D336" t="s">
        <v>16</v>
      </c>
      <c r="K336">
        <v>1</v>
      </c>
      <c r="L336" t="s">
        <v>35</v>
      </c>
    </row>
    <row r="337" spans="1:12" x14ac:dyDescent="0.25">
      <c r="A337" t="s">
        <v>414</v>
      </c>
      <c r="B337" s="6">
        <v>46417</v>
      </c>
      <c r="C337" t="s">
        <v>19</v>
      </c>
      <c r="D337" t="s">
        <v>9</v>
      </c>
      <c r="K337">
        <v>1</v>
      </c>
      <c r="L337" t="s">
        <v>35</v>
      </c>
    </row>
    <row r="338" spans="1:12" x14ac:dyDescent="0.25">
      <c r="A338" t="s">
        <v>415</v>
      </c>
      <c r="B338" s="6">
        <v>46424</v>
      </c>
      <c r="C338" t="s">
        <v>1</v>
      </c>
      <c r="D338" t="s">
        <v>10</v>
      </c>
      <c r="K338">
        <v>1</v>
      </c>
      <c r="L338" t="s">
        <v>35</v>
      </c>
    </row>
    <row r="339" spans="1:12" x14ac:dyDescent="0.25">
      <c r="A339" t="s">
        <v>416</v>
      </c>
      <c r="B339" s="6">
        <v>46424</v>
      </c>
      <c r="C339" t="s">
        <v>3</v>
      </c>
      <c r="D339" t="s">
        <v>16</v>
      </c>
      <c r="K339">
        <v>1</v>
      </c>
      <c r="L339" t="s">
        <v>35</v>
      </c>
    </row>
    <row r="340" spans="1:12" x14ac:dyDescent="0.25">
      <c r="A340" t="s">
        <v>417</v>
      </c>
      <c r="B340" s="6">
        <v>46424</v>
      </c>
      <c r="C340" t="s">
        <v>4</v>
      </c>
      <c r="D340" t="s">
        <v>18</v>
      </c>
      <c r="K340">
        <v>1</v>
      </c>
      <c r="L340" t="s">
        <v>35</v>
      </c>
    </row>
    <row r="341" spans="1:12" x14ac:dyDescent="0.25">
      <c r="A341" t="s">
        <v>418</v>
      </c>
      <c r="B341" s="6">
        <v>46424</v>
      </c>
      <c r="C341" t="s">
        <v>5</v>
      </c>
      <c r="D341" t="s">
        <v>13</v>
      </c>
      <c r="K341">
        <v>1</v>
      </c>
      <c r="L341" t="s">
        <v>35</v>
      </c>
    </row>
    <row r="342" spans="1:12" x14ac:dyDescent="0.25">
      <c r="A342" t="s">
        <v>419</v>
      </c>
      <c r="B342" s="6">
        <v>46424</v>
      </c>
      <c r="C342" t="s">
        <v>7</v>
      </c>
      <c r="D342" t="s">
        <v>19</v>
      </c>
      <c r="K342">
        <v>1</v>
      </c>
      <c r="L342" t="s">
        <v>35</v>
      </c>
    </row>
    <row r="343" spans="1:12" x14ac:dyDescent="0.25">
      <c r="A343" t="s">
        <v>420</v>
      </c>
      <c r="B343" s="6">
        <v>46424</v>
      </c>
      <c r="C343" t="s">
        <v>8</v>
      </c>
      <c r="D343" t="s">
        <v>6</v>
      </c>
      <c r="K343">
        <v>1</v>
      </c>
      <c r="L343" t="s">
        <v>35</v>
      </c>
    </row>
    <row r="344" spans="1:12" x14ac:dyDescent="0.25">
      <c r="A344" t="s">
        <v>421</v>
      </c>
      <c r="B344" s="6">
        <v>46424</v>
      </c>
      <c r="C344" t="s">
        <v>9</v>
      </c>
      <c r="D344" t="s">
        <v>33</v>
      </c>
      <c r="K344">
        <v>1</v>
      </c>
      <c r="L344" t="s">
        <v>35</v>
      </c>
    </row>
    <row r="345" spans="1:12" x14ac:dyDescent="0.25">
      <c r="A345" t="s">
        <v>422</v>
      </c>
      <c r="B345" s="6">
        <v>46424</v>
      </c>
      <c r="C345" t="s">
        <v>11</v>
      </c>
      <c r="D345" t="s">
        <v>12</v>
      </c>
      <c r="K345">
        <v>1</v>
      </c>
      <c r="L345" t="s">
        <v>35</v>
      </c>
    </row>
    <row r="346" spans="1:12" x14ac:dyDescent="0.25">
      <c r="A346" t="s">
        <v>423</v>
      </c>
      <c r="B346" s="6">
        <v>46424</v>
      </c>
      <c r="C346" t="s">
        <v>15</v>
      </c>
      <c r="D346" t="s">
        <v>2</v>
      </c>
      <c r="K346">
        <v>1</v>
      </c>
      <c r="L346" t="s">
        <v>35</v>
      </c>
    </row>
    <row r="347" spans="1:12" x14ac:dyDescent="0.25">
      <c r="A347" t="s">
        <v>424</v>
      </c>
      <c r="B347" s="6">
        <v>46424</v>
      </c>
      <c r="C347" t="s">
        <v>17</v>
      </c>
      <c r="D347" t="s">
        <v>14</v>
      </c>
      <c r="K347">
        <v>1</v>
      </c>
      <c r="L347" t="s">
        <v>35</v>
      </c>
    </row>
    <row r="348" spans="1:12" x14ac:dyDescent="0.25">
      <c r="A348" t="s">
        <v>425</v>
      </c>
      <c r="B348" s="6">
        <v>46424</v>
      </c>
      <c r="C348" t="s">
        <v>21</v>
      </c>
      <c r="D348" t="s">
        <v>0</v>
      </c>
      <c r="K348">
        <v>1</v>
      </c>
      <c r="L348" t="s">
        <v>35</v>
      </c>
    </row>
    <row r="349" spans="1:12" x14ac:dyDescent="0.25">
      <c r="A349" t="s">
        <v>426</v>
      </c>
      <c r="B349" s="6">
        <v>46424</v>
      </c>
      <c r="C349" t="s">
        <v>22</v>
      </c>
      <c r="D349" t="s">
        <v>20</v>
      </c>
      <c r="K349">
        <v>1</v>
      </c>
      <c r="L349" t="s">
        <v>35</v>
      </c>
    </row>
    <row r="350" spans="1:12" x14ac:dyDescent="0.25">
      <c r="A350" t="s">
        <v>427</v>
      </c>
      <c r="B350" s="6">
        <v>46427</v>
      </c>
      <c r="C350" t="s">
        <v>0</v>
      </c>
      <c r="D350" t="s">
        <v>5</v>
      </c>
      <c r="K350">
        <v>1</v>
      </c>
      <c r="L350" t="s">
        <v>35</v>
      </c>
    </row>
    <row r="351" spans="1:12" x14ac:dyDescent="0.25">
      <c r="A351" t="s">
        <v>428</v>
      </c>
      <c r="B351" s="6">
        <v>46427</v>
      </c>
      <c r="C351" t="s">
        <v>2</v>
      </c>
      <c r="D351" t="s">
        <v>1</v>
      </c>
      <c r="K351">
        <v>1</v>
      </c>
      <c r="L351" t="s">
        <v>35</v>
      </c>
    </row>
    <row r="352" spans="1:12" x14ac:dyDescent="0.25">
      <c r="A352" t="s">
        <v>429</v>
      </c>
      <c r="B352" s="6">
        <v>46427</v>
      </c>
      <c r="C352" t="s">
        <v>6</v>
      </c>
      <c r="D352" t="s">
        <v>3</v>
      </c>
      <c r="K352">
        <v>1</v>
      </c>
      <c r="L352" t="s">
        <v>35</v>
      </c>
    </row>
    <row r="353" spans="1:12" x14ac:dyDescent="0.25">
      <c r="A353" t="s">
        <v>430</v>
      </c>
      <c r="B353" s="6">
        <v>46427</v>
      </c>
      <c r="C353" t="s">
        <v>10</v>
      </c>
      <c r="D353" t="s">
        <v>4</v>
      </c>
      <c r="K353">
        <v>1</v>
      </c>
      <c r="L353" t="s">
        <v>35</v>
      </c>
    </row>
    <row r="354" spans="1:12" x14ac:dyDescent="0.25">
      <c r="A354" t="s">
        <v>431</v>
      </c>
      <c r="B354" s="6">
        <v>46427</v>
      </c>
      <c r="C354" t="s">
        <v>12</v>
      </c>
      <c r="D354" t="s">
        <v>17</v>
      </c>
      <c r="K354">
        <v>1</v>
      </c>
      <c r="L354" t="s">
        <v>35</v>
      </c>
    </row>
    <row r="355" spans="1:12" x14ac:dyDescent="0.25">
      <c r="A355" t="s">
        <v>432</v>
      </c>
      <c r="B355" s="6">
        <v>46427</v>
      </c>
      <c r="C355" t="s">
        <v>33</v>
      </c>
      <c r="D355" t="s">
        <v>21</v>
      </c>
      <c r="K355">
        <v>1</v>
      </c>
      <c r="L355" t="s">
        <v>35</v>
      </c>
    </row>
    <row r="356" spans="1:12" x14ac:dyDescent="0.25">
      <c r="A356" t="s">
        <v>433</v>
      </c>
      <c r="B356" s="6">
        <v>46427</v>
      </c>
      <c r="C356" t="s">
        <v>13</v>
      </c>
      <c r="D356" t="s">
        <v>7</v>
      </c>
      <c r="K356">
        <v>1</v>
      </c>
      <c r="L356" t="s">
        <v>35</v>
      </c>
    </row>
    <row r="357" spans="1:12" x14ac:dyDescent="0.25">
      <c r="A357" t="s">
        <v>434</v>
      </c>
      <c r="B357" s="6">
        <v>46427</v>
      </c>
      <c r="C357" t="s">
        <v>14</v>
      </c>
      <c r="D357" t="s">
        <v>8</v>
      </c>
      <c r="K357">
        <v>1</v>
      </c>
      <c r="L357" t="s">
        <v>35</v>
      </c>
    </row>
    <row r="358" spans="1:12" x14ac:dyDescent="0.25">
      <c r="A358" t="s">
        <v>435</v>
      </c>
      <c r="B358" s="6">
        <v>46427</v>
      </c>
      <c r="C358" t="s">
        <v>16</v>
      </c>
      <c r="D358" t="s">
        <v>9</v>
      </c>
      <c r="K358">
        <v>1</v>
      </c>
      <c r="L358" t="s">
        <v>35</v>
      </c>
    </row>
    <row r="359" spans="1:12" x14ac:dyDescent="0.25">
      <c r="A359" t="s">
        <v>436</v>
      </c>
      <c r="B359" s="6">
        <v>46427</v>
      </c>
      <c r="C359" t="s">
        <v>18</v>
      </c>
      <c r="D359" t="s">
        <v>22</v>
      </c>
      <c r="K359">
        <v>1</v>
      </c>
      <c r="L359" t="s">
        <v>35</v>
      </c>
    </row>
    <row r="360" spans="1:12" x14ac:dyDescent="0.25">
      <c r="A360" t="s">
        <v>437</v>
      </c>
      <c r="B360" s="6">
        <v>46427</v>
      </c>
      <c r="C360" t="s">
        <v>19</v>
      </c>
      <c r="D360" t="s">
        <v>15</v>
      </c>
      <c r="K360">
        <v>1</v>
      </c>
      <c r="L360" t="s">
        <v>35</v>
      </c>
    </row>
    <row r="361" spans="1:12" x14ac:dyDescent="0.25">
      <c r="A361" t="s">
        <v>438</v>
      </c>
      <c r="B361" s="6">
        <v>46427</v>
      </c>
      <c r="C361" t="s">
        <v>20</v>
      </c>
      <c r="D361" t="s">
        <v>11</v>
      </c>
      <c r="K361">
        <v>1</v>
      </c>
      <c r="L361" t="s">
        <v>35</v>
      </c>
    </row>
    <row r="362" spans="1:12" x14ac:dyDescent="0.25">
      <c r="A362" t="s">
        <v>439</v>
      </c>
      <c r="B362" s="6">
        <v>46431</v>
      </c>
      <c r="C362" t="s">
        <v>0</v>
      </c>
      <c r="D362" t="s">
        <v>4</v>
      </c>
      <c r="K362">
        <v>1</v>
      </c>
      <c r="L362" t="s">
        <v>35</v>
      </c>
    </row>
    <row r="363" spans="1:12" x14ac:dyDescent="0.25">
      <c r="A363" t="s">
        <v>440</v>
      </c>
      <c r="B363" s="6">
        <v>46431</v>
      </c>
      <c r="C363" t="s">
        <v>2</v>
      </c>
      <c r="D363" t="s">
        <v>17</v>
      </c>
      <c r="K363">
        <v>1</v>
      </c>
      <c r="L363" t="s">
        <v>35</v>
      </c>
    </row>
    <row r="364" spans="1:12" x14ac:dyDescent="0.25">
      <c r="A364" t="s">
        <v>441</v>
      </c>
      <c r="B364" s="6">
        <v>46431</v>
      </c>
      <c r="C364" t="s">
        <v>6</v>
      </c>
      <c r="D364" t="s">
        <v>5</v>
      </c>
      <c r="K364">
        <v>1</v>
      </c>
      <c r="L364" t="s">
        <v>35</v>
      </c>
    </row>
    <row r="365" spans="1:12" x14ac:dyDescent="0.25">
      <c r="A365" t="s">
        <v>442</v>
      </c>
      <c r="B365" s="6">
        <v>46431</v>
      </c>
      <c r="C365" t="s">
        <v>10</v>
      </c>
      <c r="D365" t="s">
        <v>11</v>
      </c>
      <c r="K365">
        <v>1</v>
      </c>
      <c r="L365" t="s">
        <v>35</v>
      </c>
    </row>
    <row r="366" spans="1:12" x14ac:dyDescent="0.25">
      <c r="A366" t="s">
        <v>443</v>
      </c>
      <c r="B366" s="6">
        <v>46431</v>
      </c>
      <c r="C366" t="s">
        <v>12</v>
      </c>
      <c r="D366" t="s">
        <v>3</v>
      </c>
      <c r="K366">
        <v>1</v>
      </c>
      <c r="L366" t="s">
        <v>35</v>
      </c>
    </row>
    <row r="367" spans="1:12" x14ac:dyDescent="0.25">
      <c r="A367" t="s">
        <v>444</v>
      </c>
      <c r="B367" s="6">
        <v>46431</v>
      </c>
      <c r="C367" t="s">
        <v>33</v>
      </c>
      <c r="D367" t="s">
        <v>22</v>
      </c>
      <c r="K367">
        <v>1</v>
      </c>
      <c r="L367" t="s">
        <v>35</v>
      </c>
    </row>
    <row r="368" spans="1:12" x14ac:dyDescent="0.25">
      <c r="A368" t="s">
        <v>445</v>
      </c>
      <c r="B368" s="6">
        <v>46431</v>
      </c>
      <c r="C368" t="s">
        <v>13</v>
      </c>
      <c r="D368" t="s">
        <v>8</v>
      </c>
      <c r="K368">
        <v>1</v>
      </c>
      <c r="L368" t="s">
        <v>35</v>
      </c>
    </row>
    <row r="369" spans="1:12" x14ac:dyDescent="0.25">
      <c r="A369" t="s">
        <v>446</v>
      </c>
      <c r="B369" s="6">
        <v>46431</v>
      </c>
      <c r="C369" t="s">
        <v>14</v>
      </c>
      <c r="D369" t="s">
        <v>9</v>
      </c>
      <c r="K369">
        <v>1</v>
      </c>
      <c r="L369" t="s">
        <v>35</v>
      </c>
    </row>
    <row r="370" spans="1:12" x14ac:dyDescent="0.25">
      <c r="A370" t="s">
        <v>447</v>
      </c>
      <c r="B370" s="6">
        <v>46431</v>
      </c>
      <c r="C370" t="s">
        <v>16</v>
      </c>
      <c r="D370" t="s">
        <v>7</v>
      </c>
      <c r="K370">
        <v>1</v>
      </c>
      <c r="L370" t="s">
        <v>35</v>
      </c>
    </row>
    <row r="371" spans="1:12" x14ac:dyDescent="0.25">
      <c r="A371" t="s">
        <v>448</v>
      </c>
      <c r="B371" s="6">
        <v>46431</v>
      </c>
      <c r="C371" t="s">
        <v>18</v>
      </c>
      <c r="D371" t="s">
        <v>15</v>
      </c>
      <c r="K371">
        <v>1</v>
      </c>
      <c r="L371" t="s">
        <v>35</v>
      </c>
    </row>
    <row r="372" spans="1:12" x14ac:dyDescent="0.25">
      <c r="A372" t="s">
        <v>449</v>
      </c>
      <c r="B372" s="6">
        <v>46431</v>
      </c>
      <c r="C372" t="s">
        <v>19</v>
      </c>
      <c r="D372" t="s">
        <v>1</v>
      </c>
      <c r="K372">
        <v>1</v>
      </c>
      <c r="L372" t="s">
        <v>35</v>
      </c>
    </row>
    <row r="373" spans="1:12" x14ac:dyDescent="0.25">
      <c r="A373" t="s">
        <v>450</v>
      </c>
      <c r="B373" s="6">
        <v>46431</v>
      </c>
      <c r="C373" t="s">
        <v>20</v>
      </c>
      <c r="D373" t="s">
        <v>21</v>
      </c>
      <c r="K373">
        <v>1</v>
      </c>
      <c r="L373" t="s">
        <v>35</v>
      </c>
    </row>
    <row r="374" spans="1:12" x14ac:dyDescent="0.25">
      <c r="A374" t="s">
        <v>451</v>
      </c>
      <c r="B374" s="6">
        <v>46438</v>
      </c>
      <c r="C374" t="s">
        <v>1</v>
      </c>
      <c r="D374" t="s">
        <v>16</v>
      </c>
      <c r="K374">
        <v>1</v>
      </c>
      <c r="L374" t="s">
        <v>35</v>
      </c>
    </row>
    <row r="375" spans="1:12" x14ac:dyDescent="0.25">
      <c r="A375" t="s">
        <v>452</v>
      </c>
      <c r="B375" s="6">
        <v>46438</v>
      </c>
      <c r="C375" t="s">
        <v>3</v>
      </c>
      <c r="D375" t="s">
        <v>13</v>
      </c>
      <c r="K375">
        <v>1</v>
      </c>
      <c r="L375" t="s">
        <v>35</v>
      </c>
    </row>
    <row r="376" spans="1:12" x14ac:dyDescent="0.25">
      <c r="A376" t="s">
        <v>453</v>
      </c>
      <c r="B376" s="6">
        <v>46438</v>
      </c>
      <c r="C376" t="s">
        <v>4</v>
      </c>
      <c r="D376" t="s">
        <v>2</v>
      </c>
      <c r="K376">
        <v>1</v>
      </c>
      <c r="L376" t="s">
        <v>35</v>
      </c>
    </row>
    <row r="377" spans="1:12" x14ac:dyDescent="0.25">
      <c r="A377" t="s">
        <v>454</v>
      </c>
      <c r="B377" s="6">
        <v>46438</v>
      </c>
      <c r="C377" t="s">
        <v>5</v>
      </c>
      <c r="D377" t="s">
        <v>14</v>
      </c>
      <c r="K377">
        <v>1</v>
      </c>
      <c r="L377" t="s">
        <v>35</v>
      </c>
    </row>
    <row r="378" spans="1:12" x14ac:dyDescent="0.25">
      <c r="A378" t="s">
        <v>455</v>
      </c>
      <c r="B378" s="6">
        <v>46438</v>
      </c>
      <c r="C378" t="s">
        <v>7</v>
      </c>
      <c r="D378" t="s">
        <v>0</v>
      </c>
      <c r="K378">
        <v>1</v>
      </c>
      <c r="L378" t="s">
        <v>35</v>
      </c>
    </row>
    <row r="379" spans="1:12" x14ac:dyDescent="0.25">
      <c r="A379" t="s">
        <v>456</v>
      </c>
      <c r="B379" s="6">
        <v>46438</v>
      </c>
      <c r="C379" t="s">
        <v>8</v>
      </c>
      <c r="D379" t="s">
        <v>12</v>
      </c>
      <c r="K379">
        <v>1</v>
      </c>
      <c r="L379" t="s">
        <v>35</v>
      </c>
    </row>
    <row r="380" spans="1:12" x14ac:dyDescent="0.25">
      <c r="A380" t="s">
        <v>457</v>
      </c>
      <c r="B380" s="6">
        <v>46438</v>
      </c>
      <c r="C380" t="s">
        <v>9</v>
      </c>
      <c r="D380" t="s">
        <v>20</v>
      </c>
      <c r="K380">
        <v>1</v>
      </c>
      <c r="L380" t="s">
        <v>35</v>
      </c>
    </row>
    <row r="381" spans="1:12" x14ac:dyDescent="0.25">
      <c r="A381" t="s">
        <v>458</v>
      </c>
      <c r="B381" s="6">
        <v>46438</v>
      </c>
      <c r="C381" t="s">
        <v>11</v>
      </c>
      <c r="D381" t="s">
        <v>19</v>
      </c>
      <c r="K381">
        <v>1</v>
      </c>
      <c r="L381" t="s">
        <v>35</v>
      </c>
    </row>
    <row r="382" spans="1:12" x14ac:dyDescent="0.25">
      <c r="A382" t="s">
        <v>459</v>
      </c>
      <c r="B382" s="6">
        <v>46438</v>
      </c>
      <c r="C382" t="s">
        <v>15</v>
      </c>
      <c r="D382" t="s">
        <v>33</v>
      </c>
      <c r="K382">
        <v>1</v>
      </c>
      <c r="L382" t="s">
        <v>35</v>
      </c>
    </row>
    <row r="383" spans="1:12" x14ac:dyDescent="0.25">
      <c r="A383" t="s">
        <v>460</v>
      </c>
      <c r="B383" s="6">
        <v>46438</v>
      </c>
      <c r="C383" t="s">
        <v>17</v>
      </c>
      <c r="D383" t="s">
        <v>6</v>
      </c>
      <c r="K383">
        <v>1</v>
      </c>
      <c r="L383" t="s">
        <v>35</v>
      </c>
    </row>
    <row r="384" spans="1:12" x14ac:dyDescent="0.25">
      <c r="A384" t="s">
        <v>461</v>
      </c>
      <c r="B384" s="6">
        <v>46438</v>
      </c>
      <c r="C384" t="s">
        <v>21</v>
      </c>
      <c r="D384" t="s">
        <v>18</v>
      </c>
      <c r="K384">
        <v>1</v>
      </c>
      <c r="L384" t="s">
        <v>35</v>
      </c>
    </row>
    <row r="385" spans="1:12" x14ac:dyDescent="0.25">
      <c r="A385" t="s">
        <v>462</v>
      </c>
      <c r="B385" s="6">
        <v>46438</v>
      </c>
      <c r="C385" t="s">
        <v>22</v>
      </c>
      <c r="D385" t="s">
        <v>10</v>
      </c>
      <c r="K385">
        <v>1</v>
      </c>
      <c r="L385" t="s">
        <v>35</v>
      </c>
    </row>
    <row r="386" spans="1:12" x14ac:dyDescent="0.25">
      <c r="A386" t="s">
        <v>463</v>
      </c>
      <c r="B386" s="6">
        <v>46445</v>
      </c>
      <c r="C386" t="s">
        <v>1</v>
      </c>
      <c r="D386" t="s">
        <v>21</v>
      </c>
      <c r="K386">
        <v>1</v>
      </c>
      <c r="L386" t="s">
        <v>35</v>
      </c>
    </row>
    <row r="387" spans="1:12" x14ac:dyDescent="0.25">
      <c r="A387" t="s">
        <v>464</v>
      </c>
      <c r="B387" s="6">
        <v>46445</v>
      </c>
      <c r="C387" t="s">
        <v>2</v>
      </c>
      <c r="D387" t="s">
        <v>0</v>
      </c>
      <c r="K387">
        <v>1</v>
      </c>
      <c r="L387" t="s">
        <v>35</v>
      </c>
    </row>
    <row r="388" spans="1:12" x14ac:dyDescent="0.25">
      <c r="A388" t="s">
        <v>465</v>
      </c>
      <c r="B388" s="6">
        <v>46445</v>
      </c>
      <c r="C388" t="s">
        <v>3</v>
      </c>
      <c r="D388" t="s">
        <v>9</v>
      </c>
      <c r="K388">
        <v>1</v>
      </c>
      <c r="L388" t="s">
        <v>35</v>
      </c>
    </row>
    <row r="389" spans="1:12" x14ac:dyDescent="0.25">
      <c r="A389" t="s">
        <v>466</v>
      </c>
      <c r="B389" s="6">
        <v>46445</v>
      </c>
      <c r="C389" t="s">
        <v>5</v>
      </c>
      <c r="D389" t="s">
        <v>33</v>
      </c>
      <c r="K389">
        <v>1</v>
      </c>
      <c r="L389" t="s">
        <v>35</v>
      </c>
    </row>
    <row r="390" spans="1:12" x14ac:dyDescent="0.25">
      <c r="A390" t="s">
        <v>467</v>
      </c>
      <c r="B390" s="6">
        <v>46445</v>
      </c>
      <c r="C390" t="s">
        <v>6</v>
      </c>
      <c r="D390" t="s">
        <v>15</v>
      </c>
      <c r="K390">
        <v>1</v>
      </c>
      <c r="L390" t="s">
        <v>35</v>
      </c>
    </row>
    <row r="391" spans="1:12" x14ac:dyDescent="0.25">
      <c r="A391" t="s">
        <v>468</v>
      </c>
      <c r="B391" s="6">
        <v>46445</v>
      </c>
      <c r="C391" t="s">
        <v>8</v>
      </c>
      <c r="D391" t="s">
        <v>22</v>
      </c>
      <c r="K391">
        <v>1</v>
      </c>
      <c r="L391" t="s">
        <v>35</v>
      </c>
    </row>
    <row r="392" spans="1:12" x14ac:dyDescent="0.25">
      <c r="A392" t="s">
        <v>469</v>
      </c>
      <c r="B392" s="6">
        <v>46445</v>
      </c>
      <c r="C392" t="s">
        <v>10</v>
      </c>
      <c r="D392" t="s">
        <v>7</v>
      </c>
      <c r="K392">
        <v>1</v>
      </c>
      <c r="L392" t="s">
        <v>35</v>
      </c>
    </row>
    <row r="393" spans="1:12" x14ac:dyDescent="0.25">
      <c r="A393" t="s">
        <v>470</v>
      </c>
      <c r="B393" s="6">
        <v>46445</v>
      </c>
      <c r="C393" t="s">
        <v>12</v>
      </c>
      <c r="D393" t="s">
        <v>19</v>
      </c>
      <c r="K393">
        <v>1</v>
      </c>
      <c r="L393" t="s">
        <v>35</v>
      </c>
    </row>
    <row r="394" spans="1:12" x14ac:dyDescent="0.25">
      <c r="A394" t="s">
        <v>471</v>
      </c>
      <c r="B394" s="6">
        <v>46445</v>
      </c>
      <c r="C394" t="s">
        <v>13</v>
      </c>
      <c r="D394" t="s">
        <v>4</v>
      </c>
      <c r="K394">
        <v>1</v>
      </c>
      <c r="L394" t="s">
        <v>35</v>
      </c>
    </row>
    <row r="395" spans="1:12" x14ac:dyDescent="0.25">
      <c r="A395" t="s">
        <v>472</v>
      </c>
      <c r="B395" s="6">
        <v>46445</v>
      </c>
      <c r="C395" t="s">
        <v>14</v>
      </c>
      <c r="D395" t="s">
        <v>11</v>
      </c>
      <c r="K395">
        <v>1</v>
      </c>
      <c r="L395" t="s">
        <v>35</v>
      </c>
    </row>
    <row r="396" spans="1:12" x14ac:dyDescent="0.25">
      <c r="A396" t="s">
        <v>473</v>
      </c>
      <c r="B396" s="6">
        <v>46445</v>
      </c>
      <c r="C396" t="s">
        <v>16</v>
      </c>
      <c r="D396" t="s">
        <v>18</v>
      </c>
      <c r="K396">
        <v>1</v>
      </c>
      <c r="L396" t="s">
        <v>35</v>
      </c>
    </row>
    <row r="397" spans="1:12" x14ac:dyDescent="0.25">
      <c r="A397" t="s">
        <v>474</v>
      </c>
      <c r="B397" s="6">
        <v>46445</v>
      </c>
      <c r="C397" t="s">
        <v>17</v>
      </c>
      <c r="D397" t="s">
        <v>20</v>
      </c>
      <c r="K397">
        <v>1</v>
      </c>
      <c r="L397" t="s">
        <v>35</v>
      </c>
    </row>
    <row r="398" spans="1:12" x14ac:dyDescent="0.25">
      <c r="A398" t="s">
        <v>475</v>
      </c>
      <c r="B398" s="6">
        <v>46452</v>
      </c>
      <c r="C398" t="s">
        <v>0</v>
      </c>
      <c r="D398" t="s">
        <v>8</v>
      </c>
      <c r="K398">
        <v>1</v>
      </c>
      <c r="L398" t="s">
        <v>35</v>
      </c>
    </row>
    <row r="399" spans="1:12" x14ac:dyDescent="0.25">
      <c r="A399" t="s">
        <v>476</v>
      </c>
      <c r="B399" s="6">
        <v>46452</v>
      </c>
      <c r="C399" t="s">
        <v>4</v>
      </c>
      <c r="D399" t="s">
        <v>1</v>
      </c>
      <c r="K399">
        <v>1</v>
      </c>
      <c r="L399" t="s">
        <v>35</v>
      </c>
    </row>
    <row r="400" spans="1:12" x14ac:dyDescent="0.25">
      <c r="A400" t="s">
        <v>477</v>
      </c>
      <c r="B400" s="6">
        <v>46452</v>
      </c>
      <c r="C400" t="s">
        <v>7</v>
      </c>
      <c r="D400" t="s">
        <v>12</v>
      </c>
      <c r="K400">
        <v>1</v>
      </c>
      <c r="L400" t="s">
        <v>35</v>
      </c>
    </row>
    <row r="401" spans="1:12" x14ac:dyDescent="0.25">
      <c r="A401" t="s">
        <v>478</v>
      </c>
      <c r="B401" s="6">
        <v>46452</v>
      </c>
      <c r="C401" t="s">
        <v>9</v>
      </c>
      <c r="D401" t="s">
        <v>13</v>
      </c>
      <c r="K401">
        <v>1</v>
      </c>
      <c r="L401" t="s">
        <v>35</v>
      </c>
    </row>
    <row r="402" spans="1:12" x14ac:dyDescent="0.25">
      <c r="A402" t="s">
        <v>479</v>
      </c>
      <c r="B402" s="6">
        <v>46452</v>
      </c>
      <c r="C402" t="s">
        <v>11</v>
      </c>
      <c r="D402" t="s">
        <v>17</v>
      </c>
      <c r="K402">
        <v>1</v>
      </c>
      <c r="L402" t="s">
        <v>35</v>
      </c>
    </row>
    <row r="403" spans="1:12" x14ac:dyDescent="0.25">
      <c r="A403" t="s">
        <v>480</v>
      </c>
      <c r="B403" s="6">
        <v>46452</v>
      </c>
      <c r="C403" t="s">
        <v>33</v>
      </c>
      <c r="D403" t="s">
        <v>14</v>
      </c>
      <c r="K403">
        <v>1</v>
      </c>
      <c r="L403" t="s">
        <v>35</v>
      </c>
    </row>
    <row r="404" spans="1:12" x14ac:dyDescent="0.25">
      <c r="A404" t="s">
        <v>481</v>
      </c>
      <c r="B404" s="6">
        <v>46452</v>
      </c>
      <c r="C404" t="s">
        <v>15</v>
      </c>
      <c r="D404" t="s">
        <v>3</v>
      </c>
      <c r="K404">
        <v>1</v>
      </c>
      <c r="L404" t="s">
        <v>35</v>
      </c>
    </row>
    <row r="405" spans="1:12" x14ac:dyDescent="0.25">
      <c r="A405" t="s">
        <v>482</v>
      </c>
      <c r="B405" s="6">
        <v>46452</v>
      </c>
      <c r="C405" t="s">
        <v>18</v>
      </c>
      <c r="D405" t="s">
        <v>10</v>
      </c>
      <c r="K405">
        <v>1</v>
      </c>
      <c r="L405" t="s">
        <v>35</v>
      </c>
    </row>
    <row r="406" spans="1:12" x14ac:dyDescent="0.25">
      <c r="A406" t="s">
        <v>483</v>
      </c>
      <c r="B406" s="6">
        <v>46452</v>
      </c>
      <c r="C406" t="s">
        <v>19</v>
      </c>
      <c r="D406" t="s">
        <v>5</v>
      </c>
      <c r="K406">
        <v>1</v>
      </c>
      <c r="L406" t="s">
        <v>35</v>
      </c>
    </row>
    <row r="407" spans="1:12" x14ac:dyDescent="0.25">
      <c r="A407" t="s">
        <v>484</v>
      </c>
      <c r="B407" s="6">
        <v>46452</v>
      </c>
      <c r="C407" t="s">
        <v>20</v>
      </c>
      <c r="D407" t="s">
        <v>16</v>
      </c>
      <c r="K407">
        <v>1</v>
      </c>
      <c r="L407" t="s">
        <v>35</v>
      </c>
    </row>
    <row r="408" spans="1:12" x14ac:dyDescent="0.25">
      <c r="A408" t="s">
        <v>485</v>
      </c>
      <c r="B408" s="6">
        <v>46452</v>
      </c>
      <c r="C408" t="s">
        <v>21</v>
      </c>
      <c r="D408" t="s">
        <v>6</v>
      </c>
      <c r="K408">
        <v>1</v>
      </c>
      <c r="L408" t="s">
        <v>35</v>
      </c>
    </row>
    <row r="409" spans="1:12" x14ac:dyDescent="0.25">
      <c r="A409" t="s">
        <v>486</v>
      </c>
      <c r="B409" s="6">
        <v>46452</v>
      </c>
      <c r="C409" t="s">
        <v>22</v>
      </c>
      <c r="D409" t="s">
        <v>2</v>
      </c>
      <c r="K409">
        <v>1</v>
      </c>
      <c r="L409" t="s">
        <v>35</v>
      </c>
    </row>
    <row r="410" spans="1:12" x14ac:dyDescent="0.25">
      <c r="A410" t="s">
        <v>487</v>
      </c>
      <c r="B410" s="6">
        <v>46459</v>
      </c>
      <c r="C410" t="s">
        <v>1</v>
      </c>
      <c r="D410" t="s">
        <v>7</v>
      </c>
      <c r="K410">
        <v>1</v>
      </c>
      <c r="L410" t="s">
        <v>35</v>
      </c>
    </row>
    <row r="411" spans="1:12" x14ac:dyDescent="0.25">
      <c r="A411" t="s">
        <v>488</v>
      </c>
      <c r="B411" s="6">
        <v>46459</v>
      </c>
      <c r="C411" t="s">
        <v>2</v>
      </c>
      <c r="D411" t="s">
        <v>20</v>
      </c>
      <c r="K411">
        <v>1</v>
      </c>
      <c r="L411" t="s">
        <v>35</v>
      </c>
    </row>
    <row r="412" spans="1:12" x14ac:dyDescent="0.25">
      <c r="A412" t="s">
        <v>489</v>
      </c>
      <c r="B412" s="6">
        <v>46459</v>
      </c>
      <c r="C412" t="s">
        <v>3</v>
      </c>
      <c r="D412" t="s">
        <v>18</v>
      </c>
      <c r="K412">
        <v>1</v>
      </c>
      <c r="L412" t="s">
        <v>35</v>
      </c>
    </row>
    <row r="413" spans="1:12" x14ac:dyDescent="0.25">
      <c r="A413" t="s">
        <v>490</v>
      </c>
      <c r="B413" s="6">
        <v>46459</v>
      </c>
      <c r="C413" t="s">
        <v>5</v>
      </c>
      <c r="D413" t="s">
        <v>9</v>
      </c>
      <c r="K413">
        <v>1</v>
      </c>
      <c r="L413" t="s">
        <v>35</v>
      </c>
    </row>
    <row r="414" spans="1:12" x14ac:dyDescent="0.25">
      <c r="A414" t="s">
        <v>491</v>
      </c>
      <c r="B414" s="6">
        <v>46459</v>
      </c>
      <c r="C414" t="s">
        <v>6</v>
      </c>
      <c r="D414" t="s">
        <v>4</v>
      </c>
      <c r="K414">
        <v>1</v>
      </c>
      <c r="L414" t="s">
        <v>35</v>
      </c>
    </row>
    <row r="415" spans="1:12" x14ac:dyDescent="0.25">
      <c r="A415" t="s">
        <v>492</v>
      </c>
      <c r="B415" s="6">
        <v>46459</v>
      </c>
      <c r="C415" t="s">
        <v>8</v>
      </c>
      <c r="D415" t="s">
        <v>33</v>
      </c>
      <c r="K415">
        <v>1</v>
      </c>
      <c r="L415" t="s">
        <v>35</v>
      </c>
    </row>
    <row r="416" spans="1:12" x14ac:dyDescent="0.25">
      <c r="A416" t="s">
        <v>493</v>
      </c>
      <c r="B416" s="6">
        <v>46459</v>
      </c>
      <c r="C416" t="s">
        <v>10</v>
      </c>
      <c r="D416" t="s">
        <v>21</v>
      </c>
      <c r="K416">
        <v>1</v>
      </c>
      <c r="L416" t="s">
        <v>35</v>
      </c>
    </row>
    <row r="417" spans="1:12" x14ac:dyDescent="0.25">
      <c r="A417" t="s">
        <v>494</v>
      </c>
      <c r="B417" s="6">
        <v>46459</v>
      </c>
      <c r="C417" t="s">
        <v>12</v>
      </c>
      <c r="D417" t="s">
        <v>15</v>
      </c>
      <c r="K417">
        <v>1</v>
      </c>
      <c r="L417" t="s">
        <v>35</v>
      </c>
    </row>
    <row r="418" spans="1:12" x14ac:dyDescent="0.25">
      <c r="A418" t="s">
        <v>495</v>
      </c>
      <c r="B418" s="6">
        <v>46459</v>
      </c>
      <c r="C418" t="s">
        <v>13</v>
      </c>
      <c r="D418" t="s">
        <v>11</v>
      </c>
      <c r="K418">
        <v>1</v>
      </c>
      <c r="L418" t="s">
        <v>35</v>
      </c>
    </row>
    <row r="419" spans="1:12" x14ac:dyDescent="0.25">
      <c r="A419" t="s">
        <v>496</v>
      </c>
      <c r="B419" s="6">
        <v>46459</v>
      </c>
      <c r="C419" t="s">
        <v>14</v>
      </c>
      <c r="D419" t="s">
        <v>19</v>
      </c>
      <c r="K419">
        <v>1</v>
      </c>
      <c r="L419" t="s">
        <v>35</v>
      </c>
    </row>
    <row r="420" spans="1:12" x14ac:dyDescent="0.25">
      <c r="A420" t="s">
        <v>497</v>
      </c>
      <c r="B420" s="6">
        <v>46459</v>
      </c>
      <c r="C420" t="s">
        <v>16</v>
      </c>
      <c r="D420" t="s">
        <v>22</v>
      </c>
      <c r="K420">
        <v>1</v>
      </c>
      <c r="L420" t="s">
        <v>35</v>
      </c>
    </row>
    <row r="421" spans="1:12" x14ac:dyDescent="0.25">
      <c r="A421" t="s">
        <v>498</v>
      </c>
      <c r="B421" s="6">
        <v>46459</v>
      </c>
      <c r="C421" t="s">
        <v>17</v>
      </c>
      <c r="D421" t="s">
        <v>0</v>
      </c>
      <c r="K421">
        <v>1</v>
      </c>
      <c r="L421" t="s">
        <v>35</v>
      </c>
    </row>
    <row r="422" spans="1:12" x14ac:dyDescent="0.25">
      <c r="A422" t="s">
        <v>499</v>
      </c>
      <c r="B422" s="6">
        <v>46466</v>
      </c>
      <c r="C422" t="s">
        <v>0</v>
      </c>
      <c r="D422" t="s">
        <v>10</v>
      </c>
      <c r="K422">
        <v>1</v>
      </c>
      <c r="L422" t="s">
        <v>35</v>
      </c>
    </row>
    <row r="423" spans="1:12" x14ac:dyDescent="0.25">
      <c r="A423" t="s">
        <v>500</v>
      </c>
      <c r="B423" s="6">
        <v>46466</v>
      </c>
      <c r="C423" t="s">
        <v>4</v>
      </c>
      <c r="D423" t="s">
        <v>17</v>
      </c>
      <c r="K423">
        <v>1</v>
      </c>
      <c r="L423" t="s">
        <v>35</v>
      </c>
    </row>
    <row r="424" spans="1:12" x14ac:dyDescent="0.25">
      <c r="A424" t="s">
        <v>501</v>
      </c>
      <c r="B424" s="6">
        <v>46466</v>
      </c>
      <c r="C424" t="s">
        <v>7</v>
      </c>
      <c r="D424" t="s">
        <v>3</v>
      </c>
      <c r="K424">
        <v>1</v>
      </c>
      <c r="L424" t="s">
        <v>35</v>
      </c>
    </row>
    <row r="425" spans="1:12" x14ac:dyDescent="0.25">
      <c r="A425" t="s">
        <v>502</v>
      </c>
      <c r="B425" s="6">
        <v>46466</v>
      </c>
      <c r="C425" t="s">
        <v>9</v>
      </c>
      <c r="D425" t="s">
        <v>8</v>
      </c>
      <c r="K425">
        <v>1</v>
      </c>
      <c r="L425" t="s">
        <v>35</v>
      </c>
    </row>
    <row r="426" spans="1:12" x14ac:dyDescent="0.25">
      <c r="A426" t="s">
        <v>503</v>
      </c>
      <c r="B426" s="6">
        <v>46466</v>
      </c>
      <c r="C426" t="s">
        <v>11</v>
      </c>
      <c r="D426" t="s">
        <v>5</v>
      </c>
      <c r="K426">
        <v>1</v>
      </c>
      <c r="L426" t="s">
        <v>35</v>
      </c>
    </row>
    <row r="427" spans="1:12" x14ac:dyDescent="0.25">
      <c r="A427" t="s">
        <v>504</v>
      </c>
      <c r="B427" s="6">
        <v>46466</v>
      </c>
      <c r="C427" t="s">
        <v>33</v>
      </c>
      <c r="D427" t="s">
        <v>12</v>
      </c>
      <c r="K427">
        <v>1</v>
      </c>
      <c r="L427" t="s">
        <v>35</v>
      </c>
    </row>
    <row r="428" spans="1:12" x14ac:dyDescent="0.25">
      <c r="A428" t="s">
        <v>505</v>
      </c>
      <c r="B428" s="6">
        <v>46466</v>
      </c>
      <c r="C428" t="s">
        <v>15</v>
      </c>
      <c r="D428" t="s">
        <v>16</v>
      </c>
      <c r="K428">
        <v>1</v>
      </c>
      <c r="L428" t="s">
        <v>35</v>
      </c>
    </row>
    <row r="429" spans="1:12" x14ac:dyDescent="0.25">
      <c r="A429" t="s">
        <v>506</v>
      </c>
      <c r="B429" s="6">
        <v>46466</v>
      </c>
      <c r="C429" t="s">
        <v>18</v>
      </c>
      <c r="D429" t="s">
        <v>1</v>
      </c>
      <c r="K429">
        <v>1</v>
      </c>
      <c r="L429" t="s">
        <v>35</v>
      </c>
    </row>
    <row r="430" spans="1:12" x14ac:dyDescent="0.25">
      <c r="A430" t="s">
        <v>507</v>
      </c>
      <c r="B430" s="6">
        <v>46466</v>
      </c>
      <c r="C430" t="s">
        <v>19</v>
      </c>
      <c r="D430" t="s">
        <v>13</v>
      </c>
      <c r="K430">
        <v>1</v>
      </c>
      <c r="L430" t="s">
        <v>35</v>
      </c>
    </row>
    <row r="431" spans="1:12" x14ac:dyDescent="0.25">
      <c r="A431" t="s">
        <v>508</v>
      </c>
      <c r="B431" s="6">
        <v>46466</v>
      </c>
      <c r="C431" t="s">
        <v>20</v>
      </c>
      <c r="D431" t="s">
        <v>6</v>
      </c>
      <c r="K431">
        <v>1</v>
      </c>
      <c r="L431" t="s">
        <v>35</v>
      </c>
    </row>
    <row r="432" spans="1:12" x14ac:dyDescent="0.25">
      <c r="A432" t="s">
        <v>509</v>
      </c>
      <c r="B432" s="6">
        <v>46466</v>
      </c>
      <c r="C432" t="s">
        <v>21</v>
      </c>
      <c r="D432" t="s">
        <v>2</v>
      </c>
      <c r="K432">
        <v>1</v>
      </c>
      <c r="L432" t="s">
        <v>35</v>
      </c>
    </row>
    <row r="433" spans="1:12" x14ac:dyDescent="0.25">
      <c r="A433" t="s">
        <v>510</v>
      </c>
      <c r="B433" s="6">
        <v>46466</v>
      </c>
      <c r="C433" t="s">
        <v>22</v>
      </c>
      <c r="D433" t="s">
        <v>14</v>
      </c>
      <c r="K433">
        <v>1</v>
      </c>
      <c r="L433" t="s">
        <v>35</v>
      </c>
    </row>
    <row r="434" spans="1:12" x14ac:dyDescent="0.25">
      <c r="A434" t="s">
        <v>511</v>
      </c>
      <c r="B434" s="6">
        <v>46472</v>
      </c>
      <c r="C434" t="s">
        <v>3</v>
      </c>
      <c r="D434" t="s">
        <v>21</v>
      </c>
      <c r="K434">
        <v>1</v>
      </c>
      <c r="L434" t="s">
        <v>35</v>
      </c>
    </row>
    <row r="435" spans="1:12" x14ac:dyDescent="0.25">
      <c r="A435" t="s">
        <v>512</v>
      </c>
      <c r="B435" s="6">
        <v>46472</v>
      </c>
      <c r="C435" t="s">
        <v>5</v>
      </c>
      <c r="D435" t="s">
        <v>20</v>
      </c>
      <c r="K435">
        <v>1</v>
      </c>
      <c r="L435" t="s">
        <v>35</v>
      </c>
    </row>
    <row r="436" spans="1:12" x14ac:dyDescent="0.25">
      <c r="A436" t="s">
        <v>513</v>
      </c>
      <c r="B436" s="6">
        <v>46472</v>
      </c>
      <c r="C436" t="s">
        <v>7</v>
      </c>
      <c r="D436" t="s">
        <v>2</v>
      </c>
      <c r="K436">
        <v>1</v>
      </c>
      <c r="L436" t="s">
        <v>35</v>
      </c>
    </row>
    <row r="437" spans="1:12" x14ac:dyDescent="0.25">
      <c r="A437" t="s">
        <v>514</v>
      </c>
      <c r="B437" s="6">
        <v>46472</v>
      </c>
      <c r="C437" t="s">
        <v>8</v>
      </c>
      <c r="D437" t="s">
        <v>17</v>
      </c>
      <c r="K437">
        <v>1</v>
      </c>
      <c r="L437" t="s">
        <v>35</v>
      </c>
    </row>
    <row r="438" spans="1:12" x14ac:dyDescent="0.25">
      <c r="A438" t="s">
        <v>515</v>
      </c>
      <c r="B438" s="6">
        <v>46472</v>
      </c>
      <c r="C438" t="s">
        <v>9</v>
      </c>
      <c r="D438" t="s">
        <v>22</v>
      </c>
      <c r="K438">
        <v>1</v>
      </c>
      <c r="L438" t="s">
        <v>35</v>
      </c>
    </row>
    <row r="439" spans="1:12" x14ac:dyDescent="0.25">
      <c r="A439" t="s">
        <v>516</v>
      </c>
      <c r="B439" s="6">
        <v>46472</v>
      </c>
      <c r="C439" t="s">
        <v>11</v>
      </c>
      <c r="D439" t="s">
        <v>16</v>
      </c>
      <c r="K439">
        <v>1</v>
      </c>
      <c r="L439" t="s">
        <v>35</v>
      </c>
    </row>
    <row r="440" spans="1:12" x14ac:dyDescent="0.25">
      <c r="A440" t="s">
        <v>517</v>
      </c>
      <c r="B440" s="6">
        <v>46472</v>
      </c>
      <c r="C440" t="s">
        <v>12</v>
      </c>
      <c r="D440" t="s">
        <v>6</v>
      </c>
      <c r="K440">
        <v>1</v>
      </c>
      <c r="L440" t="s">
        <v>35</v>
      </c>
    </row>
    <row r="441" spans="1:12" x14ac:dyDescent="0.25">
      <c r="A441" t="s">
        <v>518</v>
      </c>
      <c r="B441" s="6">
        <v>46472</v>
      </c>
      <c r="C441" t="s">
        <v>33</v>
      </c>
      <c r="D441" t="s">
        <v>18</v>
      </c>
      <c r="K441">
        <v>1</v>
      </c>
      <c r="L441" t="s">
        <v>35</v>
      </c>
    </row>
    <row r="442" spans="1:12" x14ac:dyDescent="0.25">
      <c r="A442" t="s">
        <v>519</v>
      </c>
      <c r="B442" s="6">
        <v>46472</v>
      </c>
      <c r="C442" t="s">
        <v>13</v>
      </c>
      <c r="D442" t="s">
        <v>1</v>
      </c>
      <c r="K442">
        <v>1</v>
      </c>
      <c r="L442" t="s">
        <v>35</v>
      </c>
    </row>
    <row r="443" spans="1:12" x14ac:dyDescent="0.25">
      <c r="A443" t="s">
        <v>520</v>
      </c>
      <c r="B443" s="6">
        <v>46472</v>
      </c>
      <c r="C443" t="s">
        <v>14</v>
      </c>
      <c r="D443" t="s">
        <v>10</v>
      </c>
      <c r="K443">
        <v>1</v>
      </c>
      <c r="L443" t="s">
        <v>35</v>
      </c>
    </row>
    <row r="444" spans="1:12" x14ac:dyDescent="0.25">
      <c r="A444" t="s">
        <v>521</v>
      </c>
      <c r="B444" s="6">
        <v>46472</v>
      </c>
      <c r="C444" t="s">
        <v>15</v>
      </c>
      <c r="D444" t="s">
        <v>0</v>
      </c>
      <c r="K444">
        <v>1</v>
      </c>
      <c r="L444" t="s">
        <v>35</v>
      </c>
    </row>
    <row r="445" spans="1:12" x14ac:dyDescent="0.25">
      <c r="A445" t="s">
        <v>522</v>
      </c>
      <c r="B445" s="6">
        <v>46472</v>
      </c>
      <c r="C445" t="s">
        <v>19</v>
      </c>
      <c r="D445" t="s">
        <v>4</v>
      </c>
      <c r="K445">
        <v>1</v>
      </c>
      <c r="L445" t="s">
        <v>35</v>
      </c>
    </row>
    <row r="446" spans="1:12" x14ac:dyDescent="0.25">
      <c r="A446" t="s">
        <v>523</v>
      </c>
      <c r="B446" s="6">
        <v>46475</v>
      </c>
      <c r="C446" t="s">
        <v>0</v>
      </c>
      <c r="D446" t="s">
        <v>9</v>
      </c>
      <c r="K446">
        <v>1</v>
      </c>
      <c r="L446" t="s">
        <v>35</v>
      </c>
    </row>
    <row r="447" spans="1:12" x14ac:dyDescent="0.25">
      <c r="A447" t="s">
        <v>524</v>
      </c>
      <c r="B447" s="6">
        <v>46475</v>
      </c>
      <c r="C447" t="s">
        <v>1</v>
      </c>
      <c r="D447" t="s">
        <v>12</v>
      </c>
      <c r="K447">
        <v>1</v>
      </c>
      <c r="L447" t="s">
        <v>35</v>
      </c>
    </row>
    <row r="448" spans="1:12" x14ac:dyDescent="0.25">
      <c r="A448" t="s">
        <v>525</v>
      </c>
      <c r="B448" s="6">
        <v>46475</v>
      </c>
      <c r="C448" t="s">
        <v>2</v>
      </c>
      <c r="D448" t="s">
        <v>14</v>
      </c>
      <c r="K448">
        <v>1</v>
      </c>
      <c r="L448" t="s">
        <v>35</v>
      </c>
    </row>
    <row r="449" spans="1:12" x14ac:dyDescent="0.25">
      <c r="A449" t="s">
        <v>526</v>
      </c>
      <c r="B449" s="6">
        <v>46475</v>
      </c>
      <c r="C449" t="s">
        <v>4</v>
      </c>
      <c r="D449" t="s">
        <v>7</v>
      </c>
      <c r="K449">
        <v>1</v>
      </c>
      <c r="L449" t="s">
        <v>35</v>
      </c>
    </row>
    <row r="450" spans="1:12" x14ac:dyDescent="0.25">
      <c r="A450" t="s">
        <v>527</v>
      </c>
      <c r="B450" s="6">
        <v>46475</v>
      </c>
      <c r="C450" t="s">
        <v>6</v>
      </c>
      <c r="D450" t="s">
        <v>33</v>
      </c>
      <c r="K450">
        <v>1</v>
      </c>
      <c r="L450" t="s">
        <v>35</v>
      </c>
    </row>
    <row r="451" spans="1:12" x14ac:dyDescent="0.25">
      <c r="A451" t="s">
        <v>528</v>
      </c>
      <c r="B451" s="6">
        <v>46475</v>
      </c>
      <c r="C451" t="s">
        <v>10</v>
      </c>
      <c r="D451" t="s">
        <v>8</v>
      </c>
      <c r="K451">
        <v>1</v>
      </c>
      <c r="L451" t="s">
        <v>35</v>
      </c>
    </row>
    <row r="452" spans="1:12" x14ac:dyDescent="0.25">
      <c r="A452" t="s">
        <v>529</v>
      </c>
      <c r="B452" s="6">
        <v>46475</v>
      </c>
      <c r="C452" t="s">
        <v>16</v>
      </c>
      <c r="D452" t="s">
        <v>13</v>
      </c>
      <c r="K452">
        <v>1</v>
      </c>
      <c r="L452" t="s">
        <v>35</v>
      </c>
    </row>
    <row r="453" spans="1:12" x14ac:dyDescent="0.25">
      <c r="A453" t="s">
        <v>530</v>
      </c>
      <c r="B453" s="6">
        <v>46475</v>
      </c>
      <c r="C453" t="s">
        <v>17</v>
      </c>
      <c r="D453" t="s">
        <v>19</v>
      </c>
      <c r="K453">
        <v>1</v>
      </c>
      <c r="L453" t="s">
        <v>35</v>
      </c>
    </row>
    <row r="454" spans="1:12" x14ac:dyDescent="0.25">
      <c r="A454" t="s">
        <v>531</v>
      </c>
      <c r="B454" s="6">
        <v>46475</v>
      </c>
      <c r="C454" t="s">
        <v>18</v>
      </c>
      <c r="D454" t="s">
        <v>5</v>
      </c>
      <c r="K454">
        <v>1</v>
      </c>
      <c r="L454" t="s">
        <v>35</v>
      </c>
    </row>
    <row r="455" spans="1:12" x14ac:dyDescent="0.25">
      <c r="A455" t="s">
        <v>532</v>
      </c>
      <c r="B455" s="6">
        <v>46475</v>
      </c>
      <c r="C455" t="s">
        <v>20</v>
      </c>
      <c r="D455" t="s">
        <v>3</v>
      </c>
      <c r="K455">
        <v>1</v>
      </c>
      <c r="L455" t="s">
        <v>35</v>
      </c>
    </row>
    <row r="456" spans="1:12" x14ac:dyDescent="0.25">
      <c r="A456" t="s">
        <v>533</v>
      </c>
      <c r="B456" s="6">
        <v>46475</v>
      </c>
      <c r="C456" t="s">
        <v>21</v>
      </c>
      <c r="D456" t="s">
        <v>11</v>
      </c>
      <c r="K456">
        <v>1</v>
      </c>
      <c r="L456" t="s">
        <v>35</v>
      </c>
    </row>
    <row r="457" spans="1:12" x14ac:dyDescent="0.25">
      <c r="A457" t="s">
        <v>534</v>
      </c>
      <c r="B457" s="6">
        <v>46475</v>
      </c>
      <c r="C457" t="s">
        <v>22</v>
      </c>
      <c r="D457" t="s">
        <v>15</v>
      </c>
      <c r="K457">
        <v>1</v>
      </c>
      <c r="L457" t="s">
        <v>35</v>
      </c>
    </row>
    <row r="458" spans="1:12" x14ac:dyDescent="0.25">
      <c r="A458" t="s">
        <v>535</v>
      </c>
      <c r="B458" s="6">
        <v>46480</v>
      </c>
      <c r="C458" t="s">
        <v>3</v>
      </c>
      <c r="D458" t="s">
        <v>2</v>
      </c>
      <c r="K458">
        <v>1</v>
      </c>
      <c r="L458" t="s">
        <v>35</v>
      </c>
    </row>
    <row r="459" spans="1:12" x14ac:dyDescent="0.25">
      <c r="A459" t="s">
        <v>536</v>
      </c>
      <c r="B459" s="6">
        <v>46480</v>
      </c>
      <c r="C459" t="s">
        <v>5</v>
      </c>
      <c r="D459" t="s">
        <v>1</v>
      </c>
      <c r="K459">
        <v>1</v>
      </c>
      <c r="L459" t="s">
        <v>35</v>
      </c>
    </row>
    <row r="460" spans="1:12" x14ac:dyDescent="0.25">
      <c r="A460" t="s">
        <v>537</v>
      </c>
      <c r="B460" s="6">
        <v>46480</v>
      </c>
      <c r="C460" t="s">
        <v>7</v>
      </c>
      <c r="D460" t="s">
        <v>6</v>
      </c>
      <c r="K460">
        <v>1</v>
      </c>
      <c r="L460" t="s">
        <v>35</v>
      </c>
    </row>
    <row r="461" spans="1:12" x14ac:dyDescent="0.25">
      <c r="A461" t="s">
        <v>538</v>
      </c>
      <c r="B461" s="6">
        <v>46480</v>
      </c>
      <c r="C461" t="s">
        <v>8</v>
      </c>
      <c r="D461" t="s">
        <v>20</v>
      </c>
      <c r="K461">
        <v>1</v>
      </c>
      <c r="L461" t="s">
        <v>35</v>
      </c>
    </row>
    <row r="462" spans="1:12" x14ac:dyDescent="0.25">
      <c r="A462" t="s">
        <v>539</v>
      </c>
      <c r="B462" s="6">
        <v>46480</v>
      </c>
      <c r="C462" t="s">
        <v>9</v>
      </c>
      <c r="D462" t="s">
        <v>10</v>
      </c>
      <c r="K462">
        <v>1</v>
      </c>
      <c r="L462" t="s">
        <v>35</v>
      </c>
    </row>
    <row r="463" spans="1:12" x14ac:dyDescent="0.25">
      <c r="A463" t="s">
        <v>540</v>
      </c>
      <c r="B463" s="6">
        <v>46480</v>
      </c>
      <c r="C463" t="s">
        <v>11</v>
      </c>
      <c r="D463" t="s">
        <v>0</v>
      </c>
      <c r="K463">
        <v>1</v>
      </c>
      <c r="L463" t="s">
        <v>35</v>
      </c>
    </row>
    <row r="464" spans="1:12" x14ac:dyDescent="0.25">
      <c r="A464" t="s">
        <v>541</v>
      </c>
      <c r="B464" s="6">
        <v>46480</v>
      </c>
      <c r="C464" t="s">
        <v>12</v>
      </c>
      <c r="D464" t="s">
        <v>18</v>
      </c>
      <c r="K464">
        <v>1</v>
      </c>
      <c r="L464" t="s">
        <v>35</v>
      </c>
    </row>
    <row r="465" spans="1:12" x14ac:dyDescent="0.25">
      <c r="A465" t="s">
        <v>542</v>
      </c>
      <c r="B465" s="6">
        <v>46480</v>
      </c>
      <c r="C465" t="s">
        <v>33</v>
      </c>
      <c r="D465" t="s">
        <v>16</v>
      </c>
      <c r="K465">
        <v>1</v>
      </c>
      <c r="L465" t="s">
        <v>35</v>
      </c>
    </row>
    <row r="466" spans="1:12" x14ac:dyDescent="0.25">
      <c r="A466" t="s">
        <v>543</v>
      </c>
      <c r="B466" s="6">
        <v>46480</v>
      </c>
      <c r="C466" t="s">
        <v>13</v>
      </c>
      <c r="D466" t="s">
        <v>21</v>
      </c>
      <c r="K466">
        <v>1</v>
      </c>
      <c r="L466" t="s">
        <v>35</v>
      </c>
    </row>
    <row r="467" spans="1:12" x14ac:dyDescent="0.25">
      <c r="A467" t="s">
        <v>544</v>
      </c>
      <c r="B467" s="6">
        <v>46480</v>
      </c>
      <c r="C467" t="s">
        <v>14</v>
      </c>
      <c r="D467" t="s">
        <v>4</v>
      </c>
      <c r="K467">
        <v>1</v>
      </c>
      <c r="L467" t="s">
        <v>35</v>
      </c>
    </row>
    <row r="468" spans="1:12" x14ac:dyDescent="0.25">
      <c r="A468" t="s">
        <v>545</v>
      </c>
      <c r="B468" s="6">
        <v>46480</v>
      </c>
      <c r="C468" t="s">
        <v>15</v>
      </c>
      <c r="D468" t="s">
        <v>17</v>
      </c>
      <c r="K468">
        <v>1</v>
      </c>
      <c r="L468" t="s">
        <v>35</v>
      </c>
    </row>
    <row r="469" spans="1:12" x14ac:dyDescent="0.25">
      <c r="A469" t="s">
        <v>546</v>
      </c>
      <c r="B469" s="6">
        <v>46480</v>
      </c>
      <c r="C469" t="s">
        <v>19</v>
      </c>
      <c r="D469" t="s">
        <v>22</v>
      </c>
      <c r="K469">
        <v>1</v>
      </c>
      <c r="L469" t="s">
        <v>35</v>
      </c>
    </row>
    <row r="470" spans="1:12" x14ac:dyDescent="0.25">
      <c r="A470" t="s">
        <v>547</v>
      </c>
      <c r="B470" s="6">
        <v>46487</v>
      </c>
      <c r="C470" t="s">
        <v>0</v>
      </c>
      <c r="D470" t="s">
        <v>3</v>
      </c>
      <c r="K470">
        <v>1</v>
      </c>
      <c r="L470" t="s">
        <v>35</v>
      </c>
    </row>
    <row r="471" spans="1:12" x14ac:dyDescent="0.25">
      <c r="A471" t="s">
        <v>548</v>
      </c>
      <c r="B471" s="6">
        <v>46487</v>
      </c>
      <c r="C471" t="s">
        <v>1</v>
      </c>
      <c r="D471" t="s">
        <v>15</v>
      </c>
      <c r="K471">
        <v>1</v>
      </c>
      <c r="L471" t="s">
        <v>35</v>
      </c>
    </row>
    <row r="472" spans="1:12" x14ac:dyDescent="0.25">
      <c r="A472" t="s">
        <v>549</v>
      </c>
      <c r="B472" s="6">
        <v>46487</v>
      </c>
      <c r="C472" t="s">
        <v>2</v>
      </c>
      <c r="D472" t="s">
        <v>8</v>
      </c>
      <c r="K472">
        <v>1</v>
      </c>
      <c r="L472" t="s">
        <v>35</v>
      </c>
    </row>
    <row r="473" spans="1:12" x14ac:dyDescent="0.25">
      <c r="A473" t="s">
        <v>550</v>
      </c>
      <c r="B473" s="6">
        <v>46487</v>
      </c>
      <c r="C473" t="s">
        <v>4</v>
      </c>
      <c r="D473" t="s">
        <v>11</v>
      </c>
      <c r="K473">
        <v>1</v>
      </c>
      <c r="L473" t="s">
        <v>35</v>
      </c>
    </row>
    <row r="474" spans="1:12" x14ac:dyDescent="0.25">
      <c r="A474" t="s">
        <v>551</v>
      </c>
      <c r="B474" s="6">
        <v>46487</v>
      </c>
      <c r="C474" t="s">
        <v>6</v>
      </c>
      <c r="D474" t="s">
        <v>13</v>
      </c>
      <c r="K474">
        <v>1</v>
      </c>
      <c r="L474" t="s">
        <v>35</v>
      </c>
    </row>
    <row r="475" spans="1:12" x14ac:dyDescent="0.25">
      <c r="A475" t="s">
        <v>552</v>
      </c>
      <c r="B475" s="6">
        <v>46487</v>
      </c>
      <c r="C475" t="s">
        <v>10</v>
      </c>
      <c r="D475" t="s">
        <v>33</v>
      </c>
      <c r="K475">
        <v>1</v>
      </c>
      <c r="L475" t="s">
        <v>35</v>
      </c>
    </row>
    <row r="476" spans="1:12" x14ac:dyDescent="0.25">
      <c r="A476" t="s">
        <v>553</v>
      </c>
      <c r="B476" s="6">
        <v>46487</v>
      </c>
      <c r="C476" t="s">
        <v>16</v>
      </c>
      <c r="D476" t="s">
        <v>14</v>
      </c>
      <c r="K476">
        <v>1</v>
      </c>
      <c r="L476" t="s">
        <v>35</v>
      </c>
    </row>
    <row r="477" spans="1:12" x14ac:dyDescent="0.25">
      <c r="A477" t="s">
        <v>554</v>
      </c>
      <c r="B477" s="6">
        <v>46487</v>
      </c>
      <c r="C477" t="s">
        <v>17</v>
      </c>
      <c r="D477" t="s">
        <v>5</v>
      </c>
      <c r="K477">
        <v>1</v>
      </c>
      <c r="L477" t="s">
        <v>35</v>
      </c>
    </row>
    <row r="478" spans="1:12" x14ac:dyDescent="0.25">
      <c r="A478" t="s">
        <v>555</v>
      </c>
      <c r="B478" s="6">
        <v>46487</v>
      </c>
      <c r="C478" t="s">
        <v>18</v>
      </c>
      <c r="D478" t="s">
        <v>9</v>
      </c>
      <c r="K478">
        <v>1</v>
      </c>
      <c r="L478" t="s">
        <v>35</v>
      </c>
    </row>
    <row r="479" spans="1:12" x14ac:dyDescent="0.25">
      <c r="A479" t="s">
        <v>556</v>
      </c>
      <c r="B479" s="6">
        <v>46487</v>
      </c>
      <c r="C479" t="s">
        <v>20</v>
      </c>
      <c r="D479" t="s">
        <v>19</v>
      </c>
      <c r="K479">
        <v>1</v>
      </c>
      <c r="L479" t="s">
        <v>35</v>
      </c>
    </row>
    <row r="480" spans="1:12" x14ac:dyDescent="0.25">
      <c r="A480" t="s">
        <v>557</v>
      </c>
      <c r="B480" s="6">
        <v>46487</v>
      </c>
      <c r="C480" t="s">
        <v>21</v>
      </c>
      <c r="D480" t="s">
        <v>7</v>
      </c>
      <c r="K480">
        <v>1</v>
      </c>
      <c r="L480" t="s">
        <v>35</v>
      </c>
    </row>
    <row r="481" spans="1:12" x14ac:dyDescent="0.25">
      <c r="A481" t="s">
        <v>558</v>
      </c>
      <c r="B481" s="6">
        <v>46487</v>
      </c>
      <c r="C481" t="s">
        <v>22</v>
      </c>
      <c r="D481" t="s">
        <v>12</v>
      </c>
      <c r="K481">
        <v>1</v>
      </c>
      <c r="L481" t="s">
        <v>35</v>
      </c>
    </row>
    <row r="482" spans="1:12" x14ac:dyDescent="0.25">
      <c r="A482" t="s">
        <v>559</v>
      </c>
      <c r="B482" s="6">
        <v>46490</v>
      </c>
      <c r="C482" t="s">
        <v>0</v>
      </c>
      <c r="D482" t="s">
        <v>6</v>
      </c>
      <c r="K482">
        <v>1</v>
      </c>
      <c r="L482" t="s">
        <v>35</v>
      </c>
    </row>
    <row r="483" spans="1:12" x14ac:dyDescent="0.25">
      <c r="A483" t="s">
        <v>560</v>
      </c>
      <c r="B483" s="6">
        <v>46490</v>
      </c>
      <c r="C483" t="s">
        <v>1</v>
      </c>
      <c r="D483" t="s">
        <v>3</v>
      </c>
      <c r="K483">
        <v>1</v>
      </c>
      <c r="L483" t="s">
        <v>35</v>
      </c>
    </row>
    <row r="484" spans="1:12" x14ac:dyDescent="0.25">
      <c r="A484" t="s">
        <v>561</v>
      </c>
      <c r="B484" s="6">
        <v>46490</v>
      </c>
      <c r="C484" t="s">
        <v>2</v>
      </c>
      <c r="D484" t="s">
        <v>13</v>
      </c>
      <c r="K484">
        <v>1</v>
      </c>
      <c r="L484" t="s">
        <v>35</v>
      </c>
    </row>
    <row r="485" spans="1:12" x14ac:dyDescent="0.25">
      <c r="A485" t="s">
        <v>562</v>
      </c>
      <c r="B485" s="6">
        <v>46490</v>
      </c>
      <c r="C485" t="s">
        <v>4</v>
      </c>
      <c r="D485" t="s">
        <v>33</v>
      </c>
      <c r="K485">
        <v>1</v>
      </c>
      <c r="L485" t="s">
        <v>35</v>
      </c>
    </row>
    <row r="486" spans="1:12" x14ac:dyDescent="0.25">
      <c r="A486" t="s">
        <v>563</v>
      </c>
      <c r="B486" s="6">
        <v>46490</v>
      </c>
      <c r="C486" t="s">
        <v>5</v>
      </c>
      <c r="D486" t="s">
        <v>16</v>
      </c>
      <c r="K486">
        <v>1</v>
      </c>
      <c r="L486" t="s">
        <v>35</v>
      </c>
    </row>
    <row r="487" spans="1:12" x14ac:dyDescent="0.25">
      <c r="A487" t="s">
        <v>564</v>
      </c>
      <c r="B487" s="6">
        <v>46490</v>
      </c>
      <c r="C487" t="s">
        <v>10</v>
      </c>
      <c r="D487" t="s">
        <v>12</v>
      </c>
      <c r="K487">
        <v>1</v>
      </c>
      <c r="L487" t="s">
        <v>35</v>
      </c>
    </row>
    <row r="488" spans="1:12" x14ac:dyDescent="0.25">
      <c r="A488" t="s">
        <v>565</v>
      </c>
      <c r="B488" s="6">
        <v>46490</v>
      </c>
      <c r="C488" t="s">
        <v>11</v>
      </c>
      <c r="D488" t="s">
        <v>8</v>
      </c>
      <c r="K488">
        <v>1</v>
      </c>
      <c r="L488" t="s">
        <v>35</v>
      </c>
    </row>
    <row r="489" spans="1:12" x14ac:dyDescent="0.25">
      <c r="A489" t="s">
        <v>566</v>
      </c>
      <c r="B489" s="6">
        <v>46490</v>
      </c>
      <c r="C489" t="s">
        <v>14</v>
      </c>
      <c r="D489" t="s">
        <v>7</v>
      </c>
      <c r="K489">
        <v>1</v>
      </c>
      <c r="L489" t="s">
        <v>35</v>
      </c>
    </row>
    <row r="490" spans="1:12" x14ac:dyDescent="0.25">
      <c r="A490" t="s">
        <v>567</v>
      </c>
      <c r="B490" s="6">
        <v>46490</v>
      </c>
      <c r="C490" t="s">
        <v>15</v>
      </c>
      <c r="D490" t="s">
        <v>20</v>
      </c>
      <c r="K490">
        <v>1</v>
      </c>
      <c r="L490" t="s">
        <v>35</v>
      </c>
    </row>
    <row r="491" spans="1:12" x14ac:dyDescent="0.25">
      <c r="A491" t="s">
        <v>568</v>
      </c>
      <c r="B491" s="6">
        <v>46490</v>
      </c>
      <c r="C491" t="s">
        <v>17</v>
      </c>
      <c r="D491" t="s">
        <v>22</v>
      </c>
      <c r="K491">
        <v>1</v>
      </c>
      <c r="L491" t="s">
        <v>35</v>
      </c>
    </row>
    <row r="492" spans="1:12" x14ac:dyDescent="0.25">
      <c r="A492" t="s">
        <v>569</v>
      </c>
      <c r="B492" s="6">
        <v>46490</v>
      </c>
      <c r="C492" t="s">
        <v>18</v>
      </c>
      <c r="D492" t="s">
        <v>19</v>
      </c>
      <c r="K492">
        <v>1</v>
      </c>
      <c r="L492" t="s">
        <v>35</v>
      </c>
    </row>
    <row r="493" spans="1:12" x14ac:dyDescent="0.25">
      <c r="A493" t="s">
        <v>570</v>
      </c>
      <c r="B493" s="6">
        <v>46490</v>
      </c>
      <c r="C493" t="s">
        <v>21</v>
      </c>
      <c r="D493" t="s">
        <v>9</v>
      </c>
      <c r="K493">
        <v>1</v>
      </c>
      <c r="L493" t="s">
        <v>35</v>
      </c>
    </row>
    <row r="494" spans="1:12" x14ac:dyDescent="0.25">
      <c r="A494" t="s">
        <v>571</v>
      </c>
      <c r="B494" s="6">
        <v>46494</v>
      </c>
      <c r="C494" t="s">
        <v>3</v>
      </c>
      <c r="D494" t="s">
        <v>11</v>
      </c>
      <c r="K494">
        <v>1</v>
      </c>
      <c r="L494" t="s">
        <v>35</v>
      </c>
    </row>
    <row r="495" spans="1:12" x14ac:dyDescent="0.25">
      <c r="A495" t="s">
        <v>572</v>
      </c>
      <c r="B495" s="6">
        <v>46494</v>
      </c>
      <c r="C495" t="s">
        <v>6</v>
      </c>
      <c r="D495" t="s">
        <v>14</v>
      </c>
      <c r="K495">
        <v>1</v>
      </c>
      <c r="L495" t="s">
        <v>35</v>
      </c>
    </row>
    <row r="496" spans="1:12" x14ac:dyDescent="0.25">
      <c r="A496" t="s">
        <v>573</v>
      </c>
      <c r="B496" s="6">
        <v>46494</v>
      </c>
      <c r="C496" t="s">
        <v>7</v>
      </c>
      <c r="D496" t="s">
        <v>15</v>
      </c>
      <c r="K496">
        <v>1</v>
      </c>
      <c r="L496" t="s">
        <v>35</v>
      </c>
    </row>
    <row r="497" spans="1:12" x14ac:dyDescent="0.25">
      <c r="A497" t="s">
        <v>574</v>
      </c>
      <c r="B497" s="6">
        <v>46494</v>
      </c>
      <c r="C497" t="s">
        <v>8</v>
      </c>
      <c r="D497" t="s">
        <v>4</v>
      </c>
      <c r="K497">
        <v>1</v>
      </c>
      <c r="L497" t="s">
        <v>35</v>
      </c>
    </row>
    <row r="498" spans="1:12" x14ac:dyDescent="0.25">
      <c r="A498" t="s">
        <v>575</v>
      </c>
      <c r="B498" s="6">
        <v>46494</v>
      </c>
      <c r="C498" t="s">
        <v>9</v>
      </c>
      <c r="D498" t="s">
        <v>1</v>
      </c>
      <c r="K498">
        <v>1</v>
      </c>
      <c r="L498" t="s">
        <v>35</v>
      </c>
    </row>
    <row r="499" spans="1:12" x14ac:dyDescent="0.25">
      <c r="A499" t="s">
        <v>576</v>
      </c>
      <c r="B499" s="6">
        <v>46494</v>
      </c>
      <c r="C499" t="s">
        <v>12</v>
      </c>
      <c r="D499" t="s">
        <v>5</v>
      </c>
      <c r="K499">
        <v>1</v>
      </c>
      <c r="L499" t="s">
        <v>35</v>
      </c>
    </row>
    <row r="500" spans="1:12" x14ac:dyDescent="0.25">
      <c r="A500" t="s">
        <v>577</v>
      </c>
      <c r="B500" s="6">
        <v>46494</v>
      </c>
      <c r="C500" t="s">
        <v>33</v>
      </c>
      <c r="D500" t="s">
        <v>0</v>
      </c>
      <c r="K500">
        <v>1</v>
      </c>
      <c r="L500" t="s">
        <v>35</v>
      </c>
    </row>
    <row r="501" spans="1:12" x14ac:dyDescent="0.25">
      <c r="A501" t="s">
        <v>578</v>
      </c>
      <c r="B501" s="6">
        <v>46494</v>
      </c>
      <c r="C501" t="s">
        <v>13</v>
      </c>
      <c r="D501" t="s">
        <v>17</v>
      </c>
      <c r="K501">
        <v>1</v>
      </c>
      <c r="L501" t="s">
        <v>35</v>
      </c>
    </row>
    <row r="502" spans="1:12" x14ac:dyDescent="0.25">
      <c r="A502" t="s">
        <v>579</v>
      </c>
      <c r="B502" s="6">
        <v>46494</v>
      </c>
      <c r="C502" t="s">
        <v>16</v>
      </c>
      <c r="D502" t="s">
        <v>2</v>
      </c>
      <c r="K502">
        <v>1</v>
      </c>
      <c r="L502" t="s">
        <v>35</v>
      </c>
    </row>
    <row r="503" spans="1:12" x14ac:dyDescent="0.25">
      <c r="A503" t="s">
        <v>580</v>
      </c>
      <c r="B503" s="6">
        <v>46494</v>
      </c>
      <c r="C503" t="s">
        <v>19</v>
      </c>
      <c r="D503" t="s">
        <v>10</v>
      </c>
      <c r="K503">
        <v>1</v>
      </c>
      <c r="L503" t="s">
        <v>35</v>
      </c>
    </row>
    <row r="504" spans="1:12" x14ac:dyDescent="0.25">
      <c r="A504" t="s">
        <v>581</v>
      </c>
      <c r="B504" s="6">
        <v>46494</v>
      </c>
      <c r="C504" t="s">
        <v>20</v>
      </c>
      <c r="D504" t="s">
        <v>18</v>
      </c>
      <c r="K504">
        <v>1</v>
      </c>
      <c r="L504" t="s">
        <v>35</v>
      </c>
    </row>
    <row r="505" spans="1:12" x14ac:dyDescent="0.25">
      <c r="A505" t="s">
        <v>582</v>
      </c>
      <c r="B505" s="6">
        <v>46494</v>
      </c>
      <c r="C505" t="s">
        <v>22</v>
      </c>
      <c r="D505" t="s">
        <v>21</v>
      </c>
      <c r="K505">
        <v>1</v>
      </c>
      <c r="L505" t="s">
        <v>35</v>
      </c>
    </row>
    <row r="506" spans="1:12" x14ac:dyDescent="0.25">
      <c r="A506" t="s">
        <v>583</v>
      </c>
      <c r="B506" s="6">
        <v>46501</v>
      </c>
      <c r="C506" t="s">
        <v>0</v>
      </c>
      <c r="D506" t="s">
        <v>16</v>
      </c>
      <c r="K506">
        <v>1</v>
      </c>
      <c r="L506" t="s">
        <v>35</v>
      </c>
    </row>
    <row r="507" spans="1:12" x14ac:dyDescent="0.25">
      <c r="A507" t="s">
        <v>584</v>
      </c>
      <c r="B507" s="6">
        <v>46501</v>
      </c>
      <c r="C507" t="s">
        <v>1</v>
      </c>
      <c r="D507" t="s">
        <v>20</v>
      </c>
      <c r="K507">
        <v>1</v>
      </c>
      <c r="L507" t="s">
        <v>35</v>
      </c>
    </row>
    <row r="508" spans="1:12" x14ac:dyDescent="0.25">
      <c r="A508" t="s">
        <v>585</v>
      </c>
      <c r="B508" s="6">
        <v>46501</v>
      </c>
      <c r="C508" t="s">
        <v>2</v>
      </c>
      <c r="D508" t="s">
        <v>6</v>
      </c>
      <c r="K508">
        <v>1</v>
      </c>
      <c r="L508" t="s">
        <v>35</v>
      </c>
    </row>
    <row r="509" spans="1:12" x14ac:dyDescent="0.25">
      <c r="A509" t="s">
        <v>586</v>
      </c>
      <c r="B509" s="6">
        <v>46501</v>
      </c>
      <c r="C509" t="s">
        <v>4</v>
      </c>
      <c r="D509" t="s">
        <v>12</v>
      </c>
      <c r="K509">
        <v>1</v>
      </c>
      <c r="L509" t="s">
        <v>35</v>
      </c>
    </row>
    <row r="510" spans="1:12" x14ac:dyDescent="0.25">
      <c r="A510" t="s">
        <v>587</v>
      </c>
      <c r="B510" s="6">
        <v>46501</v>
      </c>
      <c r="C510" t="s">
        <v>5</v>
      </c>
      <c r="D510" t="s">
        <v>7</v>
      </c>
      <c r="K510">
        <v>1</v>
      </c>
      <c r="L510" t="s">
        <v>35</v>
      </c>
    </row>
    <row r="511" spans="1:12" x14ac:dyDescent="0.25">
      <c r="A511" t="s">
        <v>588</v>
      </c>
      <c r="B511" s="6">
        <v>46501</v>
      </c>
      <c r="C511" t="s">
        <v>10</v>
      </c>
      <c r="D511" t="s">
        <v>3</v>
      </c>
      <c r="K511">
        <v>1</v>
      </c>
      <c r="L511" t="s">
        <v>35</v>
      </c>
    </row>
    <row r="512" spans="1:12" x14ac:dyDescent="0.25">
      <c r="A512" t="s">
        <v>589</v>
      </c>
      <c r="B512" s="6">
        <v>46501</v>
      </c>
      <c r="C512" t="s">
        <v>11</v>
      </c>
      <c r="D512" t="s">
        <v>22</v>
      </c>
      <c r="K512">
        <v>1</v>
      </c>
      <c r="L512" t="s">
        <v>35</v>
      </c>
    </row>
    <row r="513" spans="1:12" x14ac:dyDescent="0.25">
      <c r="A513" t="s">
        <v>590</v>
      </c>
      <c r="B513" s="6">
        <v>46501</v>
      </c>
      <c r="C513" t="s">
        <v>14</v>
      </c>
      <c r="D513" t="s">
        <v>13</v>
      </c>
      <c r="K513">
        <v>1</v>
      </c>
      <c r="L513" t="s">
        <v>35</v>
      </c>
    </row>
    <row r="514" spans="1:12" x14ac:dyDescent="0.25">
      <c r="A514" t="s">
        <v>591</v>
      </c>
      <c r="B514" s="6">
        <v>46501</v>
      </c>
      <c r="C514" t="s">
        <v>15</v>
      </c>
      <c r="D514" t="s">
        <v>9</v>
      </c>
      <c r="K514">
        <v>1</v>
      </c>
      <c r="L514" t="s">
        <v>35</v>
      </c>
    </row>
    <row r="515" spans="1:12" x14ac:dyDescent="0.25">
      <c r="A515" t="s">
        <v>592</v>
      </c>
      <c r="B515" s="6">
        <v>46501</v>
      </c>
      <c r="C515" t="s">
        <v>17</v>
      </c>
      <c r="D515" t="s">
        <v>8</v>
      </c>
      <c r="K515">
        <v>1</v>
      </c>
      <c r="L515" t="s">
        <v>35</v>
      </c>
    </row>
    <row r="516" spans="1:12" x14ac:dyDescent="0.25">
      <c r="A516" t="s">
        <v>593</v>
      </c>
      <c r="B516" s="6">
        <v>46501</v>
      </c>
      <c r="C516" t="s">
        <v>18</v>
      </c>
      <c r="D516" t="s">
        <v>33</v>
      </c>
      <c r="K516">
        <v>1</v>
      </c>
      <c r="L516" t="s">
        <v>35</v>
      </c>
    </row>
    <row r="517" spans="1:12" x14ac:dyDescent="0.25">
      <c r="A517" t="s">
        <v>594</v>
      </c>
      <c r="B517" s="6">
        <v>46501</v>
      </c>
      <c r="C517" t="s">
        <v>21</v>
      </c>
      <c r="D517" t="s">
        <v>19</v>
      </c>
      <c r="K517">
        <v>1</v>
      </c>
      <c r="L517" t="s">
        <v>35</v>
      </c>
    </row>
    <row r="518" spans="1:12" x14ac:dyDescent="0.25">
      <c r="A518" t="s">
        <v>595</v>
      </c>
      <c r="B518" s="6">
        <v>46504</v>
      </c>
      <c r="C518" t="s">
        <v>3</v>
      </c>
      <c r="D518" t="s">
        <v>17</v>
      </c>
      <c r="K518">
        <v>1</v>
      </c>
      <c r="L518" t="s">
        <v>35</v>
      </c>
    </row>
    <row r="519" spans="1:12" x14ac:dyDescent="0.25">
      <c r="A519" t="s">
        <v>596</v>
      </c>
      <c r="B519" s="6">
        <v>46504</v>
      </c>
      <c r="C519" t="s">
        <v>6</v>
      </c>
      <c r="D519" t="s">
        <v>18</v>
      </c>
      <c r="K519">
        <v>1</v>
      </c>
      <c r="L519" t="s">
        <v>35</v>
      </c>
    </row>
    <row r="520" spans="1:12" x14ac:dyDescent="0.25">
      <c r="A520" t="s">
        <v>597</v>
      </c>
      <c r="B520" s="6">
        <v>46504</v>
      </c>
      <c r="C520" t="s">
        <v>7</v>
      </c>
      <c r="D520" t="s">
        <v>11</v>
      </c>
      <c r="K520">
        <v>1</v>
      </c>
      <c r="L520" t="s">
        <v>35</v>
      </c>
    </row>
    <row r="521" spans="1:12" x14ac:dyDescent="0.25">
      <c r="A521" t="s">
        <v>598</v>
      </c>
      <c r="B521" s="6">
        <v>46504</v>
      </c>
      <c r="C521" t="s">
        <v>8</v>
      </c>
      <c r="D521" t="s">
        <v>5</v>
      </c>
      <c r="K521">
        <v>1</v>
      </c>
      <c r="L521" t="s">
        <v>35</v>
      </c>
    </row>
    <row r="522" spans="1:12" x14ac:dyDescent="0.25">
      <c r="A522" t="s">
        <v>599</v>
      </c>
      <c r="B522" s="6">
        <v>46504</v>
      </c>
      <c r="C522" t="s">
        <v>9</v>
      </c>
      <c r="D522" t="s">
        <v>2</v>
      </c>
      <c r="K522">
        <v>1</v>
      </c>
      <c r="L522" t="s">
        <v>35</v>
      </c>
    </row>
    <row r="523" spans="1:12" x14ac:dyDescent="0.25">
      <c r="A523" t="s">
        <v>600</v>
      </c>
      <c r="B523" s="6">
        <v>46504</v>
      </c>
      <c r="C523" t="s">
        <v>12</v>
      </c>
      <c r="D523" t="s">
        <v>21</v>
      </c>
      <c r="K523">
        <v>1</v>
      </c>
      <c r="L523" t="s">
        <v>35</v>
      </c>
    </row>
    <row r="524" spans="1:12" x14ac:dyDescent="0.25">
      <c r="A524" t="s">
        <v>601</v>
      </c>
      <c r="B524" s="6">
        <v>46504</v>
      </c>
      <c r="C524" t="s">
        <v>33</v>
      </c>
      <c r="D524" t="s">
        <v>1</v>
      </c>
      <c r="K524">
        <v>1</v>
      </c>
      <c r="L524" t="s">
        <v>35</v>
      </c>
    </row>
    <row r="525" spans="1:12" x14ac:dyDescent="0.25">
      <c r="A525" t="s">
        <v>602</v>
      </c>
      <c r="B525" s="6">
        <v>46504</v>
      </c>
      <c r="C525" t="s">
        <v>13</v>
      </c>
      <c r="D525" t="s">
        <v>15</v>
      </c>
      <c r="K525">
        <v>1</v>
      </c>
      <c r="L525" t="s">
        <v>35</v>
      </c>
    </row>
    <row r="526" spans="1:12" x14ac:dyDescent="0.25">
      <c r="A526" t="s">
        <v>603</v>
      </c>
      <c r="B526" s="6">
        <v>46504</v>
      </c>
      <c r="C526" t="s">
        <v>16</v>
      </c>
      <c r="D526" t="s">
        <v>10</v>
      </c>
      <c r="K526">
        <v>1</v>
      </c>
      <c r="L526" t="s">
        <v>35</v>
      </c>
    </row>
    <row r="527" spans="1:12" x14ac:dyDescent="0.25">
      <c r="A527" t="s">
        <v>604</v>
      </c>
      <c r="B527" s="6">
        <v>46504</v>
      </c>
      <c r="C527" t="s">
        <v>19</v>
      </c>
      <c r="D527" t="s">
        <v>0</v>
      </c>
      <c r="K527">
        <v>1</v>
      </c>
      <c r="L527" t="s">
        <v>35</v>
      </c>
    </row>
    <row r="528" spans="1:12" x14ac:dyDescent="0.25">
      <c r="A528" t="s">
        <v>605</v>
      </c>
      <c r="B528" s="6">
        <v>46504</v>
      </c>
      <c r="C528" t="s">
        <v>20</v>
      </c>
      <c r="D528" t="s">
        <v>14</v>
      </c>
      <c r="K528">
        <v>1</v>
      </c>
      <c r="L528" t="s">
        <v>35</v>
      </c>
    </row>
    <row r="529" spans="1:12" x14ac:dyDescent="0.25">
      <c r="A529" t="s">
        <v>606</v>
      </c>
      <c r="B529" s="6">
        <v>46504</v>
      </c>
      <c r="C529" t="s">
        <v>22</v>
      </c>
      <c r="D529" t="s">
        <v>4</v>
      </c>
      <c r="K529">
        <v>1</v>
      </c>
      <c r="L529" t="s">
        <v>35</v>
      </c>
    </row>
    <row r="530" spans="1:12" x14ac:dyDescent="0.25">
      <c r="A530" t="s">
        <v>607</v>
      </c>
      <c r="B530" s="6">
        <v>46508</v>
      </c>
      <c r="C530" t="s">
        <v>1</v>
      </c>
      <c r="D530" t="s">
        <v>0</v>
      </c>
      <c r="K530">
        <v>1</v>
      </c>
      <c r="L530" t="s">
        <v>35</v>
      </c>
    </row>
    <row r="531" spans="1:12" x14ac:dyDescent="0.25">
      <c r="A531" t="s">
        <v>608</v>
      </c>
      <c r="B531" s="6">
        <v>46508</v>
      </c>
      <c r="C531" t="s">
        <v>2</v>
      </c>
      <c r="D531" t="s">
        <v>19</v>
      </c>
      <c r="K531">
        <v>1</v>
      </c>
      <c r="L531" t="s">
        <v>35</v>
      </c>
    </row>
    <row r="532" spans="1:12" x14ac:dyDescent="0.25">
      <c r="A532" t="s">
        <v>609</v>
      </c>
      <c r="B532" s="6">
        <v>46508</v>
      </c>
      <c r="C532" t="s">
        <v>3</v>
      </c>
      <c r="D532" t="s">
        <v>22</v>
      </c>
      <c r="K532">
        <v>1</v>
      </c>
      <c r="L532" t="s">
        <v>35</v>
      </c>
    </row>
    <row r="533" spans="1:12" x14ac:dyDescent="0.25">
      <c r="A533" t="s">
        <v>610</v>
      </c>
      <c r="B533" s="6">
        <v>46508</v>
      </c>
      <c r="C533" t="s">
        <v>5</v>
      </c>
      <c r="D533" t="s">
        <v>4</v>
      </c>
      <c r="K533">
        <v>1</v>
      </c>
      <c r="L533" t="s">
        <v>35</v>
      </c>
    </row>
    <row r="534" spans="1:12" x14ac:dyDescent="0.25">
      <c r="A534" t="s">
        <v>611</v>
      </c>
      <c r="B534" s="6">
        <v>46508</v>
      </c>
      <c r="C534" t="s">
        <v>6</v>
      </c>
      <c r="D534" t="s">
        <v>11</v>
      </c>
      <c r="K534">
        <v>1</v>
      </c>
      <c r="L534" t="s">
        <v>35</v>
      </c>
    </row>
    <row r="535" spans="1:12" x14ac:dyDescent="0.25">
      <c r="A535" t="s">
        <v>612</v>
      </c>
      <c r="B535" s="6">
        <v>46508</v>
      </c>
      <c r="C535" t="s">
        <v>8</v>
      </c>
      <c r="D535" t="s">
        <v>7</v>
      </c>
      <c r="K535">
        <v>1</v>
      </c>
      <c r="L535" t="s">
        <v>35</v>
      </c>
    </row>
    <row r="536" spans="1:12" x14ac:dyDescent="0.25">
      <c r="A536" t="s">
        <v>613</v>
      </c>
      <c r="B536" s="6">
        <v>46508</v>
      </c>
      <c r="C536" t="s">
        <v>10</v>
      </c>
      <c r="D536" t="s">
        <v>20</v>
      </c>
      <c r="K536">
        <v>1</v>
      </c>
      <c r="L536" t="s">
        <v>35</v>
      </c>
    </row>
    <row r="537" spans="1:12" x14ac:dyDescent="0.25">
      <c r="A537" t="s">
        <v>614</v>
      </c>
      <c r="B537" s="6">
        <v>46508</v>
      </c>
      <c r="C537" t="s">
        <v>12</v>
      </c>
      <c r="D537" t="s">
        <v>9</v>
      </c>
      <c r="K537">
        <v>1</v>
      </c>
      <c r="L537" t="s">
        <v>35</v>
      </c>
    </row>
    <row r="538" spans="1:12" x14ac:dyDescent="0.25">
      <c r="A538" t="s">
        <v>615</v>
      </c>
      <c r="B538" s="6">
        <v>46508</v>
      </c>
      <c r="C538" t="s">
        <v>13</v>
      </c>
      <c r="D538" t="s">
        <v>33</v>
      </c>
      <c r="K538">
        <v>1</v>
      </c>
      <c r="L538" t="s">
        <v>35</v>
      </c>
    </row>
    <row r="539" spans="1:12" x14ac:dyDescent="0.25">
      <c r="A539" t="s">
        <v>616</v>
      </c>
      <c r="B539" s="6">
        <v>46508</v>
      </c>
      <c r="C539" t="s">
        <v>14</v>
      </c>
      <c r="D539" t="s">
        <v>15</v>
      </c>
      <c r="K539">
        <v>1</v>
      </c>
      <c r="L539" t="s">
        <v>35</v>
      </c>
    </row>
    <row r="540" spans="1:12" x14ac:dyDescent="0.25">
      <c r="A540" t="s">
        <v>617</v>
      </c>
      <c r="B540" s="6">
        <v>46508</v>
      </c>
      <c r="C540" t="s">
        <v>16</v>
      </c>
      <c r="D540" t="s">
        <v>21</v>
      </c>
      <c r="K540">
        <v>1</v>
      </c>
      <c r="L540" t="s">
        <v>35</v>
      </c>
    </row>
    <row r="541" spans="1:12" x14ac:dyDescent="0.25">
      <c r="A541" t="s">
        <v>618</v>
      </c>
      <c r="B541" s="6">
        <v>46508</v>
      </c>
      <c r="C541" t="s">
        <v>17</v>
      </c>
      <c r="D541" t="s">
        <v>18</v>
      </c>
      <c r="K541">
        <v>1</v>
      </c>
      <c r="L541" t="s">
        <v>35</v>
      </c>
    </row>
    <row r="542" spans="1:12" x14ac:dyDescent="0.25">
      <c r="A542" t="s">
        <v>619</v>
      </c>
      <c r="B542" s="6">
        <v>46515</v>
      </c>
      <c r="C542" t="s">
        <v>0</v>
      </c>
      <c r="D542" t="s">
        <v>13</v>
      </c>
      <c r="K542">
        <v>1</v>
      </c>
      <c r="L542" t="s">
        <v>35</v>
      </c>
    </row>
    <row r="543" spans="1:12" x14ac:dyDescent="0.25">
      <c r="A543" t="s">
        <v>620</v>
      </c>
      <c r="B543" s="6">
        <v>46515</v>
      </c>
      <c r="C543" t="s">
        <v>4</v>
      </c>
      <c r="D543" t="s">
        <v>16</v>
      </c>
      <c r="K543">
        <v>1</v>
      </c>
      <c r="L543" t="s">
        <v>35</v>
      </c>
    </row>
    <row r="544" spans="1:12" x14ac:dyDescent="0.25">
      <c r="A544" t="s">
        <v>621</v>
      </c>
      <c r="B544" s="6">
        <v>46515</v>
      </c>
      <c r="C544" t="s">
        <v>7</v>
      </c>
      <c r="D544" t="s">
        <v>17</v>
      </c>
      <c r="K544">
        <v>1</v>
      </c>
      <c r="L544" t="s">
        <v>35</v>
      </c>
    </row>
    <row r="545" spans="1:12" x14ac:dyDescent="0.25">
      <c r="A545" t="s">
        <v>622</v>
      </c>
      <c r="B545" s="6">
        <v>46515</v>
      </c>
      <c r="C545" t="s">
        <v>9</v>
      </c>
      <c r="D545" t="s">
        <v>6</v>
      </c>
      <c r="K545">
        <v>1</v>
      </c>
      <c r="L545" t="s">
        <v>35</v>
      </c>
    </row>
    <row r="546" spans="1:12" x14ac:dyDescent="0.25">
      <c r="A546" t="s">
        <v>623</v>
      </c>
      <c r="B546" s="6">
        <v>46515</v>
      </c>
      <c r="C546" t="s">
        <v>11</v>
      </c>
      <c r="D546" t="s">
        <v>2</v>
      </c>
      <c r="K546">
        <v>1</v>
      </c>
      <c r="L546" t="s">
        <v>35</v>
      </c>
    </row>
    <row r="547" spans="1:12" x14ac:dyDescent="0.25">
      <c r="A547" t="s">
        <v>624</v>
      </c>
      <c r="B547" s="6">
        <v>46515</v>
      </c>
      <c r="C547" t="s">
        <v>33</v>
      </c>
      <c r="D547" t="s">
        <v>3</v>
      </c>
      <c r="K547">
        <v>1</v>
      </c>
      <c r="L547" t="s">
        <v>35</v>
      </c>
    </row>
    <row r="548" spans="1:12" x14ac:dyDescent="0.25">
      <c r="A548" t="s">
        <v>625</v>
      </c>
      <c r="B548" s="6">
        <v>46515</v>
      </c>
      <c r="C548" t="s">
        <v>15</v>
      </c>
      <c r="D548" t="s">
        <v>10</v>
      </c>
      <c r="K548">
        <v>1</v>
      </c>
      <c r="L548" t="s">
        <v>35</v>
      </c>
    </row>
    <row r="549" spans="1:12" x14ac:dyDescent="0.25">
      <c r="A549" t="s">
        <v>626</v>
      </c>
      <c r="B549" s="6">
        <v>46515</v>
      </c>
      <c r="C549" t="s">
        <v>18</v>
      </c>
      <c r="D549" t="s">
        <v>14</v>
      </c>
      <c r="K549">
        <v>1</v>
      </c>
      <c r="L549" t="s">
        <v>35</v>
      </c>
    </row>
    <row r="550" spans="1:12" x14ac:dyDescent="0.25">
      <c r="A550" t="s">
        <v>627</v>
      </c>
      <c r="B550" s="6">
        <v>46515</v>
      </c>
      <c r="C550" t="s">
        <v>19</v>
      </c>
      <c r="D550" t="s">
        <v>8</v>
      </c>
      <c r="K550">
        <v>1</v>
      </c>
      <c r="L550" t="s">
        <v>35</v>
      </c>
    </row>
    <row r="551" spans="1:12" x14ac:dyDescent="0.25">
      <c r="A551" t="s">
        <v>628</v>
      </c>
      <c r="B551" s="6">
        <v>46515</v>
      </c>
      <c r="C551" t="s">
        <v>20</v>
      </c>
      <c r="D551" t="s">
        <v>12</v>
      </c>
      <c r="K551">
        <v>1</v>
      </c>
      <c r="L551" t="s">
        <v>35</v>
      </c>
    </row>
    <row r="552" spans="1:12" x14ac:dyDescent="0.25">
      <c r="A552" t="s">
        <v>629</v>
      </c>
      <c r="B552" s="6">
        <v>46515</v>
      </c>
      <c r="C552" t="s">
        <v>21</v>
      </c>
      <c r="D552" t="s">
        <v>5</v>
      </c>
      <c r="K552">
        <v>1</v>
      </c>
      <c r="L552" t="s">
        <v>35</v>
      </c>
    </row>
    <row r="553" spans="1:12" x14ac:dyDescent="0.25">
      <c r="A553" t="s">
        <v>630</v>
      </c>
      <c r="B553" s="6">
        <v>46515</v>
      </c>
      <c r="C553" t="s">
        <v>22</v>
      </c>
      <c r="D553" t="s">
        <v>1</v>
      </c>
      <c r="K553">
        <v>1</v>
      </c>
      <c r="L553" t="s">
        <v>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B801-6E2B-4762-98F7-ECABB0D589AD}">
  <dimension ref="A1:T1105"/>
  <sheetViews>
    <sheetView topLeftCell="A37" workbookViewId="0">
      <selection activeCell="J11" sqref="J11"/>
    </sheetView>
  </sheetViews>
  <sheetFormatPr defaultRowHeight="15" x14ac:dyDescent="0.25"/>
  <cols>
    <col min="1" max="1" width="11.140625" bestFit="1" customWidth="1"/>
    <col min="2" max="2" width="10.42578125" style="6" bestFit="1" customWidth="1"/>
    <col min="3" max="4" width="20.28515625" bestFit="1" customWidth="1"/>
    <col min="5" max="5" width="11" bestFit="1" customWidth="1"/>
    <col min="6" max="6" width="15.140625" bestFit="1" customWidth="1"/>
    <col min="7" max="7" width="13.5703125" bestFit="1" customWidth="1"/>
    <col min="8" max="8" width="17.85546875" bestFit="1" customWidth="1"/>
    <col min="9" max="9" width="10.5703125" bestFit="1" customWidth="1"/>
    <col min="10" max="10" width="13.140625" bestFit="1" customWidth="1"/>
    <col min="11" max="11" width="16.7109375" bestFit="1" customWidth="1"/>
    <col min="12" max="12" width="9.140625" bestFit="1" customWidth="1"/>
    <col min="13" max="13" width="9.42578125" bestFit="1" customWidth="1"/>
    <col min="14" max="14" width="11.140625" bestFit="1" customWidth="1"/>
    <col min="15" max="15" width="22.5703125" bestFit="1" customWidth="1"/>
    <col min="16" max="16" width="8.85546875" customWidth="1"/>
    <col min="17" max="17" width="15.42578125" bestFit="1" customWidth="1"/>
    <col min="18" max="18" width="22.140625" bestFit="1" customWidth="1"/>
    <col min="19" max="19" width="14.42578125" bestFit="1" customWidth="1"/>
    <col min="20" max="20" width="22.140625" bestFit="1" customWidth="1"/>
  </cols>
  <sheetData>
    <row r="1" spans="1:20" x14ac:dyDescent="0.25">
      <c r="A1" t="s">
        <v>23</v>
      </c>
      <c r="B1" s="6" t="s">
        <v>24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32</v>
      </c>
      <c r="J1" t="s">
        <v>37</v>
      </c>
      <c r="K1" t="s">
        <v>644</v>
      </c>
      <c r="L1" t="s">
        <v>48</v>
      </c>
      <c r="M1" t="s">
        <v>49</v>
      </c>
      <c r="N1" t="s">
        <v>50</v>
      </c>
      <c r="O1" t="s">
        <v>38</v>
      </c>
      <c r="P1" t="s">
        <v>41</v>
      </c>
      <c r="Q1" t="s">
        <v>72</v>
      </c>
      <c r="R1" t="s">
        <v>73</v>
      </c>
      <c r="S1" t="s">
        <v>77</v>
      </c>
      <c r="T1" t="s">
        <v>78</v>
      </c>
    </row>
    <row r="2" spans="1:20" x14ac:dyDescent="0.25">
      <c r="A2" t="s">
        <v>79</v>
      </c>
      <c r="B2" s="6">
        <v>46249</v>
      </c>
      <c r="C2" t="s">
        <v>1</v>
      </c>
      <c r="D2" t="s">
        <v>4</v>
      </c>
      <c r="E2">
        <v>1.32</v>
      </c>
      <c r="F2">
        <v>1.42</v>
      </c>
      <c r="G2">
        <v>0</v>
      </c>
      <c r="H2">
        <v>1</v>
      </c>
      <c r="I2">
        <v>2.74</v>
      </c>
      <c r="J2">
        <v>1</v>
      </c>
      <c r="K2">
        <v>1</v>
      </c>
      <c r="L2" t="s">
        <v>34</v>
      </c>
      <c r="M2">
        <v>-9.9999999999999867E-2</v>
      </c>
      <c r="N2">
        <v>-1</v>
      </c>
      <c r="O2">
        <v>-1.32</v>
      </c>
      <c r="P2" t="s">
        <v>52</v>
      </c>
      <c r="Q2">
        <f>IF(Team_Level[[#This Row],[Result]]="","",COUNTIFS(Team_Level[Team],Team_Level[[#This Row],[Team]],Team_Level[Date],"&gt;="&amp;Team_Level[[#This Row],[Date]],Team_Level[Result],"&lt;&gt;"))</f>
        <v>6</v>
      </c>
      <c r="R2" t="str">
        <f>Team_Level[[#This Row],[Team]]&amp;"-"&amp;Team_Level[[#This Row],[Recency Rank]]</f>
        <v>Barnsley-6</v>
      </c>
      <c r="S2">
        <f>IF(Team_Level[[#This Row],[Result]]="","",COUNTIFS(Team_Level[Team],Team_Level[[#This Row],[Team]],Team_Level[Date],"&lt;="&amp;Team_Level[[#This Row],[Date]],Team_Level[Result],"&lt;&gt;"))</f>
        <v>1</v>
      </c>
      <c r="T2" t="str">
        <f>Team_Level[[#This Row],[Team]]&amp;"-"&amp;Team_Level[[#This Row],[Chrono Rank]]</f>
        <v>Barnsley-1</v>
      </c>
    </row>
    <row r="3" spans="1:20" x14ac:dyDescent="0.25">
      <c r="A3" t="s">
        <v>80</v>
      </c>
      <c r="B3" s="6">
        <v>46249</v>
      </c>
      <c r="C3" t="s">
        <v>2</v>
      </c>
      <c r="D3" t="s">
        <v>22</v>
      </c>
      <c r="E3">
        <v>2.37</v>
      </c>
      <c r="F3">
        <v>1.29</v>
      </c>
      <c r="G3">
        <v>1</v>
      </c>
      <c r="H3">
        <v>1</v>
      </c>
      <c r="I3">
        <v>3.66</v>
      </c>
      <c r="J3">
        <v>2</v>
      </c>
      <c r="K3">
        <v>1</v>
      </c>
      <c r="L3" t="s">
        <v>34</v>
      </c>
      <c r="M3">
        <v>1.08</v>
      </c>
      <c r="N3">
        <v>0</v>
      </c>
      <c r="O3">
        <v>-1.37</v>
      </c>
      <c r="P3" t="s">
        <v>53</v>
      </c>
      <c r="Q3">
        <f>IF(Team_Level[[#This Row],[Result]]="","",COUNTIFS(Team_Level[Team],Team_Level[[#This Row],[Team]],Team_Level[Date],"&gt;="&amp;Team_Level[[#This Row],[Date]],Team_Level[Result],"&lt;&gt;"))</f>
        <v>6</v>
      </c>
      <c r="R3" t="str">
        <f>Team_Level[[#This Row],[Team]]&amp;"-"&amp;Team_Level[[#This Row],[Recency Rank]]</f>
        <v>Blackpool-6</v>
      </c>
      <c r="S3">
        <f>IF(Team_Level[[#This Row],[Result]]="","",COUNTIFS(Team_Level[Team],Team_Level[[#This Row],[Team]],Team_Level[Date],"&lt;="&amp;Team_Level[[#This Row],[Date]],Team_Level[Result],"&lt;&gt;"))</f>
        <v>1</v>
      </c>
      <c r="T3" t="str">
        <f>Team_Level[[#This Row],[Team]]&amp;"-"&amp;Team_Level[[#This Row],[Chrono Rank]]</f>
        <v>Blackpool-1</v>
      </c>
    </row>
    <row r="4" spans="1:20" x14ac:dyDescent="0.25">
      <c r="A4" t="s">
        <v>81</v>
      </c>
      <c r="B4" s="6">
        <v>46249</v>
      </c>
      <c r="C4" t="s">
        <v>3</v>
      </c>
      <c r="D4" t="s">
        <v>15</v>
      </c>
      <c r="E4">
        <v>1.97</v>
      </c>
      <c r="F4">
        <v>1.1100000000000001</v>
      </c>
      <c r="G4">
        <v>2</v>
      </c>
      <c r="H4">
        <v>0</v>
      </c>
      <c r="I4">
        <v>3.08</v>
      </c>
      <c r="J4">
        <v>2</v>
      </c>
      <c r="K4">
        <v>1</v>
      </c>
      <c r="L4" t="s">
        <v>34</v>
      </c>
      <c r="M4">
        <v>0.85999999999999988</v>
      </c>
      <c r="N4">
        <v>2</v>
      </c>
      <c r="O4">
        <v>3.0000000000000027E-2</v>
      </c>
      <c r="P4" t="s">
        <v>54</v>
      </c>
      <c r="Q4">
        <f>IF(Team_Level[[#This Row],[Result]]="","",COUNTIFS(Team_Level[Team],Team_Level[[#This Row],[Team]],Team_Level[Date],"&gt;="&amp;Team_Level[[#This Row],[Date]],Team_Level[Result],"&lt;&gt;"))</f>
        <v>6</v>
      </c>
      <c r="R4" t="str">
        <f>Team_Level[[#This Row],[Team]]&amp;"-"&amp;Team_Level[[#This Row],[Recency Rank]]</f>
        <v>Bradford City-6</v>
      </c>
      <c r="S4">
        <f>IF(Team_Level[[#This Row],[Result]]="","",COUNTIFS(Team_Level[Team],Team_Level[[#This Row],[Team]],Team_Level[Date],"&lt;="&amp;Team_Level[[#This Row],[Date]],Team_Level[Result],"&lt;&gt;"))</f>
        <v>1</v>
      </c>
      <c r="T4" t="str">
        <f>Team_Level[[#This Row],[Team]]&amp;"-"&amp;Team_Level[[#This Row],[Chrono Rank]]</f>
        <v>Bradford City-1</v>
      </c>
    </row>
    <row r="5" spans="1:20" x14ac:dyDescent="0.25">
      <c r="A5" t="s">
        <v>82</v>
      </c>
      <c r="B5" s="6">
        <v>46249</v>
      </c>
      <c r="C5" t="s">
        <v>5</v>
      </c>
      <c r="D5" t="s">
        <v>19</v>
      </c>
      <c r="E5">
        <v>0.94</v>
      </c>
      <c r="F5">
        <v>0.53</v>
      </c>
      <c r="G5">
        <v>1</v>
      </c>
      <c r="H5">
        <v>1</v>
      </c>
      <c r="I5">
        <v>1.47</v>
      </c>
      <c r="J5">
        <v>2</v>
      </c>
      <c r="K5">
        <v>1</v>
      </c>
      <c r="L5" t="s">
        <v>34</v>
      </c>
      <c r="M5">
        <v>0.40999999999999992</v>
      </c>
      <c r="N5">
        <v>0</v>
      </c>
      <c r="O5">
        <v>6.0000000000000053E-2</v>
      </c>
      <c r="P5" t="s">
        <v>53</v>
      </c>
      <c r="Q5">
        <f>IF(Team_Level[[#This Row],[Result]]="","",COUNTIFS(Team_Level[Team],Team_Level[[#This Row],[Team]],Team_Level[Date],"&gt;="&amp;Team_Level[[#This Row],[Date]],Team_Level[Result],"&lt;&gt;"))</f>
        <v>6</v>
      </c>
      <c r="R5" t="str">
        <f>Team_Level[[#This Row],[Team]]&amp;"-"&amp;Team_Level[[#This Row],[Recency Rank]]</f>
        <v>Burton Albion-6</v>
      </c>
      <c r="S5">
        <f>IF(Team_Level[[#This Row],[Result]]="","",COUNTIFS(Team_Level[Team],Team_Level[[#This Row],[Team]],Team_Level[Date],"&lt;="&amp;Team_Level[[#This Row],[Date]],Team_Level[Result],"&lt;&gt;"))</f>
        <v>1</v>
      </c>
      <c r="T5" t="str">
        <f>Team_Level[[#This Row],[Team]]&amp;"-"&amp;Team_Level[[#This Row],[Chrono Rank]]</f>
        <v>Burton Albion-1</v>
      </c>
    </row>
    <row r="6" spans="1:20" x14ac:dyDescent="0.25">
      <c r="A6" t="s">
        <v>83</v>
      </c>
      <c r="B6" s="6">
        <v>46249</v>
      </c>
      <c r="C6" t="s">
        <v>6</v>
      </c>
      <c r="D6" t="s">
        <v>21</v>
      </c>
      <c r="E6">
        <v>1.74</v>
      </c>
      <c r="F6">
        <v>2.2000000000000002</v>
      </c>
      <c r="G6">
        <v>3</v>
      </c>
      <c r="H6">
        <v>2</v>
      </c>
      <c r="I6">
        <v>3.9400000000000004</v>
      </c>
      <c r="J6">
        <v>5</v>
      </c>
      <c r="K6">
        <v>1</v>
      </c>
      <c r="L6" t="s">
        <v>34</v>
      </c>
      <c r="M6">
        <v>-0.46000000000000019</v>
      </c>
      <c r="N6">
        <v>1</v>
      </c>
      <c r="O6">
        <v>1.26</v>
      </c>
      <c r="P6" t="s">
        <v>54</v>
      </c>
      <c r="Q6">
        <f>IF(Team_Level[[#This Row],[Result]]="","",COUNTIFS(Team_Level[Team],Team_Level[[#This Row],[Team]],Team_Level[Date],"&gt;="&amp;Team_Level[[#This Row],[Date]],Team_Level[Result],"&lt;&gt;"))</f>
        <v>6</v>
      </c>
      <c r="R6" t="str">
        <f>Team_Level[[#This Row],[Team]]&amp;"-"&amp;Team_Level[[#This Row],[Recency Rank]]</f>
        <v>Cambridge United-6</v>
      </c>
      <c r="S6">
        <f>IF(Team_Level[[#This Row],[Result]]="","",COUNTIFS(Team_Level[Team],Team_Level[[#This Row],[Team]],Team_Level[Date],"&lt;="&amp;Team_Level[[#This Row],[Date]],Team_Level[Result],"&lt;&gt;"))</f>
        <v>1</v>
      </c>
      <c r="T6" t="str">
        <f>Team_Level[[#This Row],[Team]]&amp;"-"&amp;Team_Level[[#This Row],[Chrono Rank]]</f>
        <v>Cambridge United-1</v>
      </c>
    </row>
    <row r="7" spans="1:20" x14ac:dyDescent="0.25">
      <c r="A7" t="s">
        <v>84</v>
      </c>
      <c r="B7" s="6">
        <v>46249</v>
      </c>
      <c r="C7" t="s">
        <v>8</v>
      </c>
      <c r="D7" t="s">
        <v>0</v>
      </c>
      <c r="E7">
        <v>1.24</v>
      </c>
      <c r="F7">
        <v>0.38</v>
      </c>
      <c r="G7">
        <v>3</v>
      </c>
      <c r="H7">
        <v>0</v>
      </c>
      <c r="I7">
        <v>1.62</v>
      </c>
      <c r="J7">
        <v>3</v>
      </c>
      <c r="K7">
        <v>1</v>
      </c>
      <c r="L7" t="s">
        <v>34</v>
      </c>
      <c r="M7">
        <v>0.86</v>
      </c>
      <c r="N7">
        <v>3</v>
      </c>
      <c r="O7">
        <v>1.76</v>
      </c>
      <c r="P7" t="s">
        <v>54</v>
      </c>
      <c r="Q7">
        <f>IF(Team_Level[[#This Row],[Result]]="","",COUNTIFS(Team_Level[Team],Team_Level[[#This Row],[Team]],Team_Level[Date],"&gt;="&amp;Team_Level[[#This Row],[Date]],Team_Level[Result],"&lt;&gt;"))</f>
        <v>6</v>
      </c>
      <c r="R7" t="str">
        <f>Team_Level[[#This Row],[Team]]&amp;"-"&amp;Team_Level[[#This Row],[Recency Rank]]</f>
        <v>Huddersfield Town-6</v>
      </c>
      <c r="S7">
        <f>IF(Team_Level[[#This Row],[Result]]="","",COUNTIFS(Team_Level[Team],Team_Level[[#This Row],[Team]],Team_Level[Date],"&lt;="&amp;Team_Level[[#This Row],[Date]],Team_Level[Result],"&lt;&gt;"))</f>
        <v>1</v>
      </c>
      <c r="T7" t="str">
        <f>Team_Level[[#This Row],[Team]]&amp;"-"&amp;Team_Level[[#This Row],[Chrono Rank]]</f>
        <v>Huddersfield Town-1</v>
      </c>
    </row>
    <row r="8" spans="1:20" x14ac:dyDescent="0.25">
      <c r="A8" t="s">
        <v>85</v>
      </c>
      <c r="B8" s="6">
        <v>46249</v>
      </c>
      <c r="C8" t="s">
        <v>10</v>
      </c>
      <c r="D8" t="s">
        <v>18</v>
      </c>
      <c r="E8">
        <v>1.38</v>
      </c>
      <c r="F8">
        <v>2.84</v>
      </c>
      <c r="G8">
        <v>1</v>
      </c>
      <c r="H8">
        <v>2</v>
      </c>
      <c r="I8">
        <v>4.22</v>
      </c>
      <c r="J8">
        <v>3</v>
      </c>
      <c r="K8">
        <v>1</v>
      </c>
      <c r="L8" t="s">
        <v>34</v>
      </c>
      <c r="M8">
        <v>-1.46</v>
      </c>
      <c r="N8">
        <v>-1</v>
      </c>
      <c r="O8">
        <v>-0.37999999999999989</v>
      </c>
      <c r="P8" t="s">
        <v>52</v>
      </c>
      <c r="Q8">
        <f>IF(Team_Level[[#This Row],[Result]]="","",COUNTIFS(Team_Level[Team],Team_Level[[#This Row],[Team]],Team_Level[Date],"&gt;="&amp;Team_Level[[#This Row],[Date]],Team_Level[Result],"&lt;&gt;"))</f>
        <v>6</v>
      </c>
      <c r="R8" t="str">
        <f>Team_Level[[#This Row],[Team]]&amp;"-"&amp;Team_Level[[#This Row],[Recency Rank]]</f>
        <v>Leyton Orient-6</v>
      </c>
      <c r="S8">
        <f>IF(Team_Level[[#This Row],[Result]]="","",COUNTIFS(Team_Level[Team],Team_Level[[#This Row],[Team]],Team_Level[Date],"&lt;="&amp;Team_Level[[#This Row],[Date]],Team_Level[Result],"&lt;&gt;"))</f>
        <v>1</v>
      </c>
      <c r="T8" t="str">
        <f>Team_Level[[#This Row],[Team]]&amp;"-"&amp;Team_Level[[#This Row],[Chrono Rank]]</f>
        <v>Leyton Orient-1</v>
      </c>
    </row>
    <row r="9" spans="1:20" x14ac:dyDescent="0.25">
      <c r="A9" t="s">
        <v>86</v>
      </c>
      <c r="B9" s="6">
        <v>46249</v>
      </c>
      <c r="C9" t="s">
        <v>12</v>
      </c>
      <c r="D9" t="s">
        <v>7</v>
      </c>
      <c r="E9">
        <v>1.44</v>
      </c>
      <c r="F9">
        <v>1.06</v>
      </c>
      <c r="G9">
        <v>2</v>
      </c>
      <c r="H9">
        <v>1</v>
      </c>
      <c r="I9">
        <v>2.5</v>
      </c>
      <c r="J9">
        <v>3</v>
      </c>
      <c r="K9">
        <v>1</v>
      </c>
      <c r="L9" t="s">
        <v>34</v>
      </c>
      <c r="M9">
        <v>0.37999999999999989</v>
      </c>
      <c r="N9">
        <v>1</v>
      </c>
      <c r="O9">
        <v>0.56000000000000005</v>
      </c>
      <c r="P9" t="s">
        <v>54</v>
      </c>
      <c r="Q9">
        <f>IF(Team_Level[[#This Row],[Result]]="","",COUNTIFS(Team_Level[Team],Team_Level[[#This Row],[Team]],Team_Level[Date],"&gt;="&amp;Team_Level[[#This Row],[Date]],Team_Level[Result],"&lt;&gt;"))</f>
        <v>6</v>
      </c>
      <c r="R9" t="str">
        <f>Team_Level[[#This Row],[Team]]&amp;"-"&amp;Team_Level[[#This Row],[Recency Rank]]</f>
        <v>Mansfield Town-6</v>
      </c>
      <c r="S9">
        <f>IF(Team_Level[[#This Row],[Result]]="","",COUNTIFS(Team_Level[Team],Team_Level[[#This Row],[Team]],Team_Level[Date],"&lt;="&amp;Team_Level[[#This Row],[Date]],Team_Level[Result],"&lt;&gt;"))</f>
        <v>1</v>
      </c>
      <c r="T9" t="str">
        <f>Team_Level[[#This Row],[Team]]&amp;"-"&amp;Team_Level[[#This Row],[Chrono Rank]]</f>
        <v>Mansfield Town-1</v>
      </c>
    </row>
    <row r="10" spans="1:20" x14ac:dyDescent="0.25">
      <c r="A10" t="s">
        <v>87</v>
      </c>
      <c r="B10" s="6">
        <v>46249</v>
      </c>
      <c r="C10" t="s">
        <v>13</v>
      </c>
      <c r="D10" t="s">
        <v>9</v>
      </c>
      <c r="E10">
        <v>2.1800000000000002</v>
      </c>
      <c r="F10">
        <v>0.74</v>
      </c>
      <c r="G10">
        <v>1</v>
      </c>
      <c r="H10">
        <v>1</v>
      </c>
      <c r="I10">
        <v>2.92</v>
      </c>
      <c r="J10">
        <v>2</v>
      </c>
      <c r="K10">
        <v>1</v>
      </c>
      <c r="L10" t="s">
        <v>34</v>
      </c>
      <c r="M10">
        <v>1.4400000000000002</v>
      </c>
      <c r="N10">
        <v>0</v>
      </c>
      <c r="O10">
        <v>-1.1800000000000002</v>
      </c>
      <c r="P10" t="s">
        <v>53</v>
      </c>
      <c r="Q10">
        <f>IF(Team_Level[[#This Row],[Result]]="","",COUNTIFS(Team_Level[Team],Team_Level[[#This Row],[Team]],Team_Level[Date],"&gt;="&amp;Team_Level[[#This Row],[Date]],Team_Level[Result],"&lt;&gt;"))</f>
        <v>6</v>
      </c>
      <c r="R10" t="str">
        <f>Team_Level[[#This Row],[Team]]&amp;"-"&amp;Team_Level[[#This Row],[Recency Rank]]</f>
        <v>Notts County-6</v>
      </c>
      <c r="S10">
        <f>IF(Team_Level[[#This Row],[Result]]="","",COUNTIFS(Team_Level[Team],Team_Level[[#This Row],[Team]],Team_Level[Date],"&lt;="&amp;Team_Level[[#This Row],[Date]],Team_Level[Result],"&lt;&gt;"))</f>
        <v>1</v>
      </c>
      <c r="T10" t="str">
        <f>Team_Level[[#This Row],[Team]]&amp;"-"&amp;Team_Level[[#This Row],[Chrono Rank]]</f>
        <v>Notts County-1</v>
      </c>
    </row>
    <row r="11" spans="1:20" x14ac:dyDescent="0.25">
      <c r="A11" t="s">
        <v>88</v>
      </c>
      <c r="B11" s="6">
        <v>46249</v>
      </c>
      <c r="C11" t="s">
        <v>14</v>
      </c>
      <c r="D11" t="s">
        <v>33</v>
      </c>
      <c r="E11">
        <v>1.83</v>
      </c>
      <c r="F11">
        <v>2.2000000000000002</v>
      </c>
      <c r="G11">
        <v>2</v>
      </c>
      <c r="H11">
        <v>2</v>
      </c>
      <c r="I11">
        <v>4.03</v>
      </c>
      <c r="J11">
        <v>4</v>
      </c>
      <c r="K11">
        <v>1</v>
      </c>
      <c r="L11" t="s">
        <v>34</v>
      </c>
      <c r="M11">
        <v>-0.37000000000000011</v>
      </c>
      <c r="N11">
        <v>0</v>
      </c>
      <c r="O11">
        <v>0.16999999999999993</v>
      </c>
      <c r="P11" t="s">
        <v>53</v>
      </c>
      <c r="Q11">
        <f>IF(Team_Level[[#This Row],[Result]]="","",COUNTIFS(Team_Level[Team],Team_Level[[#This Row],[Team]],Team_Level[Date],"&gt;="&amp;Team_Level[[#This Row],[Date]],Team_Level[Result],"&lt;&gt;"))</f>
        <v>5</v>
      </c>
      <c r="R11" t="str">
        <f>Team_Level[[#This Row],[Team]]&amp;"-"&amp;Team_Level[[#This Row],[Recency Rank]]</f>
        <v>Oxford United-5</v>
      </c>
      <c r="S11">
        <f>IF(Team_Level[[#This Row],[Result]]="","",COUNTIFS(Team_Level[Team],Team_Level[[#This Row],[Team]],Team_Level[Date],"&lt;="&amp;Team_Level[[#This Row],[Date]],Team_Level[Result],"&lt;&gt;"))</f>
        <v>1</v>
      </c>
      <c r="T11" t="str">
        <f>Team_Level[[#This Row],[Team]]&amp;"-"&amp;Team_Level[[#This Row],[Chrono Rank]]</f>
        <v>Oxford United-1</v>
      </c>
    </row>
    <row r="12" spans="1:20" x14ac:dyDescent="0.25">
      <c r="A12" t="s">
        <v>89</v>
      </c>
      <c r="B12" s="6">
        <v>46249</v>
      </c>
      <c r="C12" t="s">
        <v>16</v>
      </c>
      <c r="D12" t="s">
        <v>20</v>
      </c>
      <c r="E12">
        <v>0.92</v>
      </c>
      <c r="F12">
        <v>1.81</v>
      </c>
      <c r="G12">
        <v>1</v>
      </c>
      <c r="H12">
        <v>3</v>
      </c>
      <c r="I12">
        <v>2.73</v>
      </c>
      <c r="J12">
        <v>4</v>
      </c>
      <c r="K12">
        <v>1</v>
      </c>
      <c r="L12" t="s">
        <v>34</v>
      </c>
      <c r="M12">
        <v>-0.89</v>
      </c>
      <c r="N12">
        <v>-2</v>
      </c>
      <c r="O12">
        <v>7.999999999999996E-2</v>
      </c>
      <c r="P12" t="s">
        <v>52</v>
      </c>
      <c r="Q12">
        <f>IF(Team_Level[[#This Row],[Result]]="","",COUNTIFS(Team_Level[Team],Team_Level[[#This Row],[Team]],Team_Level[Date],"&gt;="&amp;Team_Level[[#This Row],[Date]],Team_Level[Result],"&lt;&gt;"))</f>
        <v>6</v>
      </c>
      <c r="R12" t="str">
        <f>Team_Level[[#This Row],[Team]]&amp;"-"&amp;Team_Level[[#This Row],[Recency Rank]]</f>
        <v>Plymouth Argyle-6</v>
      </c>
      <c r="S12">
        <f>IF(Team_Level[[#This Row],[Result]]="","",COUNTIFS(Team_Level[Team],Team_Level[[#This Row],[Team]],Team_Level[Date],"&lt;="&amp;Team_Level[[#This Row],[Date]],Team_Level[Result],"&lt;&gt;"))</f>
        <v>1</v>
      </c>
      <c r="T12" t="str">
        <f>Team_Level[[#This Row],[Team]]&amp;"-"&amp;Team_Level[[#This Row],[Chrono Rank]]</f>
        <v>Plymouth Argyle-1</v>
      </c>
    </row>
    <row r="13" spans="1:20" x14ac:dyDescent="0.25">
      <c r="A13" t="s">
        <v>90</v>
      </c>
      <c r="B13" s="6">
        <v>46249</v>
      </c>
      <c r="C13" t="s">
        <v>17</v>
      </c>
      <c r="D13" t="s">
        <v>11</v>
      </c>
      <c r="E13">
        <v>1.61</v>
      </c>
      <c r="F13">
        <v>1.65</v>
      </c>
      <c r="G13">
        <v>3</v>
      </c>
      <c r="H13">
        <v>4</v>
      </c>
      <c r="I13">
        <v>3.26</v>
      </c>
      <c r="J13">
        <v>7</v>
      </c>
      <c r="K13">
        <v>1</v>
      </c>
      <c r="L13" t="s">
        <v>34</v>
      </c>
      <c r="M13">
        <v>-3.9999999999999813E-2</v>
      </c>
      <c r="N13">
        <v>-1</v>
      </c>
      <c r="O13">
        <v>1.39</v>
      </c>
      <c r="P13" t="s">
        <v>52</v>
      </c>
      <c r="Q13">
        <f>IF(Team_Level[[#This Row],[Result]]="","",COUNTIFS(Team_Level[Team],Team_Level[[#This Row],[Team]],Team_Level[Date],"&gt;="&amp;Team_Level[[#This Row],[Date]],Team_Level[Result],"&lt;&gt;"))</f>
        <v>5</v>
      </c>
      <c r="R13" t="str">
        <f>Team_Level[[#This Row],[Team]]&amp;"-"&amp;Team_Level[[#This Row],[Recency Rank]]</f>
        <v>Reading-5</v>
      </c>
      <c r="S13">
        <f>IF(Team_Level[[#This Row],[Result]]="","",COUNTIFS(Team_Level[Team],Team_Level[[#This Row],[Team]],Team_Level[Date],"&lt;="&amp;Team_Level[[#This Row],[Date]],Team_Level[Result],"&lt;&gt;"))</f>
        <v>1</v>
      </c>
      <c r="T13" t="str">
        <f>Team_Level[[#This Row],[Team]]&amp;"-"&amp;Team_Level[[#This Row],[Chrono Rank]]</f>
        <v>Reading-1</v>
      </c>
    </row>
    <row r="14" spans="1:20" x14ac:dyDescent="0.25">
      <c r="A14" t="s">
        <v>91</v>
      </c>
      <c r="B14" s="6">
        <v>46254</v>
      </c>
      <c r="C14" t="s">
        <v>18</v>
      </c>
      <c r="D14" t="s">
        <v>3</v>
      </c>
      <c r="E14">
        <v>1.49</v>
      </c>
      <c r="F14">
        <v>0.59</v>
      </c>
      <c r="G14">
        <v>0</v>
      </c>
      <c r="H14">
        <v>1</v>
      </c>
      <c r="I14">
        <v>2.08</v>
      </c>
      <c r="J14">
        <v>1</v>
      </c>
      <c r="K14">
        <v>1</v>
      </c>
      <c r="L14" t="s">
        <v>34</v>
      </c>
      <c r="M14">
        <v>0.9</v>
      </c>
      <c r="N14">
        <v>-1</v>
      </c>
      <c r="O14">
        <v>-1.49</v>
      </c>
      <c r="P14" t="s">
        <v>52</v>
      </c>
      <c r="Q14">
        <f>IF(Team_Level[[#This Row],[Result]]="","",COUNTIFS(Team_Level[Team],Team_Level[[#This Row],[Team]],Team_Level[Date],"&gt;="&amp;Team_Level[[#This Row],[Date]],Team_Level[Result],"&lt;&gt;"))</f>
        <v>5</v>
      </c>
      <c r="R14" t="str">
        <f>Team_Level[[#This Row],[Team]]&amp;"-"&amp;Team_Level[[#This Row],[Recency Rank]]</f>
        <v>Sheffield Wednesday-5</v>
      </c>
      <c r="S14">
        <f>IF(Team_Level[[#This Row],[Result]]="","",COUNTIFS(Team_Level[Team],Team_Level[[#This Row],[Team]],Team_Level[Date],"&lt;="&amp;Team_Level[[#This Row],[Date]],Team_Level[Result],"&lt;&gt;"))</f>
        <v>2</v>
      </c>
      <c r="T14" t="str">
        <f>Team_Level[[#This Row],[Team]]&amp;"-"&amp;Team_Level[[#This Row],[Chrono Rank]]</f>
        <v>Sheffield Wednesday-2</v>
      </c>
    </row>
    <row r="15" spans="1:20" x14ac:dyDescent="0.25">
      <c r="A15" t="s">
        <v>92</v>
      </c>
      <c r="B15" s="6">
        <v>46256</v>
      </c>
      <c r="C15" t="s">
        <v>0</v>
      </c>
      <c r="D15" t="s">
        <v>17</v>
      </c>
      <c r="E15">
        <v>0.37</v>
      </c>
      <c r="F15">
        <v>1.28</v>
      </c>
      <c r="G15">
        <v>0</v>
      </c>
      <c r="H15">
        <v>0</v>
      </c>
      <c r="I15">
        <v>1.65</v>
      </c>
      <c r="J15">
        <v>0</v>
      </c>
      <c r="K15">
        <v>1</v>
      </c>
      <c r="L15" t="s">
        <v>34</v>
      </c>
      <c r="M15">
        <v>-0.91</v>
      </c>
      <c r="N15">
        <v>0</v>
      </c>
      <c r="O15">
        <v>-0.37</v>
      </c>
      <c r="P15" t="s">
        <v>53</v>
      </c>
      <c r="Q15">
        <f>IF(Team_Level[[#This Row],[Result]]="","",COUNTIFS(Team_Level[Team],Team_Level[[#This Row],[Team]],Team_Level[Date],"&gt;="&amp;Team_Level[[#This Row],[Date]],Team_Level[Result],"&lt;&gt;"))</f>
        <v>5</v>
      </c>
      <c r="R15" t="str">
        <f>Team_Level[[#This Row],[Team]]&amp;"-"&amp;Team_Level[[#This Row],[Recency Rank]]</f>
        <v>AFC Wimbledon-5</v>
      </c>
      <c r="S15">
        <f>IF(Team_Level[[#This Row],[Result]]="","",COUNTIFS(Team_Level[Team],Team_Level[[#This Row],[Team]],Team_Level[Date],"&lt;="&amp;Team_Level[[#This Row],[Date]],Team_Level[Result],"&lt;&gt;"))</f>
        <v>2</v>
      </c>
      <c r="T15" t="str">
        <f>Team_Level[[#This Row],[Team]]&amp;"-"&amp;Team_Level[[#This Row],[Chrono Rank]]</f>
        <v>AFC Wimbledon-2</v>
      </c>
    </row>
    <row r="16" spans="1:20" x14ac:dyDescent="0.25">
      <c r="A16" t="s">
        <v>93</v>
      </c>
      <c r="B16" s="6">
        <v>46256</v>
      </c>
      <c r="C16" t="s">
        <v>4</v>
      </c>
      <c r="D16" t="s">
        <v>6</v>
      </c>
      <c r="E16">
        <v>0.57999999999999996</v>
      </c>
      <c r="F16">
        <v>0.59</v>
      </c>
      <c r="G16">
        <v>1</v>
      </c>
      <c r="H16">
        <v>1</v>
      </c>
      <c r="I16">
        <v>1.17</v>
      </c>
      <c r="J16">
        <v>2</v>
      </c>
      <c r="K16">
        <v>1</v>
      </c>
      <c r="L16" t="s">
        <v>34</v>
      </c>
      <c r="M16">
        <v>-1.0000000000000009E-2</v>
      </c>
      <c r="N16">
        <v>0</v>
      </c>
      <c r="O16">
        <v>0.42000000000000004</v>
      </c>
      <c r="P16" t="s">
        <v>53</v>
      </c>
      <c r="Q16">
        <f>IF(Team_Level[[#This Row],[Result]]="","",COUNTIFS(Team_Level[Team],Team_Level[[#This Row],[Team]],Team_Level[Date],"&gt;="&amp;Team_Level[[#This Row],[Date]],Team_Level[Result],"&lt;&gt;"))</f>
        <v>5</v>
      </c>
      <c r="R16" t="str">
        <f>Team_Level[[#This Row],[Team]]&amp;"-"&amp;Team_Level[[#This Row],[Recency Rank]]</f>
        <v>Bromley-5</v>
      </c>
      <c r="S16">
        <f>IF(Team_Level[[#This Row],[Result]]="","",COUNTIFS(Team_Level[Team],Team_Level[[#This Row],[Team]],Team_Level[Date],"&lt;="&amp;Team_Level[[#This Row],[Date]],Team_Level[Result],"&lt;&gt;"))</f>
        <v>2</v>
      </c>
      <c r="T16" t="str">
        <f>Team_Level[[#This Row],[Team]]&amp;"-"&amp;Team_Level[[#This Row],[Chrono Rank]]</f>
        <v>Bromley-2</v>
      </c>
    </row>
    <row r="17" spans="1:20" x14ac:dyDescent="0.25">
      <c r="A17" t="s">
        <v>94</v>
      </c>
      <c r="B17" s="6">
        <v>46256</v>
      </c>
      <c r="C17" t="s">
        <v>7</v>
      </c>
      <c r="D17" t="s">
        <v>1</v>
      </c>
      <c r="E17">
        <v>1.82</v>
      </c>
      <c r="F17">
        <v>0.45</v>
      </c>
      <c r="G17">
        <v>0</v>
      </c>
      <c r="H17">
        <v>0</v>
      </c>
      <c r="I17">
        <v>2.27</v>
      </c>
      <c r="J17">
        <v>0</v>
      </c>
      <c r="K17">
        <v>1</v>
      </c>
      <c r="L17" t="s">
        <v>34</v>
      </c>
      <c r="M17">
        <v>1.37</v>
      </c>
      <c r="N17">
        <v>0</v>
      </c>
      <c r="O17">
        <v>-1.82</v>
      </c>
      <c r="P17" t="s">
        <v>53</v>
      </c>
      <c r="Q17">
        <f>IF(Team_Level[[#This Row],[Result]]="","",COUNTIFS(Team_Level[Team],Team_Level[[#This Row],[Team]],Team_Level[Date],"&gt;="&amp;Team_Level[[#This Row],[Date]],Team_Level[Result],"&lt;&gt;"))</f>
        <v>5</v>
      </c>
      <c r="R17" t="str">
        <f>Team_Level[[#This Row],[Team]]&amp;"-"&amp;Team_Level[[#This Row],[Recency Rank]]</f>
        <v>Doncaster Rovers-5</v>
      </c>
      <c r="S17">
        <f>IF(Team_Level[[#This Row],[Result]]="","",COUNTIFS(Team_Level[Team],Team_Level[[#This Row],[Team]],Team_Level[Date],"&lt;="&amp;Team_Level[[#This Row],[Date]],Team_Level[Result],"&lt;&gt;"))</f>
        <v>2</v>
      </c>
      <c r="T17" t="str">
        <f>Team_Level[[#This Row],[Team]]&amp;"-"&amp;Team_Level[[#This Row],[Chrono Rank]]</f>
        <v>Doncaster Rovers-2</v>
      </c>
    </row>
    <row r="18" spans="1:20" x14ac:dyDescent="0.25">
      <c r="A18" t="s">
        <v>95</v>
      </c>
      <c r="B18" s="6">
        <v>46256</v>
      </c>
      <c r="C18" t="s">
        <v>9</v>
      </c>
      <c r="D18" t="s">
        <v>5</v>
      </c>
      <c r="E18">
        <v>1.31</v>
      </c>
      <c r="F18">
        <v>0.81</v>
      </c>
      <c r="G18">
        <v>1</v>
      </c>
      <c r="H18">
        <v>2</v>
      </c>
      <c r="I18">
        <v>2.12</v>
      </c>
      <c r="J18">
        <v>3</v>
      </c>
      <c r="K18">
        <v>1</v>
      </c>
      <c r="L18" t="s">
        <v>34</v>
      </c>
      <c r="M18">
        <v>0.5</v>
      </c>
      <c r="N18">
        <v>-1</v>
      </c>
      <c r="O18">
        <v>-0.31000000000000005</v>
      </c>
      <c r="P18" t="s">
        <v>52</v>
      </c>
      <c r="Q18">
        <f>IF(Team_Level[[#This Row],[Result]]="","",COUNTIFS(Team_Level[Team],Team_Level[[#This Row],[Team]],Team_Level[Date],"&gt;="&amp;Team_Level[[#This Row],[Date]],Team_Level[Result],"&lt;&gt;"))</f>
        <v>5</v>
      </c>
      <c r="R18" t="str">
        <f>Team_Level[[#This Row],[Team]]&amp;"-"&amp;Team_Level[[#This Row],[Recency Rank]]</f>
        <v>Leicester City-5</v>
      </c>
      <c r="S18">
        <f>IF(Team_Level[[#This Row],[Result]]="","",COUNTIFS(Team_Level[Team],Team_Level[[#This Row],[Team]],Team_Level[Date],"&lt;="&amp;Team_Level[[#This Row],[Date]],Team_Level[Result],"&lt;&gt;"))</f>
        <v>2</v>
      </c>
      <c r="T18" t="str">
        <f>Team_Level[[#This Row],[Team]]&amp;"-"&amp;Team_Level[[#This Row],[Chrono Rank]]</f>
        <v>Leicester City-2</v>
      </c>
    </row>
    <row r="19" spans="1:20" x14ac:dyDescent="0.25">
      <c r="A19" t="s">
        <v>96</v>
      </c>
      <c r="B19" s="6">
        <v>46256</v>
      </c>
      <c r="C19" t="s">
        <v>11</v>
      </c>
      <c r="D19" t="s">
        <v>13</v>
      </c>
      <c r="E19">
        <v>1.85</v>
      </c>
      <c r="F19">
        <v>0.76</v>
      </c>
      <c r="G19">
        <v>2</v>
      </c>
      <c r="H19">
        <v>2</v>
      </c>
      <c r="I19">
        <v>2.6100000000000003</v>
      </c>
      <c r="J19">
        <v>4</v>
      </c>
      <c r="K19">
        <v>1</v>
      </c>
      <c r="L19" t="s">
        <v>34</v>
      </c>
      <c r="M19">
        <v>1.0900000000000001</v>
      </c>
      <c r="N19">
        <v>0</v>
      </c>
      <c r="O19">
        <v>0.14999999999999991</v>
      </c>
      <c r="P19" t="s">
        <v>53</v>
      </c>
      <c r="Q19">
        <f>IF(Team_Level[[#This Row],[Result]]="","",COUNTIFS(Team_Level[Team],Team_Level[[#This Row],[Team]],Team_Level[Date],"&gt;="&amp;Team_Level[[#This Row],[Date]],Team_Level[Result],"&lt;&gt;"))</f>
        <v>5</v>
      </c>
      <c r="R19" t="str">
        <f>Team_Level[[#This Row],[Team]]&amp;"-"&amp;Team_Level[[#This Row],[Recency Rank]]</f>
        <v>Luton Town-5</v>
      </c>
      <c r="S19">
        <f>IF(Team_Level[[#This Row],[Result]]="","",COUNTIFS(Team_Level[Team],Team_Level[[#This Row],[Team]],Team_Level[Date],"&lt;="&amp;Team_Level[[#This Row],[Date]],Team_Level[Result],"&lt;&gt;"))</f>
        <v>2</v>
      </c>
      <c r="T19" t="str">
        <f>Team_Level[[#This Row],[Team]]&amp;"-"&amp;Team_Level[[#This Row],[Chrono Rank]]</f>
        <v>Luton Town-2</v>
      </c>
    </row>
    <row r="20" spans="1:20" x14ac:dyDescent="0.25">
      <c r="A20" t="s">
        <v>97</v>
      </c>
      <c r="B20" s="6">
        <v>46256</v>
      </c>
      <c r="C20" t="s">
        <v>33</v>
      </c>
      <c r="D20" t="s">
        <v>8</v>
      </c>
      <c r="E20">
        <v>1.54</v>
      </c>
      <c r="F20">
        <v>2.2799999999999998</v>
      </c>
      <c r="G20">
        <v>1</v>
      </c>
      <c r="H20">
        <v>1</v>
      </c>
      <c r="I20">
        <v>3.82</v>
      </c>
      <c r="J20">
        <v>2</v>
      </c>
      <c r="K20">
        <v>1</v>
      </c>
      <c r="L20" t="s">
        <v>34</v>
      </c>
      <c r="M20">
        <v>-0.73999999999999977</v>
      </c>
      <c r="N20">
        <v>0</v>
      </c>
      <c r="O20">
        <v>-0.54</v>
      </c>
      <c r="P20" t="s">
        <v>53</v>
      </c>
      <c r="Q20">
        <f>IF(Team_Level[[#This Row],[Result]]="","",COUNTIFS(Team_Level[Team],Team_Level[[#This Row],[Team]],Team_Level[Date],"&gt;="&amp;Team_Level[[#This Row],[Date]],Team_Level[Result],"&lt;&gt;"))</f>
        <v>5</v>
      </c>
      <c r="R20" t="str">
        <f>Team_Level[[#This Row],[Team]]&amp;"-"&amp;Team_Level[[#This Row],[Recency Rank]]</f>
        <v>Milton Keynes Dons-5</v>
      </c>
      <c r="S20">
        <f>IF(Team_Level[[#This Row],[Result]]="","",COUNTIFS(Team_Level[Team],Team_Level[[#This Row],[Team]],Team_Level[Date],"&lt;="&amp;Team_Level[[#This Row],[Date]],Team_Level[Result],"&lt;&gt;"))</f>
        <v>2</v>
      </c>
      <c r="T20" t="str">
        <f>Team_Level[[#This Row],[Team]]&amp;"-"&amp;Team_Level[[#This Row],[Chrono Rank]]</f>
        <v>Milton Keynes Dons-2</v>
      </c>
    </row>
    <row r="21" spans="1:20" x14ac:dyDescent="0.25">
      <c r="A21" t="s">
        <v>98</v>
      </c>
      <c r="B21" s="6">
        <v>46256</v>
      </c>
      <c r="C21" t="s">
        <v>15</v>
      </c>
      <c r="D21" t="s">
        <v>12</v>
      </c>
      <c r="E21">
        <v>1.39</v>
      </c>
      <c r="F21">
        <v>1.25</v>
      </c>
      <c r="G21">
        <v>2</v>
      </c>
      <c r="H21">
        <v>1</v>
      </c>
      <c r="I21">
        <v>2.6399999999999997</v>
      </c>
      <c r="J21">
        <v>3</v>
      </c>
      <c r="K21">
        <v>1</v>
      </c>
      <c r="L21" t="s">
        <v>34</v>
      </c>
      <c r="M21">
        <v>0.1399999999999999</v>
      </c>
      <c r="N21">
        <v>1</v>
      </c>
      <c r="O21">
        <v>0.6100000000000001</v>
      </c>
      <c r="P21" t="s">
        <v>54</v>
      </c>
      <c r="Q21">
        <f>IF(Team_Level[[#This Row],[Result]]="","",COUNTIFS(Team_Level[Team],Team_Level[[#This Row],[Team]],Team_Level[Date],"&gt;="&amp;Team_Level[[#This Row],[Date]],Team_Level[Result],"&lt;&gt;"))</f>
        <v>5</v>
      </c>
      <c r="R21" t="str">
        <f>Team_Level[[#This Row],[Team]]&amp;"-"&amp;Team_Level[[#This Row],[Recency Rank]]</f>
        <v>Peterborough United-5</v>
      </c>
      <c r="S21">
        <f>IF(Team_Level[[#This Row],[Result]]="","",COUNTIFS(Team_Level[Team],Team_Level[[#This Row],[Team]],Team_Level[Date],"&lt;="&amp;Team_Level[[#This Row],[Date]],Team_Level[Result],"&lt;&gt;"))</f>
        <v>2</v>
      </c>
      <c r="T21" t="str">
        <f>Team_Level[[#This Row],[Team]]&amp;"-"&amp;Team_Level[[#This Row],[Chrono Rank]]</f>
        <v>Peterborough United-2</v>
      </c>
    </row>
    <row r="22" spans="1:20" x14ac:dyDescent="0.25">
      <c r="A22" t="s">
        <v>99</v>
      </c>
      <c r="B22" s="6">
        <v>46256</v>
      </c>
      <c r="C22" t="s">
        <v>19</v>
      </c>
      <c r="D22" t="s">
        <v>14</v>
      </c>
      <c r="E22">
        <v>1.17</v>
      </c>
      <c r="F22">
        <v>1.36</v>
      </c>
      <c r="G22">
        <v>1</v>
      </c>
      <c r="H22">
        <v>2</v>
      </c>
      <c r="I22">
        <v>2.5300000000000002</v>
      </c>
      <c r="J22">
        <v>3</v>
      </c>
      <c r="K22">
        <v>1</v>
      </c>
      <c r="L22" t="s">
        <v>34</v>
      </c>
      <c r="M22">
        <v>-0.19000000000000017</v>
      </c>
      <c r="N22">
        <v>-1</v>
      </c>
      <c r="O22">
        <v>-0.16999999999999993</v>
      </c>
      <c r="P22" t="s">
        <v>52</v>
      </c>
      <c r="Q22">
        <f>IF(Team_Level[[#This Row],[Result]]="","",COUNTIFS(Team_Level[Team],Team_Level[[#This Row],[Team]],Team_Level[Date],"&gt;="&amp;Team_Level[[#This Row],[Date]],Team_Level[Result],"&lt;&gt;"))</f>
        <v>5</v>
      </c>
      <c r="R22" t="str">
        <f>Team_Level[[#This Row],[Team]]&amp;"-"&amp;Team_Level[[#This Row],[Recency Rank]]</f>
        <v>Stevenage-5</v>
      </c>
      <c r="S22">
        <f>IF(Team_Level[[#This Row],[Result]]="","",COUNTIFS(Team_Level[Team],Team_Level[[#This Row],[Team]],Team_Level[Date],"&lt;="&amp;Team_Level[[#This Row],[Date]],Team_Level[Result],"&lt;&gt;"))</f>
        <v>2</v>
      </c>
      <c r="T22" t="str">
        <f>Team_Level[[#This Row],[Team]]&amp;"-"&amp;Team_Level[[#This Row],[Chrono Rank]]</f>
        <v>Stevenage-2</v>
      </c>
    </row>
    <row r="23" spans="1:20" x14ac:dyDescent="0.25">
      <c r="A23" t="s">
        <v>100</v>
      </c>
      <c r="B23" s="6">
        <v>46256</v>
      </c>
      <c r="C23" t="s">
        <v>20</v>
      </c>
      <c r="D23" t="s">
        <v>2</v>
      </c>
      <c r="E23">
        <v>3.54</v>
      </c>
      <c r="F23">
        <v>1.79</v>
      </c>
      <c r="G23">
        <v>1</v>
      </c>
      <c r="H23">
        <v>2</v>
      </c>
      <c r="I23">
        <v>5.33</v>
      </c>
      <c r="J23">
        <v>3</v>
      </c>
      <c r="K23">
        <v>1</v>
      </c>
      <c r="L23" t="s">
        <v>34</v>
      </c>
      <c r="M23">
        <v>1.75</v>
      </c>
      <c r="N23">
        <v>-1</v>
      </c>
      <c r="O23">
        <v>-2.54</v>
      </c>
      <c r="P23" t="s">
        <v>52</v>
      </c>
      <c r="Q23">
        <f>IF(Team_Level[[#This Row],[Result]]="","",COUNTIFS(Team_Level[Team],Team_Level[[#This Row],[Team]],Team_Level[Date],"&gt;="&amp;Team_Level[[#This Row],[Date]],Team_Level[Result],"&lt;&gt;"))</f>
        <v>5</v>
      </c>
      <c r="R23" t="str">
        <f>Team_Level[[#This Row],[Team]]&amp;"-"&amp;Team_Level[[#This Row],[Recency Rank]]</f>
        <v>Stockport County-5</v>
      </c>
      <c r="S23">
        <f>IF(Team_Level[[#This Row],[Result]]="","",COUNTIFS(Team_Level[Team],Team_Level[[#This Row],[Team]],Team_Level[Date],"&lt;="&amp;Team_Level[[#This Row],[Date]],Team_Level[Result],"&lt;&gt;"))</f>
        <v>2</v>
      </c>
      <c r="T23" t="str">
        <f>Team_Level[[#This Row],[Team]]&amp;"-"&amp;Team_Level[[#This Row],[Chrono Rank]]</f>
        <v>Stockport County-2</v>
      </c>
    </row>
    <row r="24" spans="1:20" x14ac:dyDescent="0.25">
      <c r="A24" t="s">
        <v>101</v>
      </c>
      <c r="B24" s="6">
        <v>46256</v>
      </c>
      <c r="C24" t="s">
        <v>21</v>
      </c>
      <c r="D24" t="s">
        <v>10</v>
      </c>
      <c r="E24">
        <v>1.6</v>
      </c>
      <c r="F24">
        <v>1.25</v>
      </c>
      <c r="G24">
        <v>0</v>
      </c>
      <c r="H24">
        <v>2</v>
      </c>
      <c r="I24">
        <v>2.85</v>
      </c>
      <c r="J24">
        <v>2</v>
      </c>
      <c r="K24">
        <v>1</v>
      </c>
      <c r="L24" t="s">
        <v>34</v>
      </c>
      <c r="M24">
        <v>0.35000000000000009</v>
      </c>
      <c r="N24">
        <v>-2</v>
      </c>
      <c r="O24">
        <v>-1.6</v>
      </c>
      <c r="P24" t="s">
        <v>52</v>
      </c>
      <c r="Q24">
        <f>IF(Team_Level[[#This Row],[Result]]="","",COUNTIFS(Team_Level[Team],Team_Level[[#This Row],[Team]],Team_Level[Date],"&gt;="&amp;Team_Level[[#This Row],[Date]],Team_Level[Result],"&lt;&gt;"))</f>
        <v>5</v>
      </c>
      <c r="R24" t="str">
        <f>Team_Level[[#This Row],[Team]]&amp;"-"&amp;Team_Level[[#This Row],[Recency Rank]]</f>
        <v>Wigan Athletic-5</v>
      </c>
      <c r="S24">
        <f>IF(Team_Level[[#This Row],[Result]]="","",COUNTIFS(Team_Level[Team],Team_Level[[#This Row],[Team]],Team_Level[Date],"&lt;="&amp;Team_Level[[#This Row],[Date]],Team_Level[Result],"&lt;&gt;"))</f>
        <v>2</v>
      </c>
      <c r="T24" t="str">
        <f>Team_Level[[#This Row],[Team]]&amp;"-"&amp;Team_Level[[#This Row],[Chrono Rank]]</f>
        <v>Wigan Athletic-2</v>
      </c>
    </row>
    <row r="25" spans="1:20" x14ac:dyDescent="0.25">
      <c r="A25" t="s">
        <v>102</v>
      </c>
      <c r="B25" s="6">
        <v>46256</v>
      </c>
      <c r="C25" t="s">
        <v>22</v>
      </c>
      <c r="D25" t="s">
        <v>16</v>
      </c>
      <c r="E25">
        <v>1.89</v>
      </c>
      <c r="F25">
        <v>0.76</v>
      </c>
      <c r="G25">
        <v>1</v>
      </c>
      <c r="H25">
        <v>1</v>
      </c>
      <c r="I25">
        <v>2.65</v>
      </c>
      <c r="J25">
        <v>2</v>
      </c>
      <c r="K25">
        <v>1</v>
      </c>
      <c r="L25" t="s">
        <v>34</v>
      </c>
      <c r="M25">
        <v>1.1299999999999999</v>
      </c>
      <c r="N25">
        <v>0</v>
      </c>
      <c r="O25">
        <v>-0.8899999999999999</v>
      </c>
      <c r="P25" t="s">
        <v>53</v>
      </c>
      <c r="Q25">
        <f>IF(Team_Level[[#This Row],[Result]]="","",COUNTIFS(Team_Level[Team],Team_Level[[#This Row],[Team]],Team_Level[Date],"&gt;="&amp;Team_Level[[#This Row],[Date]],Team_Level[Result],"&lt;&gt;"))</f>
        <v>5</v>
      </c>
      <c r="R25" t="str">
        <f>Team_Level[[#This Row],[Team]]&amp;"-"&amp;Team_Level[[#This Row],[Recency Rank]]</f>
        <v>Wycombe Wanderers-5</v>
      </c>
      <c r="S25">
        <f>IF(Team_Level[[#This Row],[Result]]="","",COUNTIFS(Team_Level[Team],Team_Level[[#This Row],[Team]],Team_Level[Date],"&lt;="&amp;Team_Level[[#This Row],[Date]],Team_Level[Result],"&lt;&gt;"))</f>
        <v>2</v>
      </c>
      <c r="T25" t="str">
        <f>Team_Level[[#This Row],[Team]]&amp;"-"&amp;Team_Level[[#This Row],[Chrono Rank]]</f>
        <v>Wycombe Wanderers-2</v>
      </c>
    </row>
    <row r="26" spans="1:20" x14ac:dyDescent="0.25">
      <c r="A26" t="s">
        <v>103</v>
      </c>
      <c r="B26" s="6">
        <v>46263</v>
      </c>
      <c r="C26" t="s">
        <v>2</v>
      </c>
      <c r="D26" t="s">
        <v>15</v>
      </c>
      <c r="E26">
        <v>2.73</v>
      </c>
      <c r="F26">
        <v>1.72</v>
      </c>
      <c r="G26">
        <v>4</v>
      </c>
      <c r="H26">
        <v>0</v>
      </c>
      <c r="I26">
        <v>4.45</v>
      </c>
      <c r="J26">
        <v>4</v>
      </c>
      <c r="K26">
        <v>1</v>
      </c>
      <c r="L26" t="s">
        <v>34</v>
      </c>
      <c r="M26">
        <v>1.01</v>
      </c>
      <c r="N26">
        <v>4</v>
      </c>
      <c r="O26">
        <v>1.27</v>
      </c>
      <c r="P26" t="s">
        <v>54</v>
      </c>
      <c r="Q26">
        <f>IF(Team_Level[[#This Row],[Result]]="","",COUNTIFS(Team_Level[Team],Team_Level[[#This Row],[Team]],Team_Level[Date],"&gt;="&amp;Team_Level[[#This Row],[Date]],Team_Level[Result],"&lt;&gt;"))</f>
        <v>4</v>
      </c>
      <c r="R26" t="str">
        <f>Team_Level[[#This Row],[Team]]&amp;"-"&amp;Team_Level[[#This Row],[Recency Rank]]</f>
        <v>Blackpool-4</v>
      </c>
      <c r="S26">
        <f>IF(Team_Level[[#This Row],[Result]]="","",COUNTIFS(Team_Level[Team],Team_Level[[#This Row],[Team]],Team_Level[Date],"&lt;="&amp;Team_Level[[#This Row],[Date]],Team_Level[Result],"&lt;&gt;"))</f>
        <v>3</v>
      </c>
      <c r="T26" t="str">
        <f>Team_Level[[#This Row],[Team]]&amp;"-"&amp;Team_Level[[#This Row],[Chrono Rank]]</f>
        <v>Blackpool-3</v>
      </c>
    </row>
    <row r="27" spans="1:20" x14ac:dyDescent="0.25">
      <c r="A27" t="s">
        <v>104</v>
      </c>
      <c r="B27" s="6">
        <v>46263</v>
      </c>
      <c r="C27" t="s">
        <v>6</v>
      </c>
      <c r="D27" t="s">
        <v>8</v>
      </c>
      <c r="E27">
        <v>1.22</v>
      </c>
      <c r="F27">
        <v>1.1299999999999999</v>
      </c>
      <c r="G27">
        <v>1</v>
      </c>
      <c r="H27">
        <v>2</v>
      </c>
      <c r="I27">
        <v>2.3499999999999996</v>
      </c>
      <c r="J27">
        <v>3</v>
      </c>
      <c r="K27">
        <v>1</v>
      </c>
      <c r="L27" t="s">
        <v>34</v>
      </c>
      <c r="M27">
        <v>9.000000000000008E-2</v>
      </c>
      <c r="N27">
        <v>-1</v>
      </c>
      <c r="O27">
        <v>-0.21999999999999997</v>
      </c>
      <c r="P27" t="s">
        <v>52</v>
      </c>
      <c r="Q27">
        <f>IF(Team_Level[[#This Row],[Result]]="","",COUNTIFS(Team_Level[Team],Team_Level[[#This Row],[Team]],Team_Level[Date],"&gt;="&amp;Team_Level[[#This Row],[Date]],Team_Level[Result],"&lt;&gt;"))</f>
        <v>4</v>
      </c>
      <c r="R27" t="str">
        <f>Team_Level[[#This Row],[Team]]&amp;"-"&amp;Team_Level[[#This Row],[Recency Rank]]</f>
        <v>Cambridge United-4</v>
      </c>
      <c r="S27">
        <f>IF(Team_Level[[#This Row],[Result]]="","",COUNTIFS(Team_Level[Team],Team_Level[[#This Row],[Team]],Team_Level[Date],"&lt;="&amp;Team_Level[[#This Row],[Date]],Team_Level[Result],"&lt;&gt;"))</f>
        <v>3</v>
      </c>
      <c r="T27" t="str">
        <f>Team_Level[[#This Row],[Team]]&amp;"-"&amp;Team_Level[[#This Row],[Chrono Rank]]</f>
        <v>Cambridge United-3</v>
      </c>
    </row>
    <row r="28" spans="1:20" x14ac:dyDescent="0.25">
      <c r="A28" t="s">
        <v>105</v>
      </c>
      <c r="B28" s="6">
        <v>46263</v>
      </c>
      <c r="C28" t="s">
        <v>10</v>
      </c>
      <c r="D28" t="s">
        <v>1</v>
      </c>
      <c r="E28">
        <v>0.73</v>
      </c>
      <c r="F28">
        <v>1.99</v>
      </c>
      <c r="G28">
        <v>1</v>
      </c>
      <c r="H28">
        <v>3</v>
      </c>
      <c r="I28">
        <v>2.7199999999999998</v>
      </c>
      <c r="J28">
        <v>4</v>
      </c>
      <c r="K28">
        <v>1</v>
      </c>
      <c r="L28" t="s">
        <v>34</v>
      </c>
      <c r="M28">
        <v>-1.26</v>
      </c>
      <c r="N28">
        <v>-2</v>
      </c>
      <c r="O28">
        <v>0.27</v>
      </c>
      <c r="P28" t="s">
        <v>52</v>
      </c>
      <c r="Q28">
        <f>IF(Team_Level[[#This Row],[Result]]="","",COUNTIFS(Team_Level[Team],Team_Level[[#This Row],[Team]],Team_Level[Date],"&gt;="&amp;Team_Level[[#This Row],[Date]],Team_Level[Result],"&lt;&gt;"))</f>
        <v>4</v>
      </c>
      <c r="R28" t="str">
        <f>Team_Level[[#This Row],[Team]]&amp;"-"&amp;Team_Level[[#This Row],[Recency Rank]]</f>
        <v>Leyton Orient-4</v>
      </c>
      <c r="S28">
        <f>IF(Team_Level[[#This Row],[Result]]="","",COUNTIFS(Team_Level[Team],Team_Level[[#This Row],[Team]],Team_Level[Date],"&lt;="&amp;Team_Level[[#This Row],[Date]],Team_Level[Result],"&lt;&gt;"))</f>
        <v>3</v>
      </c>
      <c r="T28" t="str">
        <f>Team_Level[[#This Row],[Team]]&amp;"-"&amp;Team_Level[[#This Row],[Chrono Rank]]</f>
        <v>Leyton Orient-3</v>
      </c>
    </row>
    <row r="29" spans="1:20" x14ac:dyDescent="0.25">
      <c r="A29" t="s">
        <v>106</v>
      </c>
      <c r="B29" s="6">
        <v>46263</v>
      </c>
      <c r="C29" t="s">
        <v>33</v>
      </c>
      <c r="D29" t="s">
        <v>9</v>
      </c>
      <c r="E29">
        <v>0.56999999999999995</v>
      </c>
      <c r="F29">
        <v>1.53</v>
      </c>
      <c r="G29">
        <v>0</v>
      </c>
      <c r="H29">
        <v>0</v>
      </c>
      <c r="I29">
        <v>2.1</v>
      </c>
      <c r="J29">
        <v>0</v>
      </c>
      <c r="K29">
        <v>1</v>
      </c>
      <c r="L29" t="s">
        <v>34</v>
      </c>
      <c r="M29">
        <v>-0.96000000000000008</v>
      </c>
      <c r="N29">
        <v>0</v>
      </c>
      <c r="O29">
        <v>-0.56999999999999995</v>
      </c>
      <c r="P29" t="s">
        <v>53</v>
      </c>
      <c r="Q29">
        <f>IF(Team_Level[[#This Row],[Result]]="","",COUNTIFS(Team_Level[Team],Team_Level[[#This Row],[Team]],Team_Level[Date],"&gt;="&amp;Team_Level[[#This Row],[Date]],Team_Level[Result],"&lt;&gt;"))</f>
        <v>4</v>
      </c>
      <c r="R29" t="str">
        <f>Team_Level[[#This Row],[Team]]&amp;"-"&amp;Team_Level[[#This Row],[Recency Rank]]</f>
        <v>Milton Keynes Dons-4</v>
      </c>
      <c r="S29">
        <f>IF(Team_Level[[#This Row],[Result]]="","",COUNTIFS(Team_Level[Team],Team_Level[[#This Row],[Team]],Team_Level[Date],"&lt;="&amp;Team_Level[[#This Row],[Date]],Team_Level[Result],"&lt;&gt;"))</f>
        <v>3</v>
      </c>
      <c r="T29" t="str">
        <f>Team_Level[[#This Row],[Team]]&amp;"-"&amp;Team_Level[[#This Row],[Chrono Rank]]</f>
        <v>Milton Keynes Dons-3</v>
      </c>
    </row>
    <row r="30" spans="1:20" x14ac:dyDescent="0.25">
      <c r="A30" t="s">
        <v>107</v>
      </c>
      <c r="B30" s="6">
        <v>46263</v>
      </c>
      <c r="C30" t="s">
        <v>13</v>
      </c>
      <c r="D30" t="s">
        <v>5</v>
      </c>
      <c r="E30">
        <v>2.29</v>
      </c>
      <c r="F30">
        <v>0.11</v>
      </c>
      <c r="G30">
        <v>2</v>
      </c>
      <c r="H30">
        <v>1</v>
      </c>
      <c r="I30">
        <v>2.4</v>
      </c>
      <c r="J30">
        <v>3</v>
      </c>
      <c r="K30">
        <v>1</v>
      </c>
      <c r="L30" t="s">
        <v>34</v>
      </c>
      <c r="M30">
        <v>2.1800000000000002</v>
      </c>
      <c r="N30">
        <v>1</v>
      </c>
      <c r="O30">
        <v>-0.29000000000000004</v>
      </c>
      <c r="P30" t="s">
        <v>54</v>
      </c>
      <c r="Q30">
        <f>IF(Team_Level[[#This Row],[Result]]="","",COUNTIFS(Team_Level[Team],Team_Level[[#This Row],[Team]],Team_Level[Date],"&gt;="&amp;Team_Level[[#This Row],[Date]],Team_Level[Result],"&lt;&gt;"))</f>
        <v>4</v>
      </c>
      <c r="R30" t="str">
        <f>Team_Level[[#This Row],[Team]]&amp;"-"&amp;Team_Level[[#This Row],[Recency Rank]]</f>
        <v>Notts County-4</v>
      </c>
      <c r="S30">
        <f>IF(Team_Level[[#This Row],[Result]]="","",COUNTIFS(Team_Level[Team],Team_Level[[#This Row],[Team]],Team_Level[Date],"&lt;="&amp;Team_Level[[#This Row],[Date]],Team_Level[Result],"&lt;&gt;"))</f>
        <v>3</v>
      </c>
      <c r="T30" t="str">
        <f>Team_Level[[#This Row],[Team]]&amp;"-"&amp;Team_Level[[#This Row],[Chrono Rank]]</f>
        <v>Notts County-3</v>
      </c>
    </row>
    <row r="31" spans="1:20" x14ac:dyDescent="0.25">
      <c r="A31" t="s">
        <v>108</v>
      </c>
      <c r="B31" s="6">
        <v>46263</v>
      </c>
      <c r="C31" t="s">
        <v>16</v>
      </c>
      <c r="D31" t="s">
        <v>3</v>
      </c>
      <c r="E31">
        <v>1.1599999999999999</v>
      </c>
      <c r="F31">
        <v>0.9</v>
      </c>
      <c r="G31">
        <v>2</v>
      </c>
      <c r="H31">
        <v>0</v>
      </c>
      <c r="I31">
        <v>2.06</v>
      </c>
      <c r="J31">
        <v>2</v>
      </c>
      <c r="K31">
        <v>1</v>
      </c>
      <c r="L31" t="s">
        <v>34</v>
      </c>
      <c r="M31">
        <v>0.2599999999999999</v>
      </c>
      <c r="N31">
        <v>2</v>
      </c>
      <c r="O31">
        <v>0.84000000000000008</v>
      </c>
      <c r="P31" t="s">
        <v>54</v>
      </c>
      <c r="Q31">
        <f>IF(Team_Level[[#This Row],[Result]]="","",COUNTIFS(Team_Level[Team],Team_Level[[#This Row],[Team]],Team_Level[Date],"&gt;="&amp;Team_Level[[#This Row],[Date]],Team_Level[Result],"&lt;&gt;"))</f>
        <v>4</v>
      </c>
      <c r="R31" t="str">
        <f>Team_Level[[#This Row],[Team]]&amp;"-"&amp;Team_Level[[#This Row],[Recency Rank]]</f>
        <v>Plymouth Argyle-4</v>
      </c>
      <c r="S31">
        <f>IF(Team_Level[[#This Row],[Result]]="","",COUNTIFS(Team_Level[Team],Team_Level[[#This Row],[Team]],Team_Level[Date],"&lt;="&amp;Team_Level[[#This Row],[Date]],Team_Level[Result],"&lt;&gt;"))</f>
        <v>3</v>
      </c>
      <c r="T31" t="str">
        <f>Team_Level[[#This Row],[Team]]&amp;"-"&amp;Team_Level[[#This Row],[Chrono Rank]]</f>
        <v>Plymouth Argyle-3</v>
      </c>
    </row>
    <row r="32" spans="1:20" x14ac:dyDescent="0.25">
      <c r="A32" t="s">
        <v>109</v>
      </c>
      <c r="B32" s="6">
        <v>46263</v>
      </c>
      <c r="C32" t="s">
        <v>18</v>
      </c>
      <c r="D32" t="s">
        <v>4</v>
      </c>
      <c r="E32">
        <v>4.5199999999999996</v>
      </c>
      <c r="F32">
        <v>1.5</v>
      </c>
      <c r="G32">
        <v>7</v>
      </c>
      <c r="H32">
        <v>2</v>
      </c>
      <c r="I32">
        <v>6.02</v>
      </c>
      <c r="J32">
        <v>9</v>
      </c>
      <c r="K32">
        <v>1</v>
      </c>
      <c r="L32" t="s">
        <v>34</v>
      </c>
      <c r="M32">
        <v>3.0199999999999996</v>
      </c>
      <c r="N32">
        <v>5</v>
      </c>
      <c r="O32">
        <v>2.4800000000000004</v>
      </c>
      <c r="P32" t="s">
        <v>54</v>
      </c>
      <c r="Q32">
        <f>IF(Team_Level[[#This Row],[Result]]="","",COUNTIFS(Team_Level[Team],Team_Level[[#This Row],[Team]],Team_Level[Date],"&gt;="&amp;Team_Level[[#This Row],[Date]],Team_Level[Result],"&lt;&gt;"))</f>
        <v>4</v>
      </c>
      <c r="R32" t="str">
        <f>Team_Level[[#This Row],[Team]]&amp;"-"&amp;Team_Level[[#This Row],[Recency Rank]]</f>
        <v>Sheffield Wednesday-4</v>
      </c>
      <c r="S32">
        <f>IF(Team_Level[[#This Row],[Result]]="","",COUNTIFS(Team_Level[Team],Team_Level[[#This Row],[Team]],Team_Level[Date],"&lt;="&amp;Team_Level[[#This Row],[Date]],Team_Level[Result],"&lt;&gt;"))</f>
        <v>3</v>
      </c>
      <c r="T32" t="str">
        <f>Team_Level[[#This Row],[Team]]&amp;"-"&amp;Team_Level[[#This Row],[Chrono Rank]]</f>
        <v>Sheffield Wednesday-3</v>
      </c>
    </row>
    <row r="33" spans="1:20" x14ac:dyDescent="0.25">
      <c r="A33" t="s">
        <v>110</v>
      </c>
      <c r="B33" s="6">
        <v>46263</v>
      </c>
      <c r="C33" t="s">
        <v>19</v>
      </c>
      <c r="D33" t="s">
        <v>7</v>
      </c>
      <c r="E33">
        <v>0.47</v>
      </c>
      <c r="F33">
        <v>0.65</v>
      </c>
      <c r="G33">
        <v>2</v>
      </c>
      <c r="H33">
        <v>2</v>
      </c>
      <c r="I33">
        <v>1.1200000000000001</v>
      </c>
      <c r="J33">
        <v>4</v>
      </c>
      <c r="K33">
        <v>1</v>
      </c>
      <c r="L33" t="s">
        <v>34</v>
      </c>
      <c r="M33">
        <v>-0.18000000000000005</v>
      </c>
      <c r="N33">
        <v>0</v>
      </c>
      <c r="O33">
        <v>1.53</v>
      </c>
      <c r="P33" t="s">
        <v>53</v>
      </c>
      <c r="Q33">
        <f>IF(Team_Level[[#This Row],[Result]]="","",COUNTIFS(Team_Level[Team],Team_Level[[#This Row],[Team]],Team_Level[Date],"&gt;="&amp;Team_Level[[#This Row],[Date]],Team_Level[Result],"&lt;&gt;"))</f>
        <v>4</v>
      </c>
      <c r="R33" t="str">
        <f>Team_Level[[#This Row],[Team]]&amp;"-"&amp;Team_Level[[#This Row],[Recency Rank]]</f>
        <v>Stevenage-4</v>
      </c>
      <c r="S33">
        <f>IF(Team_Level[[#This Row],[Result]]="","",COUNTIFS(Team_Level[Team],Team_Level[[#This Row],[Team]],Team_Level[Date],"&lt;="&amp;Team_Level[[#This Row],[Date]],Team_Level[Result],"&lt;&gt;"))</f>
        <v>3</v>
      </c>
      <c r="T33" t="str">
        <f>Team_Level[[#This Row],[Team]]&amp;"-"&amp;Team_Level[[#This Row],[Chrono Rank]]</f>
        <v>Stevenage-3</v>
      </c>
    </row>
    <row r="34" spans="1:20" x14ac:dyDescent="0.25">
      <c r="A34" t="s">
        <v>111</v>
      </c>
      <c r="B34" s="6">
        <v>46263</v>
      </c>
      <c r="C34" t="s">
        <v>20</v>
      </c>
      <c r="D34" t="s">
        <v>22</v>
      </c>
      <c r="E34">
        <v>1.34</v>
      </c>
      <c r="F34">
        <v>0.94</v>
      </c>
      <c r="G34">
        <v>5</v>
      </c>
      <c r="H34">
        <v>1</v>
      </c>
      <c r="I34">
        <v>2.2800000000000002</v>
      </c>
      <c r="J34">
        <v>6</v>
      </c>
      <c r="K34">
        <v>1</v>
      </c>
      <c r="L34" t="s">
        <v>34</v>
      </c>
      <c r="M34">
        <v>0.40000000000000013</v>
      </c>
      <c r="N34">
        <v>4</v>
      </c>
      <c r="O34">
        <v>3.66</v>
      </c>
      <c r="P34" t="s">
        <v>54</v>
      </c>
      <c r="Q34">
        <f>IF(Team_Level[[#This Row],[Result]]="","",COUNTIFS(Team_Level[Team],Team_Level[[#This Row],[Team]],Team_Level[Date],"&gt;="&amp;Team_Level[[#This Row],[Date]],Team_Level[Result],"&lt;&gt;"))</f>
        <v>4</v>
      </c>
      <c r="R34" t="str">
        <f>Team_Level[[#This Row],[Team]]&amp;"-"&amp;Team_Level[[#This Row],[Recency Rank]]</f>
        <v>Stockport County-4</v>
      </c>
      <c r="S34">
        <f>IF(Team_Level[[#This Row],[Result]]="","",COUNTIFS(Team_Level[Team],Team_Level[[#This Row],[Team]],Team_Level[Date],"&lt;="&amp;Team_Level[[#This Row],[Date]],Team_Level[Result],"&lt;&gt;"))</f>
        <v>3</v>
      </c>
      <c r="T34" t="str">
        <f>Team_Level[[#This Row],[Team]]&amp;"-"&amp;Team_Level[[#This Row],[Chrono Rank]]</f>
        <v>Stockport County-3</v>
      </c>
    </row>
    <row r="35" spans="1:20" x14ac:dyDescent="0.25">
      <c r="A35" t="s">
        <v>112</v>
      </c>
      <c r="B35" s="6">
        <v>46264</v>
      </c>
      <c r="C35" t="s">
        <v>0</v>
      </c>
      <c r="D35" t="s">
        <v>21</v>
      </c>
      <c r="E35">
        <v>0.72</v>
      </c>
      <c r="F35">
        <v>2.99</v>
      </c>
      <c r="G35">
        <v>1</v>
      </c>
      <c r="H35">
        <v>0</v>
      </c>
      <c r="I35">
        <v>3.71</v>
      </c>
      <c r="J35">
        <v>1</v>
      </c>
      <c r="K35">
        <v>1</v>
      </c>
      <c r="L35" t="s">
        <v>34</v>
      </c>
      <c r="M35">
        <v>-2.2700000000000005</v>
      </c>
      <c r="N35">
        <v>1</v>
      </c>
      <c r="O35">
        <v>0.28000000000000003</v>
      </c>
      <c r="P35" t="s">
        <v>54</v>
      </c>
      <c r="Q35">
        <f>IF(Team_Level[[#This Row],[Result]]="","",COUNTIFS(Team_Level[Team],Team_Level[[#This Row],[Team]],Team_Level[Date],"&gt;="&amp;Team_Level[[#This Row],[Date]],Team_Level[Result],"&lt;&gt;"))</f>
        <v>4</v>
      </c>
      <c r="R35" t="str">
        <f>Team_Level[[#This Row],[Team]]&amp;"-"&amp;Team_Level[[#This Row],[Recency Rank]]</f>
        <v>AFC Wimbledon-4</v>
      </c>
      <c r="S35">
        <f>IF(Team_Level[[#This Row],[Result]]="","",COUNTIFS(Team_Level[Team],Team_Level[[#This Row],[Team]],Team_Level[Date],"&lt;="&amp;Team_Level[[#This Row],[Date]],Team_Level[Result],"&lt;&gt;"))</f>
        <v>3</v>
      </c>
      <c r="T35" t="str">
        <f>Team_Level[[#This Row],[Team]]&amp;"-"&amp;Team_Level[[#This Row],[Chrono Rank]]</f>
        <v>AFC Wimbledon-3</v>
      </c>
    </row>
    <row r="36" spans="1:20" x14ac:dyDescent="0.25">
      <c r="A36" t="s">
        <v>113</v>
      </c>
      <c r="B36" s="6">
        <v>46264</v>
      </c>
      <c r="C36" t="s">
        <v>12</v>
      </c>
      <c r="D36" t="s">
        <v>11</v>
      </c>
      <c r="E36">
        <v>1.37</v>
      </c>
      <c r="F36">
        <v>1.35</v>
      </c>
      <c r="G36">
        <v>5</v>
      </c>
      <c r="H36">
        <v>2</v>
      </c>
      <c r="I36">
        <v>2.72</v>
      </c>
      <c r="J36">
        <v>7</v>
      </c>
      <c r="K36">
        <v>1</v>
      </c>
      <c r="L36" t="s">
        <v>34</v>
      </c>
      <c r="M36">
        <v>2.0000000000000018E-2</v>
      </c>
      <c r="N36">
        <v>3</v>
      </c>
      <c r="O36">
        <v>3.63</v>
      </c>
      <c r="P36" t="s">
        <v>54</v>
      </c>
      <c r="Q36">
        <f>IF(Team_Level[[#This Row],[Result]]="","",COUNTIFS(Team_Level[Team],Team_Level[[#This Row],[Team]],Team_Level[Date],"&gt;="&amp;Team_Level[[#This Row],[Date]],Team_Level[Result],"&lt;&gt;"))</f>
        <v>4</v>
      </c>
      <c r="R36" t="str">
        <f>Team_Level[[#This Row],[Team]]&amp;"-"&amp;Team_Level[[#This Row],[Recency Rank]]</f>
        <v>Mansfield Town-4</v>
      </c>
      <c r="S36">
        <f>IF(Team_Level[[#This Row],[Result]]="","",COUNTIFS(Team_Level[Team],Team_Level[[#This Row],[Team]],Team_Level[Date],"&lt;="&amp;Team_Level[[#This Row],[Date]],Team_Level[Result],"&lt;&gt;"))</f>
        <v>3</v>
      </c>
      <c r="T36" t="str">
        <f>Team_Level[[#This Row],[Team]]&amp;"-"&amp;Team_Level[[#This Row],[Chrono Rank]]</f>
        <v>Mansfield Town-3</v>
      </c>
    </row>
    <row r="37" spans="1:20" x14ac:dyDescent="0.25">
      <c r="A37" t="s">
        <v>114</v>
      </c>
      <c r="B37" s="6">
        <v>46266</v>
      </c>
      <c r="C37" t="s">
        <v>3</v>
      </c>
      <c r="D37" t="s">
        <v>6</v>
      </c>
      <c r="E37">
        <v>2.1800000000000002</v>
      </c>
      <c r="F37">
        <v>0.44</v>
      </c>
      <c r="G37">
        <v>1</v>
      </c>
      <c r="H37">
        <v>2</v>
      </c>
      <c r="I37">
        <v>2.62</v>
      </c>
      <c r="J37">
        <v>3</v>
      </c>
      <c r="K37">
        <v>1</v>
      </c>
      <c r="L37" t="s">
        <v>34</v>
      </c>
      <c r="M37">
        <v>1.7400000000000002</v>
      </c>
      <c r="N37">
        <v>-1</v>
      </c>
      <c r="O37">
        <v>-1.1800000000000002</v>
      </c>
      <c r="P37" t="s">
        <v>52</v>
      </c>
      <c r="Q37">
        <f>IF(Team_Level[[#This Row],[Result]]="","",COUNTIFS(Team_Level[Team],Team_Level[[#This Row],[Team]],Team_Level[Date],"&gt;="&amp;Team_Level[[#This Row],[Date]],Team_Level[Result],"&lt;&gt;"))</f>
        <v>3</v>
      </c>
      <c r="R37" t="str">
        <f>Team_Level[[#This Row],[Team]]&amp;"-"&amp;Team_Level[[#This Row],[Recency Rank]]</f>
        <v>Bradford City-3</v>
      </c>
      <c r="S37">
        <f>IF(Team_Level[[#This Row],[Result]]="","",COUNTIFS(Team_Level[Team],Team_Level[[#This Row],[Team]],Team_Level[Date],"&lt;="&amp;Team_Level[[#This Row],[Date]],Team_Level[Result],"&lt;&gt;"))</f>
        <v>4</v>
      </c>
      <c r="T37" t="str">
        <f>Team_Level[[#This Row],[Team]]&amp;"-"&amp;Team_Level[[#This Row],[Chrono Rank]]</f>
        <v>Bradford City-4</v>
      </c>
    </row>
    <row r="38" spans="1:20" x14ac:dyDescent="0.25">
      <c r="A38" t="s">
        <v>115</v>
      </c>
      <c r="B38" s="6">
        <v>46266</v>
      </c>
      <c r="C38" t="s">
        <v>4</v>
      </c>
      <c r="D38" t="s">
        <v>10</v>
      </c>
      <c r="E38">
        <v>0.63</v>
      </c>
      <c r="F38">
        <v>1.94</v>
      </c>
      <c r="G38">
        <v>0</v>
      </c>
      <c r="H38">
        <v>5</v>
      </c>
      <c r="I38">
        <v>2.57</v>
      </c>
      <c r="J38">
        <v>5</v>
      </c>
      <c r="K38">
        <v>1</v>
      </c>
      <c r="L38" t="s">
        <v>34</v>
      </c>
      <c r="M38">
        <v>-1.31</v>
      </c>
      <c r="N38">
        <v>-5</v>
      </c>
      <c r="O38">
        <v>-0.63</v>
      </c>
      <c r="P38" t="s">
        <v>52</v>
      </c>
      <c r="Q38">
        <f>IF(Team_Level[[#This Row],[Result]]="","",COUNTIFS(Team_Level[Team],Team_Level[[#This Row],[Team]],Team_Level[Date],"&gt;="&amp;Team_Level[[#This Row],[Date]],Team_Level[Result],"&lt;&gt;"))</f>
        <v>3</v>
      </c>
      <c r="R38" t="str">
        <f>Team_Level[[#This Row],[Team]]&amp;"-"&amp;Team_Level[[#This Row],[Recency Rank]]</f>
        <v>Bromley-3</v>
      </c>
      <c r="S38">
        <f>IF(Team_Level[[#This Row],[Result]]="","",COUNTIFS(Team_Level[Team],Team_Level[[#This Row],[Team]],Team_Level[Date],"&lt;="&amp;Team_Level[[#This Row],[Date]],Team_Level[Result],"&lt;&gt;"))</f>
        <v>4</v>
      </c>
      <c r="T38" t="str">
        <f>Team_Level[[#This Row],[Team]]&amp;"-"&amp;Team_Level[[#This Row],[Chrono Rank]]</f>
        <v>Bromley-4</v>
      </c>
    </row>
    <row r="39" spans="1:20" x14ac:dyDescent="0.25">
      <c r="A39" t="s">
        <v>116</v>
      </c>
      <c r="B39" s="6">
        <v>46266</v>
      </c>
      <c r="C39" t="s">
        <v>7</v>
      </c>
      <c r="D39" t="s">
        <v>13</v>
      </c>
      <c r="E39">
        <v>1.1200000000000001</v>
      </c>
      <c r="F39">
        <v>0.87</v>
      </c>
      <c r="G39">
        <v>1</v>
      </c>
      <c r="H39">
        <v>1</v>
      </c>
      <c r="I39">
        <v>1.9900000000000002</v>
      </c>
      <c r="J39">
        <v>2</v>
      </c>
      <c r="K39">
        <v>1</v>
      </c>
      <c r="L39" t="s">
        <v>34</v>
      </c>
      <c r="M39">
        <v>0.25000000000000011</v>
      </c>
      <c r="N39">
        <v>0</v>
      </c>
      <c r="O39">
        <v>-0.12000000000000011</v>
      </c>
      <c r="P39" t="s">
        <v>53</v>
      </c>
      <c r="Q39">
        <f>IF(Team_Level[[#This Row],[Result]]="","",COUNTIFS(Team_Level[Team],Team_Level[[#This Row],[Team]],Team_Level[Date],"&gt;="&amp;Team_Level[[#This Row],[Date]],Team_Level[Result],"&lt;&gt;"))</f>
        <v>3</v>
      </c>
      <c r="R39" t="str">
        <f>Team_Level[[#This Row],[Team]]&amp;"-"&amp;Team_Level[[#This Row],[Recency Rank]]</f>
        <v>Doncaster Rovers-3</v>
      </c>
      <c r="S39">
        <f>IF(Team_Level[[#This Row],[Result]]="","",COUNTIFS(Team_Level[Team],Team_Level[[#This Row],[Team]],Team_Level[Date],"&lt;="&amp;Team_Level[[#This Row],[Date]],Team_Level[Result],"&lt;&gt;"))</f>
        <v>4</v>
      </c>
      <c r="T39" t="str">
        <f>Team_Level[[#This Row],[Team]]&amp;"-"&amp;Team_Level[[#This Row],[Chrono Rank]]</f>
        <v>Doncaster Rovers-4</v>
      </c>
    </row>
    <row r="40" spans="1:20" x14ac:dyDescent="0.25">
      <c r="A40" t="s">
        <v>117</v>
      </c>
      <c r="B40" s="6">
        <v>46266</v>
      </c>
      <c r="C40" t="s">
        <v>8</v>
      </c>
      <c r="D40" t="s">
        <v>14</v>
      </c>
      <c r="E40">
        <v>3.62</v>
      </c>
      <c r="F40">
        <v>1.01</v>
      </c>
      <c r="G40">
        <v>3</v>
      </c>
      <c r="H40">
        <v>1</v>
      </c>
      <c r="I40">
        <v>4.63</v>
      </c>
      <c r="J40">
        <v>4</v>
      </c>
      <c r="K40">
        <v>1</v>
      </c>
      <c r="L40" t="s">
        <v>34</v>
      </c>
      <c r="M40">
        <v>2.6100000000000003</v>
      </c>
      <c r="N40">
        <v>2</v>
      </c>
      <c r="O40">
        <v>-0.62000000000000011</v>
      </c>
      <c r="P40" t="s">
        <v>54</v>
      </c>
      <c r="Q40">
        <f>IF(Team_Level[[#This Row],[Result]]="","",COUNTIFS(Team_Level[Team],Team_Level[[#This Row],[Team]],Team_Level[Date],"&gt;="&amp;Team_Level[[#This Row],[Date]],Team_Level[Result],"&lt;&gt;"))</f>
        <v>3</v>
      </c>
      <c r="R40" t="str">
        <f>Team_Level[[#This Row],[Team]]&amp;"-"&amp;Team_Level[[#This Row],[Recency Rank]]</f>
        <v>Huddersfield Town-3</v>
      </c>
      <c r="S40">
        <f>IF(Team_Level[[#This Row],[Result]]="","",COUNTIFS(Team_Level[Team],Team_Level[[#This Row],[Team]],Team_Level[Date],"&lt;="&amp;Team_Level[[#This Row],[Date]],Team_Level[Result],"&lt;&gt;"))</f>
        <v>4</v>
      </c>
      <c r="T40" t="str">
        <f>Team_Level[[#This Row],[Team]]&amp;"-"&amp;Team_Level[[#This Row],[Chrono Rank]]</f>
        <v>Huddersfield Town-4</v>
      </c>
    </row>
    <row r="41" spans="1:20" x14ac:dyDescent="0.25">
      <c r="A41" t="s">
        <v>118</v>
      </c>
      <c r="B41" s="6">
        <v>46266</v>
      </c>
      <c r="C41" t="s">
        <v>9</v>
      </c>
      <c r="D41" t="s">
        <v>16</v>
      </c>
      <c r="E41">
        <v>1.76</v>
      </c>
      <c r="F41">
        <v>1.1299999999999999</v>
      </c>
      <c r="G41">
        <v>2</v>
      </c>
      <c r="H41">
        <v>0</v>
      </c>
      <c r="I41">
        <v>2.8899999999999997</v>
      </c>
      <c r="J41">
        <v>2</v>
      </c>
      <c r="K41">
        <v>1</v>
      </c>
      <c r="L41" t="s">
        <v>34</v>
      </c>
      <c r="M41">
        <v>0.63000000000000012</v>
      </c>
      <c r="N41">
        <v>2</v>
      </c>
      <c r="O41">
        <v>0.24</v>
      </c>
      <c r="P41" t="s">
        <v>54</v>
      </c>
      <c r="Q41">
        <f>IF(Team_Level[[#This Row],[Result]]="","",COUNTIFS(Team_Level[Team],Team_Level[[#This Row],[Team]],Team_Level[Date],"&gt;="&amp;Team_Level[[#This Row],[Date]],Team_Level[Result],"&lt;&gt;"))</f>
        <v>3</v>
      </c>
      <c r="R41" t="str">
        <f>Team_Level[[#This Row],[Team]]&amp;"-"&amp;Team_Level[[#This Row],[Recency Rank]]</f>
        <v>Leicester City-3</v>
      </c>
      <c r="S41">
        <f>IF(Team_Level[[#This Row],[Result]]="","",COUNTIFS(Team_Level[Team],Team_Level[[#This Row],[Team]],Team_Level[Date],"&lt;="&amp;Team_Level[[#This Row],[Date]],Team_Level[Result],"&lt;&gt;"))</f>
        <v>4</v>
      </c>
      <c r="T41" t="str">
        <f>Team_Level[[#This Row],[Team]]&amp;"-"&amp;Team_Level[[#This Row],[Chrono Rank]]</f>
        <v>Leicester City-4</v>
      </c>
    </row>
    <row r="42" spans="1:20" x14ac:dyDescent="0.25">
      <c r="A42" t="s">
        <v>119</v>
      </c>
      <c r="B42" s="6">
        <v>46266</v>
      </c>
      <c r="C42" t="s">
        <v>15</v>
      </c>
      <c r="D42" t="s">
        <v>19</v>
      </c>
      <c r="E42">
        <v>0.91</v>
      </c>
      <c r="F42">
        <v>0.47</v>
      </c>
      <c r="G42">
        <v>0</v>
      </c>
      <c r="H42">
        <v>0</v>
      </c>
      <c r="I42">
        <v>1.38</v>
      </c>
      <c r="J42">
        <v>0</v>
      </c>
      <c r="K42">
        <v>1</v>
      </c>
      <c r="L42" t="s">
        <v>34</v>
      </c>
      <c r="M42">
        <v>0.44000000000000006</v>
      </c>
      <c r="N42">
        <v>0</v>
      </c>
      <c r="O42">
        <v>-0.91</v>
      </c>
      <c r="P42" t="s">
        <v>53</v>
      </c>
      <c r="Q42">
        <f>IF(Team_Level[[#This Row],[Result]]="","",COUNTIFS(Team_Level[Team],Team_Level[[#This Row],[Team]],Team_Level[Date],"&gt;="&amp;Team_Level[[#This Row],[Date]],Team_Level[Result],"&lt;&gt;"))</f>
        <v>3</v>
      </c>
      <c r="R42" t="str">
        <f>Team_Level[[#This Row],[Team]]&amp;"-"&amp;Team_Level[[#This Row],[Recency Rank]]</f>
        <v>Peterborough United-3</v>
      </c>
      <c r="S42">
        <f>IF(Team_Level[[#This Row],[Result]]="","",COUNTIFS(Team_Level[Team],Team_Level[[#This Row],[Team]],Team_Level[Date],"&lt;="&amp;Team_Level[[#This Row],[Date]],Team_Level[Result],"&lt;&gt;"))</f>
        <v>4</v>
      </c>
      <c r="T42" t="str">
        <f>Team_Level[[#This Row],[Team]]&amp;"-"&amp;Team_Level[[#This Row],[Chrono Rank]]</f>
        <v>Peterborough United-4</v>
      </c>
    </row>
    <row r="43" spans="1:20" x14ac:dyDescent="0.25">
      <c r="A43" t="s">
        <v>120</v>
      </c>
      <c r="B43" s="6">
        <v>46266</v>
      </c>
      <c r="C43" t="s">
        <v>22</v>
      </c>
      <c r="D43" t="s">
        <v>18</v>
      </c>
      <c r="E43">
        <v>1.02</v>
      </c>
      <c r="F43">
        <v>2.56</v>
      </c>
      <c r="G43">
        <v>1</v>
      </c>
      <c r="H43">
        <v>2</v>
      </c>
      <c r="I43">
        <v>3.58</v>
      </c>
      <c r="J43">
        <v>3</v>
      </c>
      <c r="K43">
        <v>1</v>
      </c>
      <c r="L43" t="s">
        <v>34</v>
      </c>
      <c r="M43">
        <v>-1.54</v>
      </c>
      <c r="N43">
        <v>-1</v>
      </c>
      <c r="O43">
        <v>-2.0000000000000018E-2</v>
      </c>
      <c r="P43" t="s">
        <v>52</v>
      </c>
      <c r="Q43">
        <f>IF(Team_Level[[#This Row],[Result]]="","",COUNTIFS(Team_Level[Team],Team_Level[[#This Row],[Team]],Team_Level[Date],"&gt;="&amp;Team_Level[[#This Row],[Date]],Team_Level[Result],"&lt;&gt;"))</f>
        <v>3</v>
      </c>
      <c r="R43" t="str">
        <f>Team_Level[[#This Row],[Team]]&amp;"-"&amp;Team_Level[[#This Row],[Recency Rank]]</f>
        <v>Wycombe Wanderers-3</v>
      </c>
      <c r="S43">
        <f>IF(Team_Level[[#This Row],[Result]]="","",COUNTIFS(Team_Level[Team],Team_Level[[#This Row],[Team]],Team_Level[Date],"&lt;="&amp;Team_Level[[#This Row],[Date]],Team_Level[Result],"&lt;&gt;"))</f>
        <v>4</v>
      </c>
      <c r="T43" t="str">
        <f>Team_Level[[#This Row],[Team]]&amp;"-"&amp;Team_Level[[#This Row],[Chrono Rank]]</f>
        <v>Wycombe Wanderers-4</v>
      </c>
    </row>
    <row r="44" spans="1:20" x14ac:dyDescent="0.25">
      <c r="A44" t="s">
        <v>121</v>
      </c>
      <c r="B44" s="6">
        <v>46267</v>
      </c>
      <c r="C44" t="s">
        <v>1</v>
      </c>
      <c r="D44" t="s">
        <v>2</v>
      </c>
      <c r="E44">
        <v>1.97</v>
      </c>
      <c r="F44">
        <v>2.4</v>
      </c>
      <c r="G44">
        <v>2</v>
      </c>
      <c r="H44">
        <v>1</v>
      </c>
      <c r="I44">
        <v>4.37</v>
      </c>
      <c r="J44">
        <v>3</v>
      </c>
      <c r="K44">
        <v>1</v>
      </c>
      <c r="L44" t="s">
        <v>34</v>
      </c>
      <c r="M44">
        <v>-0.42999999999999994</v>
      </c>
      <c r="N44">
        <v>1</v>
      </c>
      <c r="O44">
        <v>3.0000000000000027E-2</v>
      </c>
      <c r="P44" t="s">
        <v>54</v>
      </c>
      <c r="Q44">
        <f>IF(Team_Level[[#This Row],[Result]]="","",COUNTIFS(Team_Level[Team],Team_Level[[#This Row],[Team]],Team_Level[Date],"&gt;="&amp;Team_Level[[#This Row],[Date]],Team_Level[Result],"&lt;&gt;"))</f>
        <v>3</v>
      </c>
      <c r="R44" t="str">
        <f>Team_Level[[#This Row],[Team]]&amp;"-"&amp;Team_Level[[#This Row],[Recency Rank]]</f>
        <v>Barnsley-3</v>
      </c>
      <c r="S44">
        <f>IF(Team_Level[[#This Row],[Result]]="","",COUNTIFS(Team_Level[Team],Team_Level[[#This Row],[Team]],Team_Level[Date],"&lt;="&amp;Team_Level[[#This Row],[Date]],Team_Level[Result],"&lt;&gt;"))</f>
        <v>4</v>
      </c>
      <c r="T44" t="str">
        <f>Team_Level[[#This Row],[Team]]&amp;"-"&amp;Team_Level[[#This Row],[Chrono Rank]]</f>
        <v>Barnsley-4</v>
      </c>
    </row>
    <row r="45" spans="1:20" x14ac:dyDescent="0.25">
      <c r="A45" t="s">
        <v>122</v>
      </c>
      <c r="B45" s="6">
        <v>46267</v>
      </c>
      <c r="C45" t="s">
        <v>5</v>
      </c>
      <c r="D45" t="s">
        <v>0</v>
      </c>
      <c r="E45">
        <v>0.93</v>
      </c>
      <c r="F45">
        <v>1.43</v>
      </c>
      <c r="G45">
        <v>4</v>
      </c>
      <c r="H45">
        <v>1</v>
      </c>
      <c r="I45">
        <v>2.36</v>
      </c>
      <c r="J45">
        <v>5</v>
      </c>
      <c r="K45">
        <v>1</v>
      </c>
      <c r="L45" t="s">
        <v>34</v>
      </c>
      <c r="M45">
        <v>-0.49999999999999989</v>
      </c>
      <c r="N45">
        <v>3</v>
      </c>
      <c r="O45">
        <v>3.07</v>
      </c>
      <c r="P45" t="s">
        <v>54</v>
      </c>
      <c r="Q45">
        <f>IF(Team_Level[[#This Row],[Result]]="","",COUNTIFS(Team_Level[Team],Team_Level[[#This Row],[Team]],Team_Level[Date],"&gt;="&amp;Team_Level[[#This Row],[Date]],Team_Level[Result],"&lt;&gt;"))</f>
        <v>3</v>
      </c>
      <c r="R45" t="str">
        <f>Team_Level[[#This Row],[Team]]&amp;"-"&amp;Team_Level[[#This Row],[Recency Rank]]</f>
        <v>Burton Albion-3</v>
      </c>
      <c r="S45">
        <f>IF(Team_Level[[#This Row],[Result]]="","",COUNTIFS(Team_Level[Team],Team_Level[[#This Row],[Team]],Team_Level[Date],"&lt;="&amp;Team_Level[[#This Row],[Date]],Team_Level[Result],"&lt;&gt;"))</f>
        <v>4</v>
      </c>
      <c r="T45" t="str">
        <f>Team_Level[[#This Row],[Team]]&amp;"-"&amp;Team_Level[[#This Row],[Chrono Rank]]</f>
        <v>Burton Albion-4</v>
      </c>
    </row>
    <row r="46" spans="1:20" x14ac:dyDescent="0.25">
      <c r="A46" t="s">
        <v>123</v>
      </c>
      <c r="B46" s="6">
        <v>46267</v>
      </c>
      <c r="C46" t="s">
        <v>11</v>
      </c>
      <c r="D46" t="s">
        <v>20</v>
      </c>
      <c r="E46">
        <v>1.4</v>
      </c>
      <c r="F46">
        <v>0.84</v>
      </c>
      <c r="G46">
        <v>2</v>
      </c>
      <c r="H46">
        <v>0</v>
      </c>
      <c r="I46">
        <v>2.2399999999999998</v>
      </c>
      <c r="J46">
        <v>2</v>
      </c>
      <c r="K46">
        <v>1</v>
      </c>
      <c r="L46" t="s">
        <v>34</v>
      </c>
      <c r="M46">
        <v>0.55999999999999994</v>
      </c>
      <c r="N46">
        <v>2</v>
      </c>
      <c r="O46">
        <v>0.60000000000000009</v>
      </c>
      <c r="P46" t="s">
        <v>54</v>
      </c>
      <c r="Q46">
        <f>IF(Team_Level[[#This Row],[Result]]="","",COUNTIFS(Team_Level[Team],Team_Level[[#This Row],[Team]],Team_Level[Date],"&gt;="&amp;Team_Level[[#This Row],[Date]],Team_Level[Result],"&lt;&gt;"))</f>
        <v>3</v>
      </c>
      <c r="R46" t="str">
        <f>Team_Level[[#This Row],[Team]]&amp;"-"&amp;Team_Level[[#This Row],[Recency Rank]]</f>
        <v>Luton Town-3</v>
      </c>
      <c r="S46">
        <f>IF(Team_Level[[#This Row],[Result]]="","",COUNTIFS(Team_Level[Team],Team_Level[[#This Row],[Team]],Team_Level[Date],"&lt;="&amp;Team_Level[[#This Row],[Date]],Team_Level[Result],"&lt;&gt;"))</f>
        <v>4</v>
      </c>
      <c r="T46" t="str">
        <f>Team_Level[[#This Row],[Team]]&amp;"-"&amp;Team_Level[[#This Row],[Chrono Rank]]</f>
        <v>Luton Town-4</v>
      </c>
    </row>
    <row r="47" spans="1:20" x14ac:dyDescent="0.25">
      <c r="A47" t="s">
        <v>124</v>
      </c>
      <c r="B47" s="6">
        <v>46267</v>
      </c>
      <c r="C47" t="s">
        <v>17</v>
      </c>
      <c r="D47" t="s">
        <v>12</v>
      </c>
      <c r="E47">
        <v>2.35</v>
      </c>
      <c r="F47">
        <v>2.8</v>
      </c>
      <c r="G47">
        <v>5</v>
      </c>
      <c r="H47">
        <v>0</v>
      </c>
      <c r="I47">
        <v>5.15</v>
      </c>
      <c r="J47">
        <v>5</v>
      </c>
      <c r="K47">
        <v>1</v>
      </c>
      <c r="L47" t="s">
        <v>34</v>
      </c>
      <c r="M47">
        <v>-0.44999999999999973</v>
      </c>
      <c r="N47">
        <v>5</v>
      </c>
      <c r="O47">
        <v>2.65</v>
      </c>
      <c r="P47" t="s">
        <v>54</v>
      </c>
      <c r="Q47">
        <f>IF(Team_Level[[#This Row],[Result]]="","",COUNTIFS(Team_Level[Team],Team_Level[[#This Row],[Team]],Team_Level[Date],"&gt;="&amp;Team_Level[[#This Row],[Date]],Team_Level[Result],"&lt;&gt;"))</f>
        <v>3</v>
      </c>
      <c r="R47" t="str">
        <f>Team_Level[[#This Row],[Team]]&amp;"-"&amp;Team_Level[[#This Row],[Recency Rank]]</f>
        <v>Reading-3</v>
      </c>
      <c r="S47">
        <f>IF(Team_Level[[#This Row],[Result]]="","",COUNTIFS(Team_Level[Team],Team_Level[[#This Row],[Team]],Team_Level[Date],"&lt;="&amp;Team_Level[[#This Row],[Date]],Team_Level[Result],"&lt;&gt;"))</f>
        <v>3</v>
      </c>
      <c r="T47" t="str">
        <f>Team_Level[[#This Row],[Team]]&amp;"-"&amp;Team_Level[[#This Row],[Chrono Rank]]</f>
        <v>Reading-3</v>
      </c>
    </row>
    <row r="48" spans="1:20" x14ac:dyDescent="0.25">
      <c r="A48" t="s">
        <v>125</v>
      </c>
      <c r="B48" s="6">
        <v>46267</v>
      </c>
      <c r="C48" t="s">
        <v>21</v>
      </c>
      <c r="D48" t="s">
        <v>33</v>
      </c>
      <c r="E48">
        <v>2.68</v>
      </c>
      <c r="F48">
        <v>1.37</v>
      </c>
      <c r="G48">
        <v>3</v>
      </c>
      <c r="H48">
        <v>1</v>
      </c>
      <c r="I48">
        <v>4.0500000000000007</v>
      </c>
      <c r="J48">
        <v>4</v>
      </c>
      <c r="K48">
        <v>1</v>
      </c>
      <c r="L48" t="s">
        <v>34</v>
      </c>
      <c r="M48">
        <v>1.31</v>
      </c>
      <c r="N48">
        <v>2</v>
      </c>
      <c r="O48">
        <v>0.31999999999999984</v>
      </c>
      <c r="P48" t="s">
        <v>54</v>
      </c>
      <c r="Q48">
        <f>IF(Team_Level[[#This Row],[Result]]="","",COUNTIFS(Team_Level[Team],Team_Level[[#This Row],[Team]],Team_Level[Date],"&gt;="&amp;Team_Level[[#This Row],[Date]],Team_Level[Result],"&lt;&gt;"))</f>
        <v>3</v>
      </c>
      <c r="R48" t="str">
        <f>Team_Level[[#This Row],[Team]]&amp;"-"&amp;Team_Level[[#This Row],[Recency Rank]]</f>
        <v>Wigan Athletic-3</v>
      </c>
      <c r="S48">
        <f>IF(Team_Level[[#This Row],[Result]]="","",COUNTIFS(Team_Level[Team],Team_Level[[#This Row],[Team]],Team_Level[Date],"&lt;="&amp;Team_Level[[#This Row],[Date]],Team_Level[Result],"&lt;&gt;"))</f>
        <v>4</v>
      </c>
      <c r="T48" t="str">
        <f>Team_Level[[#This Row],[Team]]&amp;"-"&amp;Team_Level[[#This Row],[Chrono Rank]]</f>
        <v>Wigan Athletic-4</v>
      </c>
    </row>
    <row r="49" spans="1:20" x14ac:dyDescent="0.25">
      <c r="A49" t="s">
        <v>126</v>
      </c>
      <c r="B49" s="6">
        <v>46270</v>
      </c>
      <c r="C49" t="s">
        <v>1</v>
      </c>
      <c r="D49" t="s">
        <v>19</v>
      </c>
      <c r="E49">
        <v>1.83</v>
      </c>
      <c r="F49">
        <v>1.93</v>
      </c>
      <c r="G49">
        <v>1</v>
      </c>
      <c r="H49">
        <v>5</v>
      </c>
      <c r="I49">
        <v>3.76</v>
      </c>
      <c r="J49">
        <v>6</v>
      </c>
      <c r="K49">
        <v>1</v>
      </c>
      <c r="L49" t="s">
        <v>34</v>
      </c>
      <c r="M49">
        <v>-9.9999999999999867E-2</v>
      </c>
      <c r="N49">
        <v>-4</v>
      </c>
      <c r="O49">
        <v>-0.83000000000000007</v>
      </c>
      <c r="P49" t="s">
        <v>52</v>
      </c>
      <c r="Q49">
        <f>IF(Team_Level[[#This Row],[Result]]="","",COUNTIFS(Team_Level[Team],Team_Level[[#This Row],[Team]],Team_Level[Date],"&gt;="&amp;Team_Level[[#This Row],[Date]],Team_Level[Result],"&lt;&gt;"))</f>
        <v>2</v>
      </c>
      <c r="R49" t="str">
        <f>Team_Level[[#This Row],[Team]]&amp;"-"&amp;Team_Level[[#This Row],[Recency Rank]]</f>
        <v>Barnsley-2</v>
      </c>
      <c r="S49">
        <f>IF(Team_Level[[#This Row],[Result]]="","",COUNTIFS(Team_Level[Team],Team_Level[[#This Row],[Team]],Team_Level[Date],"&lt;="&amp;Team_Level[[#This Row],[Date]],Team_Level[Result],"&lt;&gt;"))</f>
        <v>5</v>
      </c>
      <c r="T49" t="str">
        <f>Team_Level[[#This Row],[Team]]&amp;"-"&amp;Team_Level[[#This Row],[Chrono Rank]]</f>
        <v>Barnsley-5</v>
      </c>
    </row>
    <row r="50" spans="1:20" x14ac:dyDescent="0.25">
      <c r="A50" t="s">
        <v>127</v>
      </c>
      <c r="B50" s="6">
        <v>46270</v>
      </c>
      <c r="C50" t="s">
        <v>3</v>
      </c>
      <c r="D50" t="s">
        <v>12</v>
      </c>
      <c r="E50">
        <v>1.03</v>
      </c>
      <c r="F50">
        <v>0.48</v>
      </c>
      <c r="G50">
        <v>1</v>
      </c>
      <c r="H50">
        <v>0</v>
      </c>
      <c r="I50">
        <v>1.51</v>
      </c>
      <c r="J50">
        <v>1</v>
      </c>
      <c r="K50">
        <v>1</v>
      </c>
      <c r="L50" t="s">
        <v>34</v>
      </c>
      <c r="M50">
        <v>0.55000000000000004</v>
      </c>
      <c r="N50">
        <v>1</v>
      </c>
      <c r="O50">
        <v>-3.0000000000000027E-2</v>
      </c>
      <c r="P50" t="s">
        <v>54</v>
      </c>
      <c r="Q50">
        <f>IF(Team_Level[[#This Row],[Result]]="","",COUNTIFS(Team_Level[Team],Team_Level[[#This Row],[Team]],Team_Level[Date],"&gt;="&amp;Team_Level[[#This Row],[Date]],Team_Level[Result],"&lt;&gt;"))</f>
        <v>2</v>
      </c>
      <c r="R50" t="str">
        <f>Team_Level[[#This Row],[Team]]&amp;"-"&amp;Team_Level[[#This Row],[Recency Rank]]</f>
        <v>Bradford City-2</v>
      </c>
      <c r="S50">
        <f>IF(Team_Level[[#This Row],[Result]]="","",COUNTIFS(Team_Level[Team],Team_Level[[#This Row],[Team]],Team_Level[Date],"&lt;="&amp;Team_Level[[#This Row],[Date]],Team_Level[Result],"&lt;&gt;"))</f>
        <v>5</v>
      </c>
      <c r="T50" t="str">
        <f>Team_Level[[#This Row],[Team]]&amp;"-"&amp;Team_Level[[#This Row],[Chrono Rank]]</f>
        <v>Bradford City-5</v>
      </c>
    </row>
    <row r="51" spans="1:20" x14ac:dyDescent="0.25">
      <c r="A51" t="s">
        <v>128</v>
      </c>
      <c r="B51" s="6">
        <v>46270</v>
      </c>
      <c r="C51" t="s">
        <v>5</v>
      </c>
      <c r="D51" t="s">
        <v>6</v>
      </c>
      <c r="E51">
        <v>2.31</v>
      </c>
      <c r="F51">
        <v>0.9</v>
      </c>
      <c r="G51">
        <v>2</v>
      </c>
      <c r="H51">
        <v>2</v>
      </c>
      <c r="I51">
        <v>3.21</v>
      </c>
      <c r="J51">
        <v>4</v>
      </c>
      <c r="K51">
        <v>1</v>
      </c>
      <c r="L51" t="s">
        <v>34</v>
      </c>
      <c r="M51">
        <v>1.4100000000000001</v>
      </c>
      <c r="N51">
        <v>0</v>
      </c>
      <c r="O51">
        <v>-0.31000000000000005</v>
      </c>
      <c r="P51" t="s">
        <v>53</v>
      </c>
      <c r="Q51">
        <f>IF(Team_Level[[#This Row],[Result]]="","",COUNTIFS(Team_Level[Team],Team_Level[[#This Row],[Team]],Team_Level[Date],"&gt;="&amp;Team_Level[[#This Row],[Date]],Team_Level[Result],"&lt;&gt;"))</f>
        <v>2</v>
      </c>
      <c r="R51" t="str">
        <f>Team_Level[[#This Row],[Team]]&amp;"-"&amp;Team_Level[[#This Row],[Recency Rank]]</f>
        <v>Burton Albion-2</v>
      </c>
      <c r="S51">
        <f>IF(Team_Level[[#This Row],[Result]]="","",COUNTIFS(Team_Level[Team],Team_Level[[#This Row],[Team]],Team_Level[Date],"&lt;="&amp;Team_Level[[#This Row],[Date]],Team_Level[Result],"&lt;&gt;"))</f>
        <v>5</v>
      </c>
      <c r="T51" t="str">
        <f>Team_Level[[#This Row],[Team]]&amp;"-"&amp;Team_Level[[#This Row],[Chrono Rank]]</f>
        <v>Burton Albion-5</v>
      </c>
    </row>
    <row r="52" spans="1:20" x14ac:dyDescent="0.25">
      <c r="A52" t="s">
        <v>129</v>
      </c>
      <c r="B52" s="6">
        <v>46270</v>
      </c>
      <c r="C52" t="s">
        <v>7</v>
      </c>
      <c r="D52" t="s">
        <v>16</v>
      </c>
      <c r="E52">
        <v>2.33</v>
      </c>
      <c r="F52">
        <v>2.65</v>
      </c>
      <c r="G52">
        <v>2</v>
      </c>
      <c r="H52">
        <v>3</v>
      </c>
      <c r="I52">
        <v>4.9800000000000004</v>
      </c>
      <c r="J52">
        <v>5</v>
      </c>
      <c r="K52">
        <v>1</v>
      </c>
      <c r="L52" t="s">
        <v>34</v>
      </c>
      <c r="M52">
        <v>-0.31999999999999984</v>
      </c>
      <c r="N52">
        <v>-1</v>
      </c>
      <c r="O52">
        <v>-0.33000000000000007</v>
      </c>
      <c r="P52" t="s">
        <v>52</v>
      </c>
      <c r="Q52">
        <f>IF(Team_Level[[#This Row],[Result]]="","",COUNTIFS(Team_Level[Team],Team_Level[[#This Row],[Team]],Team_Level[Date],"&gt;="&amp;Team_Level[[#This Row],[Date]],Team_Level[Result],"&lt;&gt;"))</f>
        <v>2</v>
      </c>
      <c r="R52" t="str">
        <f>Team_Level[[#This Row],[Team]]&amp;"-"&amp;Team_Level[[#This Row],[Recency Rank]]</f>
        <v>Doncaster Rovers-2</v>
      </c>
      <c r="S52">
        <f>IF(Team_Level[[#This Row],[Result]]="","",COUNTIFS(Team_Level[Team],Team_Level[[#This Row],[Team]],Team_Level[Date],"&lt;="&amp;Team_Level[[#This Row],[Date]],Team_Level[Result],"&lt;&gt;"))</f>
        <v>5</v>
      </c>
      <c r="T52" t="str">
        <f>Team_Level[[#This Row],[Team]]&amp;"-"&amp;Team_Level[[#This Row],[Chrono Rank]]</f>
        <v>Doncaster Rovers-5</v>
      </c>
    </row>
    <row r="53" spans="1:20" x14ac:dyDescent="0.25">
      <c r="A53" t="s">
        <v>130</v>
      </c>
      <c r="B53" s="6">
        <v>46270</v>
      </c>
      <c r="C53" t="s">
        <v>8</v>
      </c>
      <c r="D53" t="s">
        <v>13</v>
      </c>
      <c r="E53">
        <v>1.41</v>
      </c>
      <c r="F53">
        <v>1.24</v>
      </c>
      <c r="G53">
        <v>1</v>
      </c>
      <c r="H53">
        <v>1</v>
      </c>
      <c r="I53">
        <v>2.65</v>
      </c>
      <c r="J53">
        <v>2</v>
      </c>
      <c r="K53">
        <v>1</v>
      </c>
      <c r="L53" t="s">
        <v>34</v>
      </c>
      <c r="M53">
        <v>0.16999999999999993</v>
      </c>
      <c r="N53">
        <v>0</v>
      </c>
      <c r="O53">
        <v>-0.40999999999999992</v>
      </c>
      <c r="P53" t="s">
        <v>53</v>
      </c>
      <c r="Q53">
        <f>IF(Team_Level[[#This Row],[Result]]="","",COUNTIFS(Team_Level[Team],Team_Level[[#This Row],[Team]],Team_Level[Date],"&gt;="&amp;Team_Level[[#This Row],[Date]],Team_Level[Result],"&lt;&gt;"))</f>
        <v>2</v>
      </c>
      <c r="R53" t="str">
        <f>Team_Level[[#This Row],[Team]]&amp;"-"&amp;Team_Level[[#This Row],[Recency Rank]]</f>
        <v>Huddersfield Town-2</v>
      </c>
      <c r="S53">
        <f>IF(Team_Level[[#This Row],[Result]]="","",COUNTIFS(Team_Level[Team],Team_Level[[#This Row],[Team]],Team_Level[Date],"&lt;="&amp;Team_Level[[#This Row],[Date]],Team_Level[Result],"&lt;&gt;"))</f>
        <v>5</v>
      </c>
      <c r="T53" t="str">
        <f>Team_Level[[#This Row],[Team]]&amp;"-"&amp;Team_Level[[#This Row],[Chrono Rank]]</f>
        <v>Huddersfield Town-5</v>
      </c>
    </row>
    <row r="54" spans="1:20" x14ac:dyDescent="0.25">
      <c r="A54" t="s">
        <v>131</v>
      </c>
      <c r="B54" s="6">
        <v>46270</v>
      </c>
      <c r="C54" t="s">
        <v>9</v>
      </c>
      <c r="D54" t="s">
        <v>14</v>
      </c>
      <c r="E54">
        <v>1.03</v>
      </c>
      <c r="F54">
        <v>2.31</v>
      </c>
      <c r="G54">
        <v>0</v>
      </c>
      <c r="H54">
        <v>4</v>
      </c>
      <c r="I54">
        <v>3.34</v>
      </c>
      <c r="J54">
        <v>4</v>
      </c>
      <c r="K54">
        <v>1</v>
      </c>
      <c r="L54" t="s">
        <v>34</v>
      </c>
      <c r="M54">
        <v>-1.28</v>
      </c>
      <c r="N54">
        <v>-4</v>
      </c>
      <c r="O54">
        <v>-1.03</v>
      </c>
      <c r="P54" t="s">
        <v>52</v>
      </c>
      <c r="Q54">
        <f>IF(Team_Level[[#This Row],[Result]]="","",COUNTIFS(Team_Level[Team],Team_Level[[#This Row],[Team]],Team_Level[Date],"&gt;="&amp;Team_Level[[#This Row],[Date]],Team_Level[Result],"&lt;&gt;"))</f>
        <v>2</v>
      </c>
      <c r="R54" t="str">
        <f>Team_Level[[#This Row],[Team]]&amp;"-"&amp;Team_Level[[#This Row],[Recency Rank]]</f>
        <v>Leicester City-2</v>
      </c>
      <c r="S54">
        <f>IF(Team_Level[[#This Row],[Result]]="","",COUNTIFS(Team_Level[Team],Team_Level[[#This Row],[Team]],Team_Level[Date],"&lt;="&amp;Team_Level[[#This Row],[Date]],Team_Level[Result],"&lt;&gt;"))</f>
        <v>5</v>
      </c>
      <c r="T54" t="str">
        <f>Team_Level[[#This Row],[Team]]&amp;"-"&amp;Team_Level[[#This Row],[Chrono Rank]]</f>
        <v>Leicester City-5</v>
      </c>
    </row>
    <row r="55" spans="1:20" x14ac:dyDescent="0.25">
      <c r="A55" t="s">
        <v>132</v>
      </c>
      <c r="B55" s="6">
        <v>46270</v>
      </c>
      <c r="C55" t="s">
        <v>11</v>
      </c>
      <c r="D55" t="s">
        <v>10</v>
      </c>
      <c r="E55">
        <v>2.21</v>
      </c>
      <c r="F55">
        <v>0.56000000000000005</v>
      </c>
      <c r="G55">
        <v>1</v>
      </c>
      <c r="H55">
        <v>1</v>
      </c>
      <c r="I55">
        <v>2.77</v>
      </c>
      <c r="J55">
        <v>2</v>
      </c>
      <c r="K55">
        <v>1</v>
      </c>
      <c r="L55" t="s">
        <v>34</v>
      </c>
      <c r="M55">
        <v>1.65</v>
      </c>
      <c r="N55">
        <v>0</v>
      </c>
      <c r="O55">
        <v>-1.21</v>
      </c>
      <c r="P55" t="s">
        <v>53</v>
      </c>
      <c r="Q55">
        <f>IF(Team_Level[[#This Row],[Result]]="","",COUNTIFS(Team_Level[Team],Team_Level[[#This Row],[Team]],Team_Level[Date],"&gt;="&amp;Team_Level[[#This Row],[Date]],Team_Level[Result],"&lt;&gt;"))</f>
        <v>2</v>
      </c>
      <c r="R55" t="str">
        <f>Team_Level[[#This Row],[Team]]&amp;"-"&amp;Team_Level[[#This Row],[Recency Rank]]</f>
        <v>Luton Town-2</v>
      </c>
      <c r="S55">
        <f>IF(Team_Level[[#This Row],[Result]]="","",COUNTIFS(Team_Level[Team],Team_Level[[#This Row],[Team]],Team_Level[Date],"&lt;="&amp;Team_Level[[#This Row],[Date]],Team_Level[Result],"&lt;&gt;"))</f>
        <v>5</v>
      </c>
      <c r="T55" t="str">
        <f>Team_Level[[#This Row],[Team]]&amp;"-"&amp;Team_Level[[#This Row],[Chrono Rank]]</f>
        <v>Luton Town-5</v>
      </c>
    </row>
    <row r="56" spans="1:20" x14ac:dyDescent="0.25">
      <c r="A56" t="s">
        <v>133</v>
      </c>
      <c r="B56" s="6">
        <v>46270</v>
      </c>
      <c r="C56" t="s">
        <v>15</v>
      </c>
      <c r="D56" t="s">
        <v>18</v>
      </c>
      <c r="E56">
        <v>1.97</v>
      </c>
      <c r="F56">
        <v>1.36</v>
      </c>
      <c r="G56">
        <v>1</v>
      </c>
      <c r="H56">
        <v>2</v>
      </c>
      <c r="I56">
        <v>3.33</v>
      </c>
      <c r="J56">
        <v>3</v>
      </c>
      <c r="K56">
        <v>1</v>
      </c>
      <c r="L56" t="s">
        <v>34</v>
      </c>
      <c r="M56">
        <v>0.60999999999999988</v>
      </c>
      <c r="N56">
        <v>-1</v>
      </c>
      <c r="O56">
        <v>-0.97</v>
      </c>
      <c r="P56" t="s">
        <v>52</v>
      </c>
      <c r="Q56">
        <f>IF(Team_Level[[#This Row],[Result]]="","",COUNTIFS(Team_Level[Team],Team_Level[[#This Row],[Team]],Team_Level[Date],"&gt;="&amp;Team_Level[[#This Row],[Date]],Team_Level[Result],"&lt;&gt;"))</f>
        <v>2</v>
      </c>
      <c r="R56" t="str">
        <f>Team_Level[[#This Row],[Team]]&amp;"-"&amp;Team_Level[[#This Row],[Recency Rank]]</f>
        <v>Peterborough United-2</v>
      </c>
      <c r="S56">
        <f>IF(Team_Level[[#This Row],[Result]]="","",COUNTIFS(Team_Level[Team],Team_Level[[#This Row],[Team]],Team_Level[Date],"&lt;="&amp;Team_Level[[#This Row],[Date]],Team_Level[Result],"&lt;&gt;"))</f>
        <v>5</v>
      </c>
      <c r="T56" t="str">
        <f>Team_Level[[#This Row],[Team]]&amp;"-"&amp;Team_Level[[#This Row],[Chrono Rank]]</f>
        <v>Peterborough United-5</v>
      </c>
    </row>
    <row r="57" spans="1:20" x14ac:dyDescent="0.25">
      <c r="A57" t="s">
        <v>134</v>
      </c>
      <c r="B57" s="6">
        <v>46270</v>
      </c>
      <c r="C57" t="s">
        <v>17</v>
      </c>
      <c r="D57" t="s">
        <v>2</v>
      </c>
      <c r="E57">
        <v>3.5</v>
      </c>
      <c r="F57">
        <v>0.51</v>
      </c>
      <c r="G57">
        <v>3</v>
      </c>
      <c r="H57">
        <v>1</v>
      </c>
      <c r="I57">
        <v>4.01</v>
      </c>
      <c r="J57">
        <v>4</v>
      </c>
      <c r="K57">
        <v>1</v>
      </c>
      <c r="L57" t="s">
        <v>34</v>
      </c>
      <c r="M57">
        <v>2.99</v>
      </c>
      <c r="N57">
        <v>2</v>
      </c>
      <c r="O57">
        <v>-0.5</v>
      </c>
      <c r="P57" t="s">
        <v>54</v>
      </c>
      <c r="Q57">
        <f>IF(Team_Level[[#This Row],[Result]]="","",COUNTIFS(Team_Level[Team],Team_Level[[#This Row],[Team]],Team_Level[Date],"&gt;="&amp;Team_Level[[#This Row],[Date]],Team_Level[Result],"&lt;&gt;"))</f>
        <v>2</v>
      </c>
      <c r="R57" t="str">
        <f>Team_Level[[#This Row],[Team]]&amp;"-"&amp;Team_Level[[#This Row],[Recency Rank]]</f>
        <v>Reading-2</v>
      </c>
      <c r="S57">
        <f>IF(Team_Level[[#This Row],[Result]]="","",COUNTIFS(Team_Level[Team],Team_Level[[#This Row],[Team]],Team_Level[Date],"&lt;="&amp;Team_Level[[#This Row],[Date]],Team_Level[Result],"&lt;&gt;"))</f>
        <v>4</v>
      </c>
      <c r="T57" t="str">
        <f>Team_Level[[#This Row],[Team]]&amp;"-"&amp;Team_Level[[#This Row],[Chrono Rank]]</f>
        <v>Reading-4</v>
      </c>
    </row>
    <row r="58" spans="1:20" x14ac:dyDescent="0.25">
      <c r="A58" t="s">
        <v>135</v>
      </c>
      <c r="B58" s="6">
        <v>46270</v>
      </c>
      <c r="C58" t="s">
        <v>21</v>
      </c>
      <c r="D58" t="s">
        <v>20</v>
      </c>
      <c r="E58">
        <v>0.73</v>
      </c>
      <c r="F58">
        <v>2.15</v>
      </c>
      <c r="G58">
        <v>0</v>
      </c>
      <c r="H58">
        <v>4</v>
      </c>
      <c r="I58">
        <v>2.88</v>
      </c>
      <c r="J58">
        <v>4</v>
      </c>
      <c r="K58">
        <v>1</v>
      </c>
      <c r="L58" t="s">
        <v>34</v>
      </c>
      <c r="M58">
        <v>-1.42</v>
      </c>
      <c r="N58">
        <v>-4</v>
      </c>
      <c r="O58">
        <v>-0.73</v>
      </c>
      <c r="P58" t="s">
        <v>52</v>
      </c>
      <c r="Q58">
        <f>IF(Team_Level[[#This Row],[Result]]="","",COUNTIFS(Team_Level[Team],Team_Level[[#This Row],[Team]],Team_Level[Date],"&gt;="&amp;Team_Level[[#This Row],[Date]],Team_Level[Result],"&lt;&gt;"))</f>
        <v>2</v>
      </c>
      <c r="R58" t="str">
        <f>Team_Level[[#This Row],[Team]]&amp;"-"&amp;Team_Level[[#This Row],[Recency Rank]]</f>
        <v>Wigan Athletic-2</v>
      </c>
      <c r="S58">
        <f>IF(Team_Level[[#This Row],[Result]]="","",COUNTIFS(Team_Level[Team],Team_Level[[#This Row],[Team]],Team_Level[Date],"&lt;="&amp;Team_Level[[#This Row],[Date]],Team_Level[Result],"&lt;&gt;"))</f>
        <v>5</v>
      </c>
      <c r="T58" t="str">
        <f>Team_Level[[#This Row],[Team]]&amp;"-"&amp;Team_Level[[#This Row],[Chrono Rank]]</f>
        <v>Wigan Athletic-5</v>
      </c>
    </row>
    <row r="59" spans="1:20" x14ac:dyDescent="0.25">
      <c r="A59" t="s">
        <v>136</v>
      </c>
      <c r="B59" s="6">
        <v>46270</v>
      </c>
      <c r="C59" t="s">
        <v>22</v>
      </c>
      <c r="D59" t="s">
        <v>33</v>
      </c>
      <c r="E59">
        <v>0.89</v>
      </c>
      <c r="F59">
        <v>1.65</v>
      </c>
      <c r="G59">
        <v>3</v>
      </c>
      <c r="H59">
        <v>3</v>
      </c>
      <c r="I59">
        <v>2.54</v>
      </c>
      <c r="J59">
        <v>6</v>
      </c>
      <c r="K59">
        <v>1</v>
      </c>
      <c r="L59" t="s">
        <v>34</v>
      </c>
      <c r="M59">
        <v>-0.7599999999999999</v>
      </c>
      <c r="N59">
        <v>0</v>
      </c>
      <c r="O59">
        <v>2.11</v>
      </c>
      <c r="P59" t="s">
        <v>53</v>
      </c>
      <c r="Q59">
        <f>IF(Team_Level[[#This Row],[Result]]="","",COUNTIFS(Team_Level[Team],Team_Level[[#This Row],[Team]],Team_Level[Date],"&gt;="&amp;Team_Level[[#This Row],[Date]],Team_Level[Result],"&lt;&gt;"))</f>
        <v>2</v>
      </c>
      <c r="R59" t="str">
        <f>Team_Level[[#This Row],[Team]]&amp;"-"&amp;Team_Level[[#This Row],[Recency Rank]]</f>
        <v>Wycombe Wanderers-2</v>
      </c>
      <c r="S59">
        <f>IF(Team_Level[[#This Row],[Result]]="","",COUNTIFS(Team_Level[Team],Team_Level[[#This Row],[Team]],Team_Level[Date],"&lt;="&amp;Team_Level[[#This Row],[Date]],Team_Level[Result],"&lt;&gt;"))</f>
        <v>5</v>
      </c>
      <c r="T59" t="str">
        <f>Team_Level[[#This Row],[Team]]&amp;"-"&amp;Team_Level[[#This Row],[Chrono Rank]]</f>
        <v>Wycombe Wanderers-5</v>
      </c>
    </row>
    <row r="60" spans="1:20" x14ac:dyDescent="0.25">
      <c r="A60" t="s">
        <v>137</v>
      </c>
      <c r="B60" s="6">
        <v>46272</v>
      </c>
      <c r="C60" t="s">
        <v>4</v>
      </c>
      <c r="D60" t="s">
        <v>0</v>
      </c>
      <c r="E60">
        <v>0.55000000000000004</v>
      </c>
      <c r="F60">
        <v>1.22</v>
      </c>
      <c r="G60">
        <v>0</v>
      </c>
      <c r="H60">
        <v>2</v>
      </c>
      <c r="I60">
        <v>1.77</v>
      </c>
      <c r="J60">
        <v>2</v>
      </c>
      <c r="K60">
        <v>1</v>
      </c>
      <c r="L60" t="s">
        <v>34</v>
      </c>
      <c r="M60">
        <v>-0.66999999999999993</v>
      </c>
      <c r="N60">
        <v>-2</v>
      </c>
      <c r="O60">
        <v>-0.55000000000000004</v>
      </c>
      <c r="P60" t="s">
        <v>52</v>
      </c>
      <c r="Q60">
        <f>IF(Team_Level[[#This Row],[Result]]="","",COUNTIFS(Team_Level[Team],Team_Level[[#This Row],[Team]],Team_Level[Date],"&gt;="&amp;Team_Level[[#This Row],[Date]],Team_Level[Result],"&lt;&gt;"))</f>
        <v>2</v>
      </c>
      <c r="R60" t="str">
        <f>Team_Level[[#This Row],[Team]]&amp;"-"&amp;Team_Level[[#This Row],[Recency Rank]]</f>
        <v>Bromley-2</v>
      </c>
      <c r="S60">
        <f>IF(Team_Level[[#This Row],[Result]]="","",COUNTIFS(Team_Level[Team],Team_Level[[#This Row],[Team]],Team_Level[Date],"&lt;="&amp;Team_Level[[#This Row],[Date]],Team_Level[Result],"&lt;&gt;"))</f>
        <v>5</v>
      </c>
      <c r="T60" t="str">
        <f>Team_Level[[#This Row],[Team]]&amp;"-"&amp;Team_Level[[#This Row],[Chrono Rank]]</f>
        <v>Bromley-5</v>
      </c>
    </row>
    <row r="61" spans="1:20" x14ac:dyDescent="0.25">
      <c r="A61" t="s">
        <v>138</v>
      </c>
      <c r="B61" s="6">
        <v>46273</v>
      </c>
      <c r="C61" t="s">
        <v>14</v>
      </c>
      <c r="D61" t="s">
        <v>17</v>
      </c>
      <c r="K61">
        <v>1</v>
      </c>
      <c r="L61" t="s">
        <v>34</v>
      </c>
      <c r="Q61" t="str">
        <f>IF(Team_Level[[#This Row],[Result]]="","",COUNTIFS(Team_Level[Team],Team_Level[[#This Row],[Team]],Team_Level[Date],"&gt;="&amp;Team_Level[[#This Row],[Date]],Team_Level[Result],"&lt;&gt;"))</f>
        <v/>
      </c>
      <c r="R61" t="str">
        <f>Team_Level[[#This Row],[Team]]&amp;"-"&amp;Team_Level[[#This Row],[Recency Rank]]</f>
        <v>Oxford United-</v>
      </c>
      <c r="S61" t="str">
        <f>IF(Team_Level[[#This Row],[Result]]="","",COUNTIFS(Team_Level[Team],Team_Level[[#This Row],[Team]],Team_Level[Date],"&lt;="&amp;Team_Level[[#This Row],[Date]],Team_Level[Result],"&lt;&gt;"))</f>
        <v/>
      </c>
      <c r="T61" t="str">
        <f>Team_Level[[#This Row],[Team]]&amp;"-"&amp;Team_Level[[#This Row],[Chrono Rank]]</f>
        <v>Oxford United-</v>
      </c>
    </row>
    <row r="62" spans="1:20" x14ac:dyDescent="0.25">
      <c r="A62" t="s">
        <v>139</v>
      </c>
      <c r="B62" s="6">
        <v>46275</v>
      </c>
      <c r="C62" t="s">
        <v>19</v>
      </c>
      <c r="D62" t="s">
        <v>11</v>
      </c>
      <c r="E62">
        <v>1.31</v>
      </c>
      <c r="F62">
        <v>0.89</v>
      </c>
      <c r="G62">
        <v>2</v>
      </c>
      <c r="H62">
        <v>1</v>
      </c>
      <c r="I62">
        <v>2.2000000000000002</v>
      </c>
      <c r="J62">
        <v>3</v>
      </c>
      <c r="K62">
        <v>1</v>
      </c>
      <c r="L62" t="s">
        <v>34</v>
      </c>
      <c r="M62">
        <v>0.42000000000000004</v>
      </c>
      <c r="N62">
        <v>1</v>
      </c>
      <c r="O62">
        <v>0.69</v>
      </c>
      <c r="P62" t="s">
        <v>54</v>
      </c>
      <c r="Q62">
        <f>IF(Team_Level[[#This Row],[Result]]="","",COUNTIFS(Team_Level[Team],Team_Level[[#This Row],[Team]],Team_Level[Date],"&gt;="&amp;Team_Level[[#This Row],[Date]],Team_Level[Result],"&lt;&gt;"))</f>
        <v>1</v>
      </c>
      <c r="R62" t="str">
        <f>Team_Level[[#This Row],[Team]]&amp;"-"&amp;Team_Level[[#This Row],[Recency Rank]]</f>
        <v>Stevenage-1</v>
      </c>
      <c r="S62">
        <f>IF(Team_Level[[#This Row],[Result]]="","",COUNTIFS(Team_Level[Team],Team_Level[[#This Row],[Team]],Team_Level[Date],"&lt;="&amp;Team_Level[[#This Row],[Date]],Team_Level[Result],"&lt;&gt;"))</f>
        <v>6</v>
      </c>
      <c r="T62" t="str">
        <f>Team_Level[[#This Row],[Team]]&amp;"-"&amp;Team_Level[[#This Row],[Chrono Rank]]</f>
        <v>Stevenage-6</v>
      </c>
    </row>
    <row r="63" spans="1:20" x14ac:dyDescent="0.25">
      <c r="A63" t="s">
        <v>140</v>
      </c>
      <c r="B63" s="6">
        <v>46277</v>
      </c>
      <c r="C63" t="s">
        <v>0</v>
      </c>
      <c r="D63" t="s">
        <v>7</v>
      </c>
      <c r="E63">
        <v>0.81</v>
      </c>
      <c r="F63">
        <v>2.41</v>
      </c>
      <c r="G63">
        <v>1</v>
      </c>
      <c r="H63">
        <v>0</v>
      </c>
      <c r="I63">
        <v>3.22</v>
      </c>
      <c r="J63">
        <v>1</v>
      </c>
      <c r="K63">
        <v>1</v>
      </c>
      <c r="L63" t="s">
        <v>34</v>
      </c>
      <c r="M63">
        <v>-1.6</v>
      </c>
      <c r="N63">
        <v>1</v>
      </c>
      <c r="O63">
        <v>0.18999999999999995</v>
      </c>
      <c r="P63" t="s">
        <v>54</v>
      </c>
      <c r="Q63">
        <f>IF(Team_Level[[#This Row],[Result]]="","",COUNTIFS(Team_Level[Team],Team_Level[[#This Row],[Team]],Team_Level[Date],"&gt;="&amp;Team_Level[[#This Row],[Date]],Team_Level[Result],"&lt;&gt;"))</f>
        <v>1</v>
      </c>
      <c r="R63" t="str">
        <f>Team_Level[[#This Row],[Team]]&amp;"-"&amp;Team_Level[[#This Row],[Recency Rank]]</f>
        <v>AFC Wimbledon-1</v>
      </c>
      <c r="S63">
        <f>IF(Team_Level[[#This Row],[Result]]="","",COUNTIFS(Team_Level[Team],Team_Level[[#This Row],[Team]],Team_Level[Date],"&lt;="&amp;Team_Level[[#This Row],[Date]],Team_Level[Result],"&lt;&gt;"))</f>
        <v>6</v>
      </c>
      <c r="T63" t="str">
        <f>Team_Level[[#This Row],[Team]]&amp;"-"&amp;Team_Level[[#This Row],[Chrono Rank]]</f>
        <v>AFC Wimbledon-6</v>
      </c>
    </row>
    <row r="64" spans="1:20" x14ac:dyDescent="0.25">
      <c r="A64" t="s">
        <v>141</v>
      </c>
      <c r="B64" s="6">
        <v>46277</v>
      </c>
      <c r="C64" t="s">
        <v>2</v>
      </c>
      <c r="D64" t="s">
        <v>4</v>
      </c>
      <c r="E64">
        <v>1.17</v>
      </c>
      <c r="F64">
        <v>1.38</v>
      </c>
      <c r="G64">
        <v>2</v>
      </c>
      <c r="H64">
        <v>2</v>
      </c>
      <c r="I64">
        <v>2.5499999999999998</v>
      </c>
      <c r="J64">
        <v>4</v>
      </c>
      <c r="K64">
        <v>1</v>
      </c>
      <c r="L64" t="s">
        <v>34</v>
      </c>
      <c r="M64">
        <v>-0.20999999999999996</v>
      </c>
      <c r="N64">
        <v>0</v>
      </c>
      <c r="O64">
        <v>0.83000000000000007</v>
      </c>
      <c r="P64" t="s">
        <v>53</v>
      </c>
      <c r="Q64">
        <f>IF(Team_Level[[#This Row],[Result]]="","",COUNTIFS(Team_Level[Team],Team_Level[[#This Row],[Team]],Team_Level[Date],"&gt;="&amp;Team_Level[[#This Row],[Date]],Team_Level[Result],"&lt;&gt;"))</f>
        <v>1</v>
      </c>
      <c r="R64" t="str">
        <f>Team_Level[[#This Row],[Team]]&amp;"-"&amp;Team_Level[[#This Row],[Recency Rank]]</f>
        <v>Blackpool-1</v>
      </c>
      <c r="S64">
        <f>IF(Team_Level[[#This Row],[Result]]="","",COUNTIFS(Team_Level[Team],Team_Level[[#This Row],[Team]],Team_Level[Date],"&lt;="&amp;Team_Level[[#This Row],[Date]],Team_Level[Result],"&lt;&gt;"))</f>
        <v>6</v>
      </c>
      <c r="T64" t="str">
        <f>Team_Level[[#This Row],[Team]]&amp;"-"&amp;Team_Level[[#This Row],[Chrono Rank]]</f>
        <v>Blackpool-6</v>
      </c>
    </row>
    <row r="65" spans="1:20" x14ac:dyDescent="0.25">
      <c r="A65" t="s">
        <v>142</v>
      </c>
      <c r="B65" s="6">
        <v>46277</v>
      </c>
      <c r="C65" t="s">
        <v>6</v>
      </c>
      <c r="D65" t="s">
        <v>17</v>
      </c>
      <c r="E65">
        <v>0.94</v>
      </c>
      <c r="F65">
        <v>1.99</v>
      </c>
      <c r="G65">
        <v>2</v>
      </c>
      <c r="H65">
        <v>1</v>
      </c>
      <c r="I65">
        <v>2.9299999999999997</v>
      </c>
      <c r="J65">
        <v>3</v>
      </c>
      <c r="K65">
        <v>1</v>
      </c>
      <c r="L65" t="s">
        <v>34</v>
      </c>
      <c r="M65">
        <v>-1.05</v>
      </c>
      <c r="N65">
        <v>1</v>
      </c>
      <c r="O65">
        <v>1.06</v>
      </c>
      <c r="P65" t="s">
        <v>54</v>
      </c>
      <c r="Q65">
        <f>IF(Team_Level[[#This Row],[Result]]="","",COUNTIFS(Team_Level[Team],Team_Level[[#This Row],[Team]],Team_Level[Date],"&gt;="&amp;Team_Level[[#This Row],[Date]],Team_Level[Result],"&lt;&gt;"))</f>
        <v>1</v>
      </c>
      <c r="R65" t="str">
        <f>Team_Level[[#This Row],[Team]]&amp;"-"&amp;Team_Level[[#This Row],[Recency Rank]]</f>
        <v>Cambridge United-1</v>
      </c>
      <c r="S65">
        <f>IF(Team_Level[[#This Row],[Result]]="","",COUNTIFS(Team_Level[Team],Team_Level[[#This Row],[Team]],Team_Level[Date],"&lt;="&amp;Team_Level[[#This Row],[Date]],Team_Level[Result],"&lt;&gt;"))</f>
        <v>6</v>
      </c>
      <c r="T65" t="str">
        <f>Team_Level[[#This Row],[Team]]&amp;"-"&amp;Team_Level[[#This Row],[Chrono Rank]]</f>
        <v>Cambridge United-6</v>
      </c>
    </row>
    <row r="66" spans="1:20" x14ac:dyDescent="0.25">
      <c r="A66" t="s">
        <v>143</v>
      </c>
      <c r="B66" s="6">
        <v>46277</v>
      </c>
      <c r="C66" t="s">
        <v>10</v>
      </c>
      <c r="D66" t="s">
        <v>22</v>
      </c>
      <c r="E66">
        <v>0.88</v>
      </c>
      <c r="F66">
        <v>1.1599999999999999</v>
      </c>
      <c r="G66">
        <v>2</v>
      </c>
      <c r="H66">
        <v>3</v>
      </c>
      <c r="I66">
        <v>2.04</v>
      </c>
      <c r="J66">
        <v>5</v>
      </c>
      <c r="K66">
        <v>1</v>
      </c>
      <c r="L66" t="s">
        <v>34</v>
      </c>
      <c r="M66">
        <v>-0.27999999999999992</v>
      </c>
      <c r="N66">
        <v>-1</v>
      </c>
      <c r="O66">
        <v>1.1200000000000001</v>
      </c>
      <c r="P66" t="s">
        <v>52</v>
      </c>
      <c r="Q66">
        <f>IF(Team_Level[[#This Row],[Result]]="","",COUNTIFS(Team_Level[Team],Team_Level[[#This Row],[Team]],Team_Level[Date],"&gt;="&amp;Team_Level[[#This Row],[Date]],Team_Level[Result],"&lt;&gt;"))</f>
        <v>1</v>
      </c>
      <c r="R66" t="str">
        <f>Team_Level[[#This Row],[Team]]&amp;"-"&amp;Team_Level[[#This Row],[Recency Rank]]</f>
        <v>Leyton Orient-1</v>
      </c>
      <c r="S66">
        <f>IF(Team_Level[[#This Row],[Result]]="","",COUNTIFS(Team_Level[Team],Team_Level[[#This Row],[Team]],Team_Level[Date],"&lt;="&amp;Team_Level[[#This Row],[Date]],Team_Level[Result],"&lt;&gt;"))</f>
        <v>6</v>
      </c>
      <c r="T66" t="str">
        <f>Team_Level[[#This Row],[Team]]&amp;"-"&amp;Team_Level[[#This Row],[Chrono Rank]]</f>
        <v>Leyton Orient-6</v>
      </c>
    </row>
    <row r="67" spans="1:20" x14ac:dyDescent="0.25">
      <c r="A67" t="s">
        <v>144</v>
      </c>
      <c r="B67" s="6">
        <v>46277</v>
      </c>
      <c r="C67" t="s">
        <v>12</v>
      </c>
      <c r="D67" t="s">
        <v>8</v>
      </c>
      <c r="E67">
        <v>0.86</v>
      </c>
      <c r="F67">
        <v>1.36</v>
      </c>
      <c r="G67">
        <v>0</v>
      </c>
      <c r="H67">
        <v>0</v>
      </c>
      <c r="I67">
        <v>2.2200000000000002</v>
      </c>
      <c r="J67">
        <v>0</v>
      </c>
      <c r="K67">
        <v>1</v>
      </c>
      <c r="L67" t="s">
        <v>34</v>
      </c>
      <c r="M67">
        <v>-0.50000000000000011</v>
      </c>
      <c r="N67">
        <v>0</v>
      </c>
      <c r="O67">
        <v>-0.86</v>
      </c>
      <c r="P67" t="s">
        <v>53</v>
      </c>
      <c r="Q67">
        <f>IF(Team_Level[[#This Row],[Result]]="","",COUNTIFS(Team_Level[Team],Team_Level[[#This Row],[Team]],Team_Level[Date],"&gt;="&amp;Team_Level[[#This Row],[Date]],Team_Level[Result],"&lt;&gt;"))</f>
        <v>1</v>
      </c>
      <c r="R67" t="str">
        <f>Team_Level[[#This Row],[Team]]&amp;"-"&amp;Team_Level[[#This Row],[Recency Rank]]</f>
        <v>Mansfield Town-1</v>
      </c>
      <c r="S67">
        <f>IF(Team_Level[[#This Row],[Result]]="","",COUNTIFS(Team_Level[Team],Team_Level[[#This Row],[Team]],Team_Level[Date],"&lt;="&amp;Team_Level[[#This Row],[Date]],Team_Level[Result],"&lt;&gt;"))</f>
        <v>6</v>
      </c>
      <c r="T67" t="str">
        <f>Team_Level[[#This Row],[Team]]&amp;"-"&amp;Team_Level[[#This Row],[Chrono Rank]]</f>
        <v>Mansfield Town-6</v>
      </c>
    </row>
    <row r="68" spans="1:20" x14ac:dyDescent="0.25">
      <c r="A68" t="s">
        <v>145</v>
      </c>
      <c r="B68" s="6">
        <v>46277</v>
      </c>
      <c r="C68" t="s">
        <v>33</v>
      </c>
      <c r="D68" t="s">
        <v>15</v>
      </c>
      <c r="E68">
        <v>1.24</v>
      </c>
      <c r="F68">
        <v>1.21</v>
      </c>
      <c r="G68">
        <v>1</v>
      </c>
      <c r="H68">
        <v>1</v>
      </c>
      <c r="I68">
        <v>2.4500000000000002</v>
      </c>
      <c r="J68">
        <v>2</v>
      </c>
      <c r="K68">
        <v>1</v>
      </c>
      <c r="L68" t="s">
        <v>34</v>
      </c>
      <c r="M68">
        <v>3.0000000000000027E-2</v>
      </c>
      <c r="N68">
        <v>0</v>
      </c>
      <c r="O68">
        <v>-0.24</v>
      </c>
      <c r="P68" t="s">
        <v>53</v>
      </c>
      <c r="Q68">
        <f>IF(Team_Level[[#This Row],[Result]]="","",COUNTIFS(Team_Level[Team],Team_Level[[#This Row],[Team]],Team_Level[Date],"&gt;="&amp;Team_Level[[#This Row],[Date]],Team_Level[Result],"&lt;&gt;"))</f>
        <v>1</v>
      </c>
      <c r="R68" t="str">
        <f>Team_Level[[#This Row],[Team]]&amp;"-"&amp;Team_Level[[#This Row],[Recency Rank]]</f>
        <v>Milton Keynes Dons-1</v>
      </c>
      <c r="S68">
        <f>IF(Team_Level[[#This Row],[Result]]="","",COUNTIFS(Team_Level[Team],Team_Level[[#This Row],[Team]],Team_Level[Date],"&lt;="&amp;Team_Level[[#This Row],[Date]],Team_Level[Result],"&lt;&gt;"))</f>
        <v>6</v>
      </c>
      <c r="T68" t="str">
        <f>Team_Level[[#This Row],[Team]]&amp;"-"&amp;Team_Level[[#This Row],[Chrono Rank]]</f>
        <v>Milton Keynes Dons-6</v>
      </c>
    </row>
    <row r="69" spans="1:20" x14ac:dyDescent="0.25">
      <c r="A69" t="s">
        <v>146</v>
      </c>
      <c r="B69" s="6">
        <v>46277</v>
      </c>
      <c r="C69" t="s">
        <v>13</v>
      </c>
      <c r="D69" t="s">
        <v>3</v>
      </c>
      <c r="E69">
        <v>0.49</v>
      </c>
      <c r="F69">
        <v>0.5</v>
      </c>
      <c r="G69">
        <v>0</v>
      </c>
      <c r="H69">
        <v>1</v>
      </c>
      <c r="I69">
        <v>0.99</v>
      </c>
      <c r="J69">
        <v>1</v>
      </c>
      <c r="K69">
        <v>1</v>
      </c>
      <c r="L69" t="s">
        <v>34</v>
      </c>
      <c r="M69">
        <v>-1.0000000000000009E-2</v>
      </c>
      <c r="N69">
        <v>-1</v>
      </c>
      <c r="O69">
        <v>-0.49</v>
      </c>
      <c r="P69" t="s">
        <v>52</v>
      </c>
      <c r="Q69">
        <f>IF(Team_Level[[#This Row],[Result]]="","",COUNTIFS(Team_Level[Team],Team_Level[[#This Row],[Team]],Team_Level[Date],"&gt;="&amp;Team_Level[[#This Row],[Date]],Team_Level[Result],"&lt;&gt;"))</f>
        <v>1</v>
      </c>
      <c r="R69" t="str">
        <f>Team_Level[[#This Row],[Team]]&amp;"-"&amp;Team_Level[[#This Row],[Recency Rank]]</f>
        <v>Notts County-1</v>
      </c>
      <c r="S69">
        <f>IF(Team_Level[[#This Row],[Result]]="","",COUNTIFS(Team_Level[Team],Team_Level[[#This Row],[Team]],Team_Level[Date],"&lt;="&amp;Team_Level[[#This Row],[Date]],Team_Level[Result],"&lt;&gt;"))</f>
        <v>6</v>
      </c>
      <c r="T69" t="str">
        <f>Team_Level[[#This Row],[Team]]&amp;"-"&amp;Team_Level[[#This Row],[Chrono Rank]]</f>
        <v>Notts County-6</v>
      </c>
    </row>
    <row r="70" spans="1:20" x14ac:dyDescent="0.25">
      <c r="A70" t="s">
        <v>147</v>
      </c>
      <c r="B70" s="6">
        <v>46277</v>
      </c>
      <c r="C70" t="s">
        <v>14</v>
      </c>
      <c r="D70" t="s">
        <v>5</v>
      </c>
      <c r="E70">
        <v>1.21</v>
      </c>
      <c r="F70">
        <v>0.47</v>
      </c>
      <c r="G70">
        <v>3</v>
      </c>
      <c r="H70">
        <v>0</v>
      </c>
      <c r="I70">
        <v>1.68</v>
      </c>
      <c r="J70">
        <v>3</v>
      </c>
      <c r="K70">
        <v>1</v>
      </c>
      <c r="L70" t="s">
        <v>34</v>
      </c>
      <c r="M70">
        <v>0.74</v>
      </c>
      <c r="N70">
        <v>3</v>
      </c>
      <c r="O70">
        <v>1.79</v>
      </c>
      <c r="P70" t="s">
        <v>54</v>
      </c>
      <c r="Q70">
        <f>IF(Team_Level[[#This Row],[Result]]="","",COUNTIFS(Team_Level[Team],Team_Level[[#This Row],[Team]],Team_Level[Date],"&gt;="&amp;Team_Level[[#This Row],[Date]],Team_Level[Result],"&lt;&gt;"))</f>
        <v>1</v>
      </c>
      <c r="R70" t="str">
        <f>Team_Level[[#This Row],[Team]]&amp;"-"&amp;Team_Level[[#This Row],[Recency Rank]]</f>
        <v>Oxford United-1</v>
      </c>
      <c r="S70">
        <f>IF(Team_Level[[#This Row],[Result]]="","",COUNTIFS(Team_Level[Team],Team_Level[[#This Row],[Team]],Team_Level[Date],"&lt;="&amp;Team_Level[[#This Row],[Date]],Team_Level[Result],"&lt;&gt;"))</f>
        <v>5</v>
      </c>
      <c r="T70" t="str">
        <f>Team_Level[[#This Row],[Team]]&amp;"-"&amp;Team_Level[[#This Row],[Chrono Rank]]</f>
        <v>Oxford United-5</v>
      </c>
    </row>
    <row r="71" spans="1:20" x14ac:dyDescent="0.25">
      <c r="A71" t="s">
        <v>148</v>
      </c>
      <c r="B71" s="6">
        <v>46277</v>
      </c>
      <c r="C71" t="s">
        <v>16</v>
      </c>
      <c r="D71" t="s">
        <v>1</v>
      </c>
      <c r="E71">
        <v>0.99</v>
      </c>
      <c r="F71">
        <v>0.77</v>
      </c>
      <c r="G71">
        <v>3</v>
      </c>
      <c r="H71">
        <v>0</v>
      </c>
      <c r="I71">
        <v>1.76</v>
      </c>
      <c r="J71">
        <v>3</v>
      </c>
      <c r="K71">
        <v>1</v>
      </c>
      <c r="L71" t="s">
        <v>34</v>
      </c>
      <c r="M71">
        <v>0.21999999999999997</v>
      </c>
      <c r="N71">
        <v>3</v>
      </c>
      <c r="O71">
        <v>2.0099999999999998</v>
      </c>
      <c r="P71" t="s">
        <v>54</v>
      </c>
      <c r="Q71">
        <f>IF(Team_Level[[#This Row],[Result]]="","",COUNTIFS(Team_Level[Team],Team_Level[[#This Row],[Team]],Team_Level[Date],"&gt;="&amp;Team_Level[[#This Row],[Date]],Team_Level[Result],"&lt;&gt;"))</f>
        <v>1</v>
      </c>
      <c r="R71" t="str">
        <f>Team_Level[[#This Row],[Team]]&amp;"-"&amp;Team_Level[[#This Row],[Recency Rank]]</f>
        <v>Plymouth Argyle-1</v>
      </c>
      <c r="S71">
        <f>IF(Team_Level[[#This Row],[Result]]="","",COUNTIFS(Team_Level[Team],Team_Level[[#This Row],[Team]],Team_Level[Date],"&lt;="&amp;Team_Level[[#This Row],[Date]],Team_Level[Result],"&lt;&gt;"))</f>
        <v>6</v>
      </c>
      <c r="T71" t="str">
        <f>Team_Level[[#This Row],[Team]]&amp;"-"&amp;Team_Level[[#This Row],[Chrono Rank]]</f>
        <v>Plymouth Argyle-6</v>
      </c>
    </row>
    <row r="72" spans="1:20" x14ac:dyDescent="0.25">
      <c r="A72" t="s">
        <v>149</v>
      </c>
      <c r="B72" s="6">
        <v>46277</v>
      </c>
      <c r="C72" t="s">
        <v>18</v>
      </c>
      <c r="D72" t="s">
        <v>21</v>
      </c>
      <c r="E72">
        <v>0.82</v>
      </c>
      <c r="F72">
        <v>1.59</v>
      </c>
      <c r="G72">
        <v>0</v>
      </c>
      <c r="H72">
        <v>0</v>
      </c>
      <c r="I72">
        <v>2.41</v>
      </c>
      <c r="J72">
        <v>0</v>
      </c>
      <c r="K72">
        <v>1</v>
      </c>
      <c r="L72" t="s">
        <v>34</v>
      </c>
      <c r="M72">
        <v>-0.77000000000000013</v>
      </c>
      <c r="N72">
        <v>0</v>
      </c>
      <c r="O72">
        <v>-0.82</v>
      </c>
      <c r="P72" t="s">
        <v>53</v>
      </c>
      <c r="Q72">
        <f>IF(Team_Level[[#This Row],[Result]]="","",COUNTIFS(Team_Level[Team],Team_Level[[#This Row],[Team]],Team_Level[Date],"&gt;="&amp;Team_Level[[#This Row],[Date]],Team_Level[Result],"&lt;&gt;"))</f>
        <v>1</v>
      </c>
      <c r="R72" t="str">
        <f>Team_Level[[#This Row],[Team]]&amp;"-"&amp;Team_Level[[#This Row],[Recency Rank]]</f>
        <v>Sheffield Wednesday-1</v>
      </c>
      <c r="S72">
        <f>IF(Team_Level[[#This Row],[Result]]="","",COUNTIFS(Team_Level[Team],Team_Level[[#This Row],[Team]],Team_Level[Date],"&lt;="&amp;Team_Level[[#This Row],[Date]],Team_Level[Result],"&lt;&gt;"))</f>
        <v>6</v>
      </c>
      <c r="T72" t="str">
        <f>Team_Level[[#This Row],[Team]]&amp;"-"&amp;Team_Level[[#This Row],[Chrono Rank]]</f>
        <v>Sheffield Wednesday-6</v>
      </c>
    </row>
    <row r="73" spans="1:20" x14ac:dyDescent="0.25">
      <c r="A73" t="s">
        <v>150</v>
      </c>
      <c r="B73" s="6">
        <v>46277</v>
      </c>
      <c r="C73" t="s">
        <v>20</v>
      </c>
      <c r="D73" t="s">
        <v>9</v>
      </c>
      <c r="E73">
        <v>2.29</v>
      </c>
      <c r="F73">
        <v>1.21</v>
      </c>
      <c r="G73">
        <v>3</v>
      </c>
      <c r="H73">
        <v>4</v>
      </c>
      <c r="I73">
        <v>3.5</v>
      </c>
      <c r="J73">
        <v>7</v>
      </c>
      <c r="K73">
        <v>1</v>
      </c>
      <c r="L73" t="s">
        <v>34</v>
      </c>
      <c r="M73">
        <v>1.08</v>
      </c>
      <c r="N73">
        <v>-1</v>
      </c>
      <c r="O73">
        <v>0.71</v>
      </c>
      <c r="P73" t="s">
        <v>52</v>
      </c>
      <c r="Q73">
        <f>IF(Team_Level[[#This Row],[Result]]="","",COUNTIFS(Team_Level[Team],Team_Level[[#This Row],[Team]],Team_Level[Date],"&gt;="&amp;Team_Level[[#This Row],[Date]],Team_Level[Result],"&lt;&gt;"))</f>
        <v>1</v>
      </c>
      <c r="R73" t="str">
        <f>Team_Level[[#This Row],[Team]]&amp;"-"&amp;Team_Level[[#This Row],[Recency Rank]]</f>
        <v>Stockport County-1</v>
      </c>
      <c r="S73">
        <f>IF(Team_Level[[#This Row],[Result]]="","",COUNTIFS(Team_Level[Team],Team_Level[[#This Row],[Team]],Team_Level[Date],"&lt;="&amp;Team_Level[[#This Row],[Date]],Team_Level[Result],"&lt;&gt;"))</f>
        <v>6</v>
      </c>
      <c r="T73" t="str">
        <f>Team_Level[[#This Row],[Team]]&amp;"-"&amp;Team_Level[[#This Row],[Chrono Rank]]</f>
        <v>Stockport County-6</v>
      </c>
    </row>
    <row r="74" spans="1:20" x14ac:dyDescent="0.25">
      <c r="A74" t="s">
        <v>151</v>
      </c>
      <c r="B74" s="6">
        <v>46282</v>
      </c>
      <c r="C74" t="s">
        <v>0</v>
      </c>
      <c r="D74" t="s">
        <v>33</v>
      </c>
      <c r="K74">
        <v>1</v>
      </c>
      <c r="L74" t="s">
        <v>34</v>
      </c>
      <c r="Q74" t="str">
        <f>IF(Team_Level[[#This Row],[Result]]="","",COUNTIFS(Team_Level[Team],Team_Level[[#This Row],[Team]],Team_Level[Date],"&gt;="&amp;Team_Level[[#This Row],[Date]],Team_Level[Result],"&lt;&gt;"))</f>
        <v/>
      </c>
      <c r="R74" t="str">
        <f>Team_Level[[#This Row],[Team]]&amp;"-"&amp;Team_Level[[#This Row],[Recency Rank]]</f>
        <v>AFC Wimbledon-</v>
      </c>
      <c r="S74" t="str">
        <f>IF(Team_Level[[#This Row],[Result]]="","",COUNTIFS(Team_Level[Team],Team_Level[[#This Row],[Team]],Team_Level[Date],"&lt;="&amp;Team_Level[[#This Row],[Date]],Team_Level[Result],"&lt;&gt;"))</f>
        <v/>
      </c>
      <c r="T74" t="str">
        <f>Team_Level[[#This Row],[Team]]&amp;"-"&amp;Team_Level[[#This Row],[Chrono Rank]]</f>
        <v>AFC Wimbledon-</v>
      </c>
    </row>
    <row r="75" spans="1:20" x14ac:dyDescent="0.25">
      <c r="A75" t="s">
        <v>152</v>
      </c>
      <c r="B75" s="6">
        <v>46284</v>
      </c>
      <c r="C75" t="s">
        <v>1</v>
      </c>
      <c r="D75" t="s">
        <v>9</v>
      </c>
      <c r="K75">
        <v>1</v>
      </c>
      <c r="L75" t="s">
        <v>34</v>
      </c>
      <c r="Q75" t="str">
        <f>IF(Team_Level[[#This Row],[Result]]="","",COUNTIFS(Team_Level[Team],Team_Level[[#This Row],[Team]],Team_Level[Date],"&gt;="&amp;Team_Level[[#This Row],[Date]],Team_Level[Result],"&lt;&gt;"))</f>
        <v/>
      </c>
      <c r="R75" t="str">
        <f>Team_Level[[#This Row],[Team]]&amp;"-"&amp;Team_Level[[#This Row],[Recency Rank]]</f>
        <v>Barnsley-</v>
      </c>
      <c r="S75" t="str">
        <f>IF(Team_Level[[#This Row],[Result]]="","",COUNTIFS(Team_Level[Team],Team_Level[[#This Row],[Team]],Team_Level[Date],"&lt;="&amp;Team_Level[[#This Row],[Date]],Team_Level[Result],"&lt;&gt;"))</f>
        <v/>
      </c>
      <c r="T75" t="str">
        <f>Team_Level[[#This Row],[Team]]&amp;"-"&amp;Team_Level[[#This Row],[Chrono Rank]]</f>
        <v>Barnsley-</v>
      </c>
    </row>
    <row r="76" spans="1:20" x14ac:dyDescent="0.25">
      <c r="A76" t="s">
        <v>153</v>
      </c>
      <c r="B76" s="6">
        <v>46284</v>
      </c>
      <c r="C76" t="s">
        <v>2</v>
      </c>
      <c r="D76" t="s">
        <v>16</v>
      </c>
      <c r="K76">
        <v>1</v>
      </c>
      <c r="L76" t="s">
        <v>34</v>
      </c>
      <c r="Q76" t="str">
        <f>IF(Team_Level[[#This Row],[Result]]="","",COUNTIFS(Team_Level[Team],Team_Level[[#This Row],[Team]],Team_Level[Date],"&gt;="&amp;Team_Level[[#This Row],[Date]],Team_Level[Result],"&lt;&gt;"))</f>
        <v/>
      </c>
      <c r="R76" t="str">
        <f>Team_Level[[#This Row],[Team]]&amp;"-"&amp;Team_Level[[#This Row],[Recency Rank]]</f>
        <v>Blackpool-</v>
      </c>
      <c r="S76" t="str">
        <f>IF(Team_Level[[#This Row],[Result]]="","",COUNTIFS(Team_Level[Team],Team_Level[[#This Row],[Team]],Team_Level[Date],"&lt;="&amp;Team_Level[[#This Row],[Date]],Team_Level[Result],"&lt;&gt;"))</f>
        <v/>
      </c>
      <c r="T76" t="str">
        <f>Team_Level[[#This Row],[Team]]&amp;"-"&amp;Team_Level[[#This Row],[Chrono Rank]]</f>
        <v>Blackpool-</v>
      </c>
    </row>
    <row r="77" spans="1:20" x14ac:dyDescent="0.25">
      <c r="A77" t="s">
        <v>154</v>
      </c>
      <c r="B77" s="6">
        <v>46284</v>
      </c>
      <c r="C77" t="s">
        <v>4</v>
      </c>
      <c r="D77" t="s">
        <v>8</v>
      </c>
      <c r="K77">
        <v>1</v>
      </c>
      <c r="L77" t="s">
        <v>34</v>
      </c>
      <c r="Q77" t="str">
        <f>IF(Team_Level[[#This Row],[Result]]="","",COUNTIFS(Team_Level[Team],Team_Level[[#This Row],[Team]],Team_Level[Date],"&gt;="&amp;Team_Level[[#This Row],[Date]],Team_Level[Result],"&lt;&gt;"))</f>
        <v/>
      </c>
      <c r="R77" t="str">
        <f>Team_Level[[#This Row],[Team]]&amp;"-"&amp;Team_Level[[#This Row],[Recency Rank]]</f>
        <v>Bromley-</v>
      </c>
      <c r="S77" t="str">
        <f>IF(Team_Level[[#This Row],[Result]]="","",COUNTIFS(Team_Level[Team],Team_Level[[#This Row],[Team]],Team_Level[Date],"&lt;="&amp;Team_Level[[#This Row],[Date]],Team_Level[Result],"&lt;&gt;"))</f>
        <v/>
      </c>
      <c r="T77" t="str">
        <f>Team_Level[[#This Row],[Team]]&amp;"-"&amp;Team_Level[[#This Row],[Chrono Rank]]</f>
        <v>Bromley-</v>
      </c>
    </row>
    <row r="78" spans="1:20" x14ac:dyDescent="0.25">
      <c r="A78" t="s">
        <v>155</v>
      </c>
      <c r="B78" s="6">
        <v>46284</v>
      </c>
      <c r="C78" t="s">
        <v>5</v>
      </c>
      <c r="D78" t="s">
        <v>12</v>
      </c>
      <c r="K78">
        <v>1</v>
      </c>
      <c r="L78" t="s">
        <v>34</v>
      </c>
      <c r="Q78" t="str">
        <f>IF(Team_Level[[#This Row],[Result]]="","",COUNTIFS(Team_Level[Team],Team_Level[[#This Row],[Team]],Team_Level[Date],"&gt;="&amp;Team_Level[[#This Row],[Date]],Team_Level[Result],"&lt;&gt;"))</f>
        <v/>
      </c>
      <c r="R78" t="str">
        <f>Team_Level[[#This Row],[Team]]&amp;"-"&amp;Team_Level[[#This Row],[Recency Rank]]</f>
        <v>Burton Albion-</v>
      </c>
      <c r="S78" t="str">
        <f>IF(Team_Level[[#This Row],[Result]]="","",COUNTIFS(Team_Level[Team],Team_Level[[#This Row],[Team]],Team_Level[Date],"&lt;="&amp;Team_Level[[#This Row],[Date]],Team_Level[Result],"&lt;&gt;"))</f>
        <v/>
      </c>
      <c r="T78" t="str">
        <f>Team_Level[[#This Row],[Team]]&amp;"-"&amp;Team_Level[[#This Row],[Chrono Rank]]</f>
        <v>Burton Albion-</v>
      </c>
    </row>
    <row r="79" spans="1:20" x14ac:dyDescent="0.25">
      <c r="A79" t="s">
        <v>156</v>
      </c>
      <c r="B79" s="6">
        <v>46284</v>
      </c>
      <c r="C79" t="s">
        <v>10</v>
      </c>
      <c r="D79" t="s">
        <v>19</v>
      </c>
      <c r="K79">
        <v>1</v>
      </c>
      <c r="L79" t="s">
        <v>34</v>
      </c>
      <c r="Q79" t="str">
        <f>IF(Team_Level[[#This Row],[Result]]="","",COUNTIFS(Team_Level[Team],Team_Level[[#This Row],[Team]],Team_Level[Date],"&gt;="&amp;Team_Level[[#This Row],[Date]],Team_Level[Result],"&lt;&gt;"))</f>
        <v/>
      </c>
      <c r="R79" t="str">
        <f>Team_Level[[#This Row],[Team]]&amp;"-"&amp;Team_Level[[#This Row],[Recency Rank]]</f>
        <v>Leyton Orient-</v>
      </c>
      <c r="S79" t="str">
        <f>IF(Team_Level[[#This Row],[Result]]="","",COUNTIFS(Team_Level[Team],Team_Level[[#This Row],[Team]],Team_Level[Date],"&lt;="&amp;Team_Level[[#This Row],[Date]],Team_Level[Result],"&lt;&gt;"))</f>
        <v/>
      </c>
      <c r="T79" t="str">
        <f>Team_Level[[#This Row],[Team]]&amp;"-"&amp;Team_Level[[#This Row],[Chrono Rank]]</f>
        <v>Leyton Orient-</v>
      </c>
    </row>
    <row r="80" spans="1:20" x14ac:dyDescent="0.25">
      <c r="A80" t="s">
        <v>157</v>
      </c>
      <c r="B80" s="6">
        <v>46284</v>
      </c>
      <c r="C80" t="s">
        <v>11</v>
      </c>
      <c r="D80" t="s">
        <v>3</v>
      </c>
      <c r="K80">
        <v>1</v>
      </c>
      <c r="L80" t="s">
        <v>34</v>
      </c>
      <c r="Q80" t="str">
        <f>IF(Team_Level[[#This Row],[Result]]="","",COUNTIFS(Team_Level[Team],Team_Level[[#This Row],[Team]],Team_Level[Date],"&gt;="&amp;Team_Level[[#This Row],[Date]],Team_Level[Result],"&lt;&gt;"))</f>
        <v/>
      </c>
      <c r="R80" t="str">
        <f>Team_Level[[#This Row],[Team]]&amp;"-"&amp;Team_Level[[#This Row],[Recency Rank]]</f>
        <v>Luton Town-</v>
      </c>
      <c r="S80" t="str">
        <f>IF(Team_Level[[#This Row],[Result]]="","",COUNTIFS(Team_Level[Team],Team_Level[[#This Row],[Team]],Team_Level[Date],"&lt;="&amp;Team_Level[[#This Row],[Date]],Team_Level[Result],"&lt;&gt;"))</f>
        <v/>
      </c>
      <c r="T80" t="str">
        <f>Team_Level[[#This Row],[Team]]&amp;"-"&amp;Team_Level[[#This Row],[Chrono Rank]]</f>
        <v>Luton Town-</v>
      </c>
    </row>
    <row r="81" spans="1:20" x14ac:dyDescent="0.25">
      <c r="A81" t="s">
        <v>158</v>
      </c>
      <c r="B81" s="6">
        <v>46284</v>
      </c>
      <c r="C81" t="s">
        <v>14</v>
      </c>
      <c r="D81" t="s">
        <v>6</v>
      </c>
      <c r="K81">
        <v>1</v>
      </c>
      <c r="L81" t="s">
        <v>34</v>
      </c>
      <c r="Q81" t="str">
        <f>IF(Team_Level[[#This Row],[Result]]="","",COUNTIFS(Team_Level[Team],Team_Level[[#This Row],[Team]],Team_Level[Date],"&gt;="&amp;Team_Level[[#This Row],[Date]],Team_Level[Result],"&lt;&gt;"))</f>
        <v/>
      </c>
      <c r="R81" t="str">
        <f>Team_Level[[#This Row],[Team]]&amp;"-"&amp;Team_Level[[#This Row],[Recency Rank]]</f>
        <v>Oxford United-</v>
      </c>
      <c r="S81" t="str">
        <f>IF(Team_Level[[#This Row],[Result]]="","",COUNTIFS(Team_Level[Team],Team_Level[[#This Row],[Team]],Team_Level[Date],"&lt;="&amp;Team_Level[[#This Row],[Date]],Team_Level[Result],"&lt;&gt;"))</f>
        <v/>
      </c>
      <c r="T81" t="str">
        <f>Team_Level[[#This Row],[Team]]&amp;"-"&amp;Team_Level[[#This Row],[Chrono Rank]]</f>
        <v>Oxford United-</v>
      </c>
    </row>
    <row r="82" spans="1:20" x14ac:dyDescent="0.25">
      <c r="A82" t="s">
        <v>159</v>
      </c>
      <c r="B82" s="6">
        <v>46284</v>
      </c>
      <c r="C82" t="s">
        <v>15</v>
      </c>
      <c r="D82" t="s">
        <v>7</v>
      </c>
      <c r="K82">
        <v>1</v>
      </c>
      <c r="L82" t="s">
        <v>34</v>
      </c>
      <c r="Q82" t="str">
        <f>IF(Team_Level[[#This Row],[Result]]="","",COUNTIFS(Team_Level[Team],Team_Level[[#This Row],[Team]],Team_Level[Date],"&gt;="&amp;Team_Level[[#This Row],[Date]],Team_Level[Result],"&lt;&gt;"))</f>
        <v/>
      </c>
      <c r="R82" t="str">
        <f>Team_Level[[#This Row],[Team]]&amp;"-"&amp;Team_Level[[#This Row],[Recency Rank]]</f>
        <v>Peterborough United-</v>
      </c>
      <c r="S82" t="str">
        <f>IF(Team_Level[[#This Row],[Result]]="","",COUNTIFS(Team_Level[Team],Team_Level[[#This Row],[Team]],Team_Level[Date],"&lt;="&amp;Team_Level[[#This Row],[Date]],Team_Level[Result],"&lt;&gt;"))</f>
        <v/>
      </c>
      <c r="T82" t="str">
        <f>Team_Level[[#This Row],[Team]]&amp;"-"&amp;Team_Level[[#This Row],[Chrono Rank]]</f>
        <v>Peterborough United-</v>
      </c>
    </row>
    <row r="83" spans="1:20" x14ac:dyDescent="0.25">
      <c r="A83" t="s">
        <v>160</v>
      </c>
      <c r="B83" s="6">
        <v>46284</v>
      </c>
      <c r="C83" t="s">
        <v>17</v>
      </c>
      <c r="D83" t="s">
        <v>13</v>
      </c>
      <c r="K83">
        <v>1</v>
      </c>
      <c r="L83" t="s">
        <v>34</v>
      </c>
      <c r="Q83" t="str">
        <f>IF(Team_Level[[#This Row],[Result]]="","",COUNTIFS(Team_Level[Team],Team_Level[[#This Row],[Team]],Team_Level[Date],"&gt;="&amp;Team_Level[[#This Row],[Date]],Team_Level[Result],"&lt;&gt;"))</f>
        <v/>
      </c>
      <c r="R83" t="str">
        <f>Team_Level[[#This Row],[Team]]&amp;"-"&amp;Team_Level[[#This Row],[Recency Rank]]</f>
        <v>Reading-</v>
      </c>
      <c r="S83" t="str">
        <f>IF(Team_Level[[#This Row],[Result]]="","",COUNTIFS(Team_Level[Team],Team_Level[[#This Row],[Team]],Team_Level[Date],"&lt;="&amp;Team_Level[[#This Row],[Date]],Team_Level[Result],"&lt;&gt;"))</f>
        <v/>
      </c>
      <c r="T83" t="str">
        <f>Team_Level[[#This Row],[Team]]&amp;"-"&amp;Team_Level[[#This Row],[Chrono Rank]]</f>
        <v>Reading-</v>
      </c>
    </row>
    <row r="84" spans="1:20" x14ac:dyDescent="0.25">
      <c r="A84" t="s">
        <v>161</v>
      </c>
      <c r="B84" s="6">
        <v>46284</v>
      </c>
      <c r="C84" t="s">
        <v>18</v>
      </c>
      <c r="D84" t="s">
        <v>20</v>
      </c>
      <c r="K84">
        <v>1</v>
      </c>
      <c r="L84" t="s">
        <v>34</v>
      </c>
      <c r="Q84" t="str">
        <f>IF(Team_Level[[#This Row],[Result]]="","",COUNTIFS(Team_Level[Team],Team_Level[[#This Row],[Team]],Team_Level[Date],"&gt;="&amp;Team_Level[[#This Row],[Date]],Team_Level[Result],"&lt;&gt;"))</f>
        <v/>
      </c>
      <c r="R84" t="str">
        <f>Team_Level[[#This Row],[Team]]&amp;"-"&amp;Team_Level[[#This Row],[Recency Rank]]</f>
        <v>Sheffield Wednesday-</v>
      </c>
      <c r="S84" t="str">
        <f>IF(Team_Level[[#This Row],[Result]]="","",COUNTIFS(Team_Level[Team],Team_Level[[#This Row],[Team]],Team_Level[Date],"&lt;="&amp;Team_Level[[#This Row],[Date]],Team_Level[Result],"&lt;&gt;"))</f>
        <v/>
      </c>
      <c r="T84" t="str">
        <f>Team_Level[[#This Row],[Team]]&amp;"-"&amp;Team_Level[[#This Row],[Chrono Rank]]</f>
        <v>Sheffield Wednesday-</v>
      </c>
    </row>
    <row r="85" spans="1:20" x14ac:dyDescent="0.25">
      <c r="A85" t="s">
        <v>162</v>
      </c>
      <c r="B85" s="6">
        <v>46284</v>
      </c>
      <c r="C85" t="s">
        <v>21</v>
      </c>
      <c r="D85" t="s">
        <v>22</v>
      </c>
      <c r="K85">
        <v>1</v>
      </c>
      <c r="L85" t="s">
        <v>34</v>
      </c>
      <c r="Q85" t="str">
        <f>IF(Team_Level[[#This Row],[Result]]="","",COUNTIFS(Team_Level[Team],Team_Level[[#This Row],[Team]],Team_Level[Date],"&gt;="&amp;Team_Level[[#This Row],[Date]],Team_Level[Result],"&lt;&gt;"))</f>
        <v/>
      </c>
      <c r="R85" t="str">
        <f>Team_Level[[#This Row],[Team]]&amp;"-"&amp;Team_Level[[#This Row],[Recency Rank]]</f>
        <v>Wigan Athletic-</v>
      </c>
      <c r="S85" t="str">
        <f>IF(Team_Level[[#This Row],[Result]]="","",COUNTIFS(Team_Level[Team],Team_Level[[#This Row],[Team]],Team_Level[Date],"&lt;="&amp;Team_Level[[#This Row],[Date]],Team_Level[Result],"&lt;&gt;"))</f>
        <v/>
      </c>
      <c r="T85" t="str">
        <f>Team_Level[[#This Row],[Team]]&amp;"-"&amp;Team_Level[[#This Row],[Chrono Rank]]</f>
        <v>Wigan Athletic-</v>
      </c>
    </row>
    <row r="86" spans="1:20" x14ac:dyDescent="0.25">
      <c r="A86" t="s">
        <v>163</v>
      </c>
      <c r="B86" s="6">
        <v>46291</v>
      </c>
      <c r="C86" t="s">
        <v>3</v>
      </c>
      <c r="D86" t="s">
        <v>1</v>
      </c>
      <c r="K86">
        <v>1</v>
      </c>
      <c r="L86" t="s">
        <v>34</v>
      </c>
      <c r="Q86" t="str">
        <f>IF(Team_Level[[#This Row],[Result]]="","",COUNTIFS(Team_Level[Team],Team_Level[[#This Row],[Team]],Team_Level[Date],"&gt;="&amp;Team_Level[[#This Row],[Date]],Team_Level[Result],"&lt;&gt;"))</f>
        <v/>
      </c>
      <c r="R86" t="str">
        <f>Team_Level[[#This Row],[Team]]&amp;"-"&amp;Team_Level[[#This Row],[Recency Rank]]</f>
        <v>Bradford City-</v>
      </c>
      <c r="S86" t="str">
        <f>IF(Team_Level[[#This Row],[Result]]="","",COUNTIFS(Team_Level[Team],Team_Level[[#This Row],[Team]],Team_Level[Date],"&lt;="&amp;Team_Level[[#This Row],[Date]],Team_Level[Result],"&lt;&gt;"))</f>
        <v/>
      </c>
      <c r="T86" t="str">
        <f>Team_Level[[#This Row],[Team]]&amp;"-"&amp;Team_Level[[#This Row],[Chrono Rank]]</f>
        <v>Bradford City-</v>
      </c>
    </row>
    <row r="87" spans="1:20" x14ac:dyDescent="0.25">
      <c r="A87" t="s">
        <v>164</v>
      </c>
      <c r="B87" s="6">
        <v>46291</v>
      </c>
      <c r="C87" t="s">
        <v>6</v>
      </c>
      <c r="D87" t="s">
        <v>0</v>
      </c>
      <c r="K87">
        <v>1</v>
      </c>
      <c r="L87" t="s">
        <v>34</v>
      </c>
      <c r="Q87" t="str">
        <f>IF(Team_Level[[#This Row],[Result]]="","",COUNTIFS(Team_Level[Team],Team_Level[[#This Row],[Team]],Team_Level[Date],"&gt;="&amp;Team_Level[[#This Row],[Date]],Team_Level[Result],"&lt;&gt;"))</f>
        <v/>
      </c>
      <c r="R87" t="str">
        <f>Team_Level[[#This Row],[Team]]&amp;"-"&amp;Team_Level[[#This Row],[Recency Rank]]</f>
        <v>Cambridge United-</v>
      </c>
      <c r="S87" t="str">
        <f>IF(Team_Level[[#This Row],[Result]]="","",COUNTIFS(Team_Level[Team],Team_Level[[#This Row],[Team]],Team_Level[Date],"&lt;="&amp;Team_Level[[#This Row],[Date]],Team_Level[Result],"&lt;&gt;"))</f>
        <v/>
      </c>
      <c r="T87" t="str">
        <f>Team_Level[[#This Row],[Team]]&amp;"-"&amp;Team_Level[[#This Row],[Chrono Rank]]</f>
        <v>Cambridge United-</v>
      </c>
    </row>
    <row r="88" spans="1:20" x14ac:dyDescent="0.25">
      <c r="A88" t="s">
        <v>165</v>
      </c>
      <c r="B88" s="6">
        <v>46291</v>
      </c>
      <c r="C88" t="s">
        <v>7</v>
      </c>
      <c r="D88" t="s">
        <v>14</v>
      </c>
      <c r="K88">
        <v>1</v>
      </c>
      <c r="L88" t="s">
        <v>34</v>
      </c>
      <c r="Q88" t="str">
        <f>IF(Team_Level[[#This Row],[Result]]="","",COUNTIFS(Team_Level[Team],Team_Level[[#This Row],[Team]],Team_Level[Date],"&gt;="&amp;Team_Level[[#This Row],[Date]],Team_Level[Result],"&lt;&gt;"))</f>
        <v/>
      </c>
      <c r="R88" t="str">
        <f>Team_Level[[#This Row],[Team]]&amp;"-"&amp;Team_Level[[#This Row],[Recency Rank]]</f>
        <v>Doncaster Rovers-</v>
      </c>
      <c r="S88" t="str">
        <f>IF(Team_Level[[#This Row],[Result]]="","",COUNTIFS(Team_Level[Team],Team_Level[[#This Row],[Team]],Team_Level[Date],"&lt;="&amp;Team_Level[[#This Row],[Date]],Team_Level[Result],"&lt;&gt;"))</f>
        <v/>
      </c>
      <c r="T88" t="str">
        <f>Team_Level[[#This Row],[Team]]&amp;"-"&amp;Team_Level[[#This Row],[Chrono Rank]]</f>
        <v>Doncaster Rovers-</v>
      </c>
    </row>
    <row r="89" spans="1:20" x14ac:dyDescent="0.25">
      <c r="A89" t="s">
        <v>166</v>
      </c>
      <c r="B89" s="6">
        <v>46291</v>
      </c>
      <c r="C89" t="s">
        <v>8</v>
      </c>
      <c r="D89" t="s">
        <v>11</v>
      </c>
      <c r="K89">
        <v>1</v>
      </c>
      <c r="L89" t="s">
        <v>34</v>
      </c>
      <c r="Q89" t="str">
        <f>IF(Team_Level[[#This Row],[Result]]="","",COUNTIFS(Team_Level[Team],Team_Level[[#This Row],[Team]],Team_Level[Date],"&gt;="&amp;Team_Level[[#This Row],[Date]],Team_Level[Result],"&lt;&gt;"))</f>
        <v/>
      </c>
      <c r="R89" t="str">
        <f>Team_Level[[#This Row],[Team]]&amp;"-"&amp;Team_Level[[#This Row],[Recency Rank]]</f>
        <v>Huddersfield Town-</v>
      </c>
      <c r="S89" t="str">
        <f>IF(Team_Level[[#This Row],[Result]]="","",COUNTIFS(Team_Level[Team],Team_Level[[#This Row],[Team]],Team_Level[Date],"&lt;="&amp;Team_Level[[#This Row],[Date]],Team_Level[Result],"&lt;&gt;"))</f>
        <v/>
      </c>
      <c r="T89" t="str">
        <f>Team_Level[[#This Row],[Team]]&amp;"-"&amp;Team_Level[[#This Row],[Chrono Rank]]</f>
        <v>Huddersfield Town-</v>
      </c>
    </row>
    <row r="90" spans="1:20" x14ac:dyDescent="0.25">
      <c r="A90" t="s">
        <v>167</v>
      </c>
      <c r="B90" s="6">
        <v>46291</v>
      </c>
      <c r="C90" t="s">
        <v>9</v>
      </c>
      <c r="D90" t="s">
        <v>21</v>
      </c>
      <c r="K90">
        <v>1</v>
      </c>
      <c r="L90" t="s">
        <v>34</v>
      </c>
      <c r="Q90" t="str">
        <f>IF(Team_Level[[#This Row],[Result]]="","",COUNTIFS(Team_Level[Team],Team_Level[[#This Row],[Team]],Team_Level[Date],"&gt;="&amp;Team_Level[[#This Row],[Date]],Team_Level[Result],"&lt;&gt;"))</f>
        <v/>
      </c>
      <c r="R90" t="str">
        <f>Team_Level[[#This Row],[Team]]&amp;"-"&amp;Team_Level[[#This Row],[Recency Rank]]</f>
        <v>Leicester City-</v>
      </c>
      <c r="S90" t="str">
        <f>IF(Team_Level[[#This Row],[Result]]="","",COUNTIFS(Team_Level[Team],Team_Level[[#This Row],[Team]],Team_Level[Date],"&lt;="&amp;Team_Level[[#This Row],[Date]],Team_Level[Result],"&lt;&gt;"))</f>
        <v/>
      </c>
      <c r="T90" t="str">
        <f>Team_Level[[#This Row],[Team]]&amp;"-"&amp;Team_Level[[#This Row],[Chrono Rank]]</f>
        <v>Leicester City-</v>
      </c>
    </row>
    <row r="91" spans="1:20" x14ac:dyDescent="0.25">
      <c r="A91" t="s">
        <v>168</v>
      </c>
      <c r="B91" s="6">
        <v>46291</v>
      </c>
      <c r="C91" t="s">
        <v>12</v>
      </c>
      <c r="D91" t="s">
        <v>10</v>
      </c>
      <c r="K91">
        <v>1</v>
      </c>
      <c r="L91" t="s">
        <v>34</v>
      </c>
      <c r="Q91" t="str">
        <f>IF(Team_Level[[#This Row],[Result]]="","",COUNTIFS(Team_Level[Team],Team_Level[[#This Row],[Team]],Team_Level[Date],"&gt;="&amp;Team_Level[[#This Row],[Date]],Team_Level[Result],"&lt;&gt;"))</f>
        <v/>
      </c>
      <c r="R91" t="str">
        <f>Team_Level[[#This Row],[Team]]&amp;"-"&amp;Team_Level[[#This Row],[Recency Rank]]</f>
        <v>Mansfield Town-</v>
      </c>
      <c r="S91" t="str">
        <f>IF(Team_Level[[#This Row],[Result]]="","",COUNTIFS(Team_Level[Team],Team_Level[[#This Row],[Team]],Team_Level[Date],"&lt;="&amp;Team_Level[[#This Row],[Date]],Team_Level[Result],"&lt;&gt;"))</f>
        <v/>
      </c>
      <c r="T91" t="str">
        <f>Team_Level[[#This Row],[Team]]&amp;"-"&amp;Team_Level[[#This Row],[Chrono Rank]]</f>
        <v>Mansfield Town-</v>
      </c>
    </row>
    <row r="92" spans="1:20" x14ac:dyDescent="0.25">
      <c r="A92" t="s">
        <v>169</v>
      </c>
      <c r="B92" s="6">
        <v>46291</v>
      </c>
      <c r="C92" t="s">
        <v>33</v>
      </c>
      <c r="D92" t="s">
        <v>4</v>
      </c>
      <c r="K92">
        <v>1</v>
      </c>
      <c r="L92" t="s">
        <v>34</v>
      </c>
      <c r="Q92" t="str">
        <f>IF(Team_Level[[#This Row],[Result]]="","",COUNTIFS(Team_Level[Team],Team_Level[[#This Row],[Team]],Team_Level[Date],"&gt;="&amp;Team_Level[[#This Row],[Date]],Team_Level[Result],"&lt;&gt;"))</f>
        <v/>
      </c>
      <c r="R92" t="str">
        <f>Team_Level[[#This Row],[Team]]&amp;"-"&amp;Team_Level[[#This Row],[Recency Rank]]</f>
        <v>Milton Keynes Dons-</v>
      </c>
      <c r="S92" t="str">
        <f>IF(Team_Level[[#This Row],[Result]]="","",COUNTIFS(Team_Level[Team],Team_Level[[#This Row],[Team]],Team_Level[Date],"&lt;="&amp;Team_Level[[#This Row],[Date]],Team_Level[Result],"&lt;&gt;"))</f>
        <v/>
      </c>
      <c r="T92" t="str">
        <f>Team_Level[[#This Row],[Team]]&amp;"-"&amp;Team_Level[[#This Row],[Chrono Rank]]</f>
        <v>Milton Keynes Dons-</v>
      </c>
    </row>
    <row r="93" spans="1:20" x14ac:dyDescent="0.25">
      <c r="A93" t="s">
        <v>170</v>
      </c>
      <c r="B93" s="6">
        <v>46291</v>
      </c>
      <c r="C93" t="s">
        <v>13</v>
      </c>
      <c r="D93" t="s">
        <v>2</v>
      </c>
      <c r="K93">
        <v>1</v>
      </c>
      <c r="L93" t="s">
        <v>34</v>
      </c>
      <c r="Q93" t="str">
        <f>IF(Team_Level[[#This Row],[Result]]="","",COUNTIFS(Team_Level[Team],Team_Level[[#This Row],[Team]],Team_Level[Date],"&gt;="&amp;Team_Level[[#This Row],[Date]],Team_Level[Result],"&lt;&gt;"))</f>
        <v/>
      </c>
      <c r="R93" t="str">
        <f>Team_Level[[#This Row],[Team]]&amp;"-"&amp;Team_Level[[#This Row],[Recency Rank]]</f>
        <v>Notts County-</v>
      </c>
      <c r="S93" t="str">
        <f>IF(Team_Level[[#This Row],[Result]]="","",COUNTIFS(Team_Level[Team],Team_Level[[#This Row],[Team]],Team_Level[Date],"&lt;="&amp;Team_Level[[#This Row],[Date]],Team_Level[Result],"&lt;&gt;"))</f>
        <v/>
      </c>
      <c r="T93" t="str">
        <f>Team_Level[[#This Row],[Team]]&amp;"-"&amp;Team_Level[[#This Row],[Chrono Rank]]</f>
        <v>Notts County-</v>
      </c>
    </row>
    <row r="94" spans="1:20" x14ac:dyDescent="0.25">
      <c r="A94" t="s">
        <v>171</v>
      </c>
      <c r="B94" s="6">
        <v>46291</v>
      </c>
      <c r="C94" t="s">
        <v>16</v>
      </c>
      <c r="D94" t="s">
        <v>5</v>
      </c>
      <c r="K94">
        <v>1</v>
      </c>
      <c r="L94" t="s">
        <v>34</v>
      </c>
      <c r="Q94" t="str">
        <f>IF(Team_Level[[#This Row],[Result]]="","",COUNTIFS(Team_Level[Team],Team_Level[[#This Row],[Team]],Team_Level[Date],"&gt;="&amp;Team_Level[[#This Row],[Date]],Team_Level[Result],"&lt;&gt;"))</f>
        <v/>
      </c>
      <c r="R94" t="str">
        <f>Team_Level[[#This Row],[Team]]&amp;"-"&amp;Team_Level[[#This Row],[Recency Rank]]</f>
        <v>Plymouth Argyle-</v>
      </c>
      <c r="S94" t="str">
        <f>IF(Team_Level[[#This Row],[Result]]="","",COUNTIFS(Team_Level[Team],Team_Level[[#This Row],[Team]],Team_Level[Date],"&lt;="&amp;Team_Level[[#This Row],[Date]],Team_Level[Result],"&lt;&gt;"))</f>
        <v/>
      </c>
      <c r="T94" t="str">
        <f>Team_Level[[#This Row],[Team]]&amp;"-"&amp;Team_Level[[#This Row],[Chrono Rank]]</f>
        <v>Plymouth Argyle-</v>
      </c>
    </row>
    <row r="95" spans="1:20" x14ac:dyDescent="0.25">
      <c r="A95" t="s">
        <v>172</v>
      </c>
      <c r="B95" s="6">
        <v>46291</v>
      </c>
      <c r="C95" t="s">
        <v>19</v>
      </c>
      <c r="D95" t="s">
        <v>18</v>
      </c>
      <c r="K95">
        <v>1</v>
      </c>
      <c r="L95" t="s">
        <v>34</v>
      </c>
      <c r="Q95" t="str">
        <f>IF(Team_Level[[#This Row],[Result]]="","",COUNTIFS(Team_Level[Team],Team_Level[[#This Row],[Team]],Team_Level[Date],"&gt;="&amp;Team_Level[[#This Row],[Date]],Team_Level[Result],"&lt;&gt;"))</f>
        <v/>
      </c>
      <c r="R95" t="str">
        <f>Team_Level[[#This Row],[Team]]&amp;"-"&amp;Team_Level[[#This Row],[Recency Rank]]</f>
        <v>Stevenage-</v>
      </c>
      <c r="S95" t="str">
        <f>IF(Team_Level[[#This Row],[Result]]="","",COUNTIFS(Team_Level[Team],Team_Level[[#This Row],[Team]],Team_Level[Date],"&lt;="&amp;Team_Level[[#This Row],[Date]],Team_Level[Result],"&lt;&gt;"))</f>
        <v/>
      </c>
      <c r="T95" t="str">
        <f>Team_Level[[#This Row],[Team]]&amp;"-"&amp;Team_Level[[#This Row],[Chrono Rank]]</f>
        <v>Stevenage-</v>
      </c>
    </row>
    <row r="96" spans="1:20" x14ac:dyDescent="0.25">
      <c r="A96" t="s">
        <v>173</v>
      </c>
      <c r="B96" s="6">
        <v>46291</v>
      </c>
      <c r="C96" t="s">
        <v>20</v>
      </c>
      <c r="D96" t="s">
        <v>15</v>
      </c>
      <c r="K96">
        <v>1</v>
      </c>
      <c r="L96" t="s">
        <v>34</v>
      </c>
      <c r="Q96" t="str">
        <f>IF(Team_Level[[#This Row],[Result]]="","",COUNTIFS(Team_Level[Team],Team_Level[[#This Row],[Team]],Team_Level[Date],"&gt;="&amp;Team_Level[[#This Row],[Date]],Team_Level[Result],"&lt;&gt;"))</f>
        <v/>
      </c>
      <c r="R96" t="str">
        <f>Team_Level[[#This Row],[Team]]&amp;"-"&amp;Team_Level[[#This Row],[Recency Rank]]</f>
        <v>Stockport County-</v>
      </c>
      <c r="S96" t="str">
        <f>IF(Team_Level[[#This Row],[Result]]="","",COUNTIFS(Team_Level[Team],Team_Level[[#This Row],[Team]],Team_Level[Date],"&lt;="&amp;Team_Level[[#This Row],[Date]],Team_Level[Result],"&lt;&gt;"))</f>
        <v/>
      </c>
      <c r="T96" t="str">
        <f>Team_Level[[#This Row],[Team]]&amp;"-"&amp;Team_Level[[#This Row],[Chrono Rank]]</f>
        <v>Stockport County-</v>
      </c>
    </row>
    <row r="97" spans="1:20" x14ac:dyDescent="0.25">
      <c r="A97" t="s">
        <v>174</v>
      </c>
      <c r="B97" s="6">
        <v>46291</v>
      </c>
      <c r="C97" t="s">
        <v>22</v>
      </c>
      <c r="D97" t="s">
        <v>17</v>
      </c>
      <c r="K97">
        <v>1</v>
      </c>
      <c r="L97" t="s">
        <v>34</v>
      </c>
      <c r="Q97" t="str">
        <f>IF(Team_Level[[#This Row],[Result]]="","",COUNTIFS(Team_Level[Team],Team_Level[[#This Row],[Team]],Team_Level[Date],"&gt;="&amp;Team_Level[[#This Row],[Date]],Team_Level[Result],"&lt;&gt;"))</f>
        <v/>
      </c>
      <c r="R97" t="str">
        <f>Team_Level[[#This Row],[Team]]&amp;"-"&amp;Team_Level[[#This Row],[Recency Rank]]</f>
        <v>Wycombe Wanderers-</v>
      </c>
      <c r="S97" t="str">
        <f>IF(Team_Level[[#This Row],[Result]]="","",COUNTIFS(Team_Level[Team],Team_Level[[#This Row],[Team]],Team_Level[Date],"&lt;="&amp;Team_Level[[#This Row],[Date]],Team_Level[Result],"&lt;&gt;"))</f>
        <v/>
      </c>
      <c r="T97" t="str">
        <f>Team_Level[[#This Row],[Team]]&amp;"-"&amp;Team_Level[[#This Row],[Chrono Rank]]</f>
        <v>Wycombe Wanderers-</v>
      </c>
    </row>
    <row r="98" spans="1:20" x14ac:dyDescent="0.25">
      <c r="A98" t="s">
        <v>175</v>
      </c>
      <c r="B98" s="6">
        <v>46298</v>
      </c>
      <c r="C98" t="s">
        <v>0</v>
      </c>
      <c r="D98" t="s">
        <v>19</v>
      </c>
      <c r="K98">
        <v>1</v>
      </c>
      <c r="L98" t="s">
        <v>34</v>
      </c>
      <c r="Q98" t="str">
        <f>IF(Team_Level[[#This Row],[Result]]="","",COUNTIFS(Team_Level[Team],Team_Level[[#This Row],[Team]],Team_Level[Date],"&gt;="&amp;Team_Level[[#This Row],[Date]],Team_Level[Result],"&lt;&gt;"))</f>
        <v/>
      </c>
      <c r="R98" t="str">
        <f>Team_Level[[#This Row],[Team]]&amp;"-"&amp;Team_Level[[#This Row],[Recency Rank]]</f>
        <v>AFC Wimbledon-</v>
      </c>
      <c r="S98" t="str">
        <f>IF(Team_Level[[#This Row],[Result]]="","",COUNTIFS(Team_Level[Team],Team_Level[[#This Row],[Team]],Team_Level[Date],"&lt;="&amp;Team_Level[[#This Row],[Date]],Team_Level[Result],"&lt;&gt;"))</f>
        <v/>
      </c>
      <c r="T98" t="str">
        <f>Team_Level[[#This Row],[Team]]&amp;"-"&amp;Team_Level[[#This Row],[Chrono Rank]]</f>
        <v>AFC Wimbledon-</v>
      </c>
    </row>
    <row r="99" spans="1:20" x14ac:dyDescent="0.25">
      <c r="A99" t="s">
        <v>176</v>
      </c>
      <c r="B99" s="6">
        <v>46298</v>
      </c>
      <c r="C99" t="s">
        <v>1</v>
      </c>
      <c r="D99" t="s">
        <v>33</v>
      </c>
      <c r="K99">
        <v>1</v>
      </c>
      <c r="L99" t="s">
        <v>34</v>
      </c>
      <c r="Q99" t="str">
        <f>IF(Team_Level[[#This Row],[Result]]="","",COUNTIFS(Team_Level[Team],Team_Level[[#This Row],[Team]],Team_Level[Date],"&gt;="&amp;Team_Level[[#This Row],[Date]],Team_Level[Result],"&lt;&gt;"))</f>
        <v/>
      </c>
      <c r="R99" t="str">
        <f>Team_Level[[#This Row],[Team]]&amp;"-"&amp;Team_Level[[#This Row],[Recency Rank]]</f>
        <v>Barnsley-</v>
      </c>
      <c r="S99" t="str">
        <f>IF(Team_Level[[#This Row],[Result]]="","",COUNTIFS(Team_Level[Team],Team_Level[[#This Row],[Team]],Team_Level[Date],"&lt;="&amp;Team_Level[[#This Row],[Date]],Team_Level[Result],"&lt;&gt;"))</f>
        <v/>
      </c>
      <c r="T99" t="str">
        <f>Team_Level[[#This Row],[Team]]&amp;"-"&amp;Team_Level[[#This Row],[Chrono Rank]]</f>
        <v>Barnsley-</v>
      </c>
    </row>
    <row r="100" spans="1:20" x14ac:dyDescent="0.25">
      <c r="A100" t="s">
        <v>177</v>
      </c>
      <c r="B100" s="6">
        <v>46298</v>
      </c>
      <c r="C100" t="s">
        <v>2</v>
      </c>
      <c r="D100" t="s">
        <v>9</v>
      </c>
      <c r="K100">
        <v>1</v>
      </c>
      <c r="L100" t="s">
        <v>34</v>
      </c>
      <c r="Q100" t="str">
        <f>IF(Team_Level[[#This Row],[Result]]="","",COUNTIFS(Team_Level[Team],Team_Level[[#This Row],[Team]],Team_Level[Date],"&gt;="&amp;Team_Level[[#This Row],[Date]],Team_Level[Result],"&lt;&gt;"))</f>
        <v/>
      </c>
      <c r="R100" t="str">
        <f>Team_Level[[#This Row],[Team]]&amp;"-"&amp;Team_Level[[#This Row],[Recency Rank]]</f>
        <v>Blackpool-</v>
      </c>
      <c r="S100" t="str">
        <f>IF(Team_Level[[#This Row],[Result]]="","",COUNTIFS(Team_Level[Team],Team_Level[[#This Row],[Team]],Team_Level[Date],"&lt;="&amp;Team_Level[[#This Row],[Date]],Team_Level[Result],"&lt;&gt;"))</f>
        <v/>
      </c>
      <c r="T100" t="str">
        <f>Team_Level[[#This Row],[Team]]&amp;"-"&amp;Team_Level[[#This Row],[Chrono Rank]]</f>
        <v>Blackpool-</v>
      </c>
    </row>
    <row r="101" spans="1:20" x14ac:dyDescent="0.25">
      <c r="A101" t="s">
        <v>178</v>
      </c>
      <c r="B101" s="6">
        <v>46298</v>
      </c>
      <c r="C101" t="s">
        <v>4</v>
      </c>
      <c r="D101" t="s">
        <v>22</v>
      </c>
      <c r="K101">
        <v>1</v>
      </c>
      <c r="L101" t="s">
        <v>34</v>
      </c>
      <c r="Q101" t="str">
        <f>IF(Team_Level[[#This Row],[Result]]="","",COUNTIFS(Team_Level[Team],Team_Level[[#This Row],[Team]],Team_Level[Date],"&gt;="&amp;Team_Level[[#This Row],[Date]],Team_Level[Result],"&lt;&gt;"))</f>
        <v/>
      </c>
      <c r="R101" t="str">
        <f>Team_Level[[#This Row],[Team]]&amp;"-"&amp;Team_Level[[#This Row],[Recency Rank]]</f>
        <v>Bromley-</v>
      </c>
      <c r="S101" t="str">
        <f>IF(Team_Level[[#This Row],[Result]]="","",COUNTIFS(Team_Level[Team],Team_Level[[#This Row],[Team]],Team_Level[Date],"&lt;="&amp;Team_Level[[#This Row],[Date]],Team_Level[Result],"&lt;&gt;"))</f>
        <v/>
      </c>
      <c r="T101" t="str">
        <f>Team_Level[[#This Row],[Team]]&amp;"-"&amp;Team_Level[[#This Row],[Chrono Rank]]</f>
        <v>Bromley-</v>
      </c>
    </row>
    <row r="102" spans="1:20" x14ac:dyDescent="0.25">
      <c r="A102" t="s">
        <v>179</v>
      </c>
      <c r="B102" s="6">
        <v>46298</v>
      </c>
      <c r="C102" t="s">
        <v>5</v>
      </c>
      <c r="D102" t="s">
        <v>8</v>
      </c>
      <c r="K102">
        <v>1</v>
      </c>
      <c r="L102" t="s">
        <v>34</v>
      </c>
      <c r="Q102" t="str">
        <f>IF(Team_Level[[#This Row],[Result]]="","",COUNTIFS(Team_Level[Team],Team_Level[[#This Row],[Team]],Team_Level[Date],"&gt;="&amp;Team_Level[[#This Row],[Date]],Team_Level[Result],"&lt;&gt;"))</f>
        <v/>
      </c>
      <c r="R102" t="str">
        <f>Team_Level[[#This Row],[Team]]&amp;"-"&amp;Team_Level[[#This Row],[Recency Rank]]</f>
        <v>Burton Albion-</v>
      </c>
      <c r="S102" t="str">
        <f>IF(Team_Level[[#This Row],[Result]]="","",COUNTIFS(Team_Level[Team],Team_Level[[#This Row],[Team]],Team_Level[Date],"&lt;="&amp;Team_Level[[#This Row],[Date]],Team_Level[Result],"&lt;&gt;"))</f>
        <v/>
      </c>
      <c r="T102" t="str">
        <f>Team_Level[[#This Row],[Team]]&amp;"-"&amp;Team_Level[[#This Row],[Chrono Rank]]</f>
        <v>Burton Albion-</v>
      </c>
    </row>
    <row r="103" spans="1:20" x14ac:dyDescent="0.25">
      <c r="A103" t="s">
        <v>180</v>
      </c>
      <c r="B103" s="6">
        <v>46298</v>
      </c>
      <c r="C103" t="s">
        <v>10</v>
      </c>
      <c r="D103" t="s">
        <v>16</v>
      </c>
      <c r="K103">
        <v>1</v>
      </c>
      <c r="L103" t="s">
        <v>34</v>
      </c>
      <c r="Q103" t="str">
        <f>IF(Team_Level[[#This Row],[Result]]="","",COUNTIFS(Team_Level[Team],Team_Level[[#This Row],[Team]],Team_Level[Date],"&gt;="&amp;Team_Level[[#This Row],[Date]],Team_Level[Result],"&lt;&gt;"))</f>
        <v/>
      </c>
      <c r="R103" t="str">
        <f>Team_Level[[#This Row],[Team]]&amp;"-"&amp;Team_Level[[#This Row],[Recency Rank]]</f>
        <v>Leyton Orient-</v>
      </c>
      <c r="S103" t="str">
        <f>IF(Team_Level[[#This Row],[Result]]="","",COUNTIFS(Team_Level[Team],Team_Level[[#This Row],[Team]],Team_Level[Date],"&lt;="&amp;Team_Level[[#This Row],[Date]],Team_Level[Result],"&lt;&gt;"))</f>
        <v/>
      </c>
      <c r="T103" t="str">
        <f>Team_Level[[#This Row],[Team]]&amp;"-"&amp;Team_Level[[#This Row],[Chrono Rank]]</f>
        <v>Leyton Orient-</v>
      </c>
    </row>
    <row r="104" spans="1:20" x14ac:dyDescent="0.25">
      <c r="A104" t="s">
        <v>181</v>
      </c>
      <c r="B104" s="6">
        <v>46298</v>
      </c>
      <c r="C104" t="s">
        <v>11</v>
      </c>
      <c r="D104" t="s">
        <v>7</v>
      </c>
      <c r="K104">
        <v>1</v>
      </c>
      <c r="L104" t="s">
        <v>34</v>
      </c>
      <c r="Q104" t="str">
        <f>IF(Team_Level[[#This Row],[Result]]="","",COUNTIFS(Team_Level[Team],Team_Level[[#This Row],[Team]],Team_Level[Date],"&gt;="&amp;Team_Level[[#This Row],[Date]],Team_Level[Result],"&lt;&gt;"))</f>
        <v/>
      </c>
      <c r="R104" t="str">
        <f>Team_Level[[#This Row],[Team]]&amp;"-"&amp;Team_Level[[#This Row],[Recency Rank]]</f>
        <v>Luton Town-</v>
      </c>
      <c r="S104" t="str">
        <f>IF(Team_Level[[#This Row],[Result]]="","",COUNTIFS(Team_Level[Team],Team_Level[[#This Row],[Team]],Team_Level[Date],"&lt;="&amp;Team_Level[[#This Row],[Date]],Team_Level[Result],"&lt;&gt;"))</f>
        <v/>
      </c>
      <c r="T104" t="str">
        <f>Team_Level[[#This Row],[Team]]&amp;"-"&amp;Team_Level[[#This Row],[Chrono Rank]]</f>
        <v>Luton Town-</v>
      </c>
    </row>
    <row r="105" spans="1:20" x14ac:dyDescent="0.25">
      <c r="A105" t="s">
        <v>182</v>
      </c>
      <c r="B105" s="6">
        <v>46298</v>
      </c>
      <c r="C105" t="s">
        <v>14</v>
      </c>
      <c r="D105" t="s">
        <v>20</v>
      </c>
      <c r="K105">
        <v>1</v>
      </c>
      <c r="L105" t="s">
        <v>34</v>
      </c>
      <c r="Q105" t="str">
        <f>IF(Team_Level[[#This Row],[Result]]="","",COUNTIFS(Team_Level[Team],Team_Level[[#This Row],[Team]],Team_Level[Date],"&gt;="&amp;Team_Level[[#This Row],[Date]],Team_Level[Result],"&lt;&gt;"))</f>
        <v/>
      </c>
      <c r="R105" t="str">
        <f>Team_Level[[#This Row],[Team]]&amp;"-"&amp;Team_Level[[#This Row],[Recency Rank]]</f>
        <v>Oxford United-</v>
      </c>
      <c r="S105" t="str">
        <f>IF(Team_Level[[#This Row],[Result]]="","",COUNTIFS(Team_Level[Team],Team_Level[[#This Row],[Team]],Team_Level[Date],"&lt;="&amp;Team_Level[[#This Row],[Date]],Team_Level[Result],"&lt;&gt;"))</f>
        <v/>
      </c>
      <c r="T105" t="str">
        <f>Team_Level[[#This Row],[Team]]&amp;"-"&amp;Team_Level[[#This Row],[Chrono Rank]]</f>
        <v>Oxford United-</v>
      </c>
    </row>
    <row r="106" spans="1:20" x14ac:dyDescent="0.25">
      <c r="A106" t="s">
        <v>183</v>
      </c>
      <c r="B106" s="6">
        <v>46298</v>
      </c>
      <c r="C106" t="s">
        <v>15</v>
      </c>
      <c r="D106" t="s">
        <v>13</v>
      </c>
      <c r="K106">
        <v>1</v>
      </c>
      <c r="L106" t="s">
        <v>34</v>
      </c>
      <c r="Q106" t="str">
        <f>IF(Team_Level[[#This Row],[Result]]="","",COUNTIFS(Team_Level[Team],Team_Level[[#This Row],[Team]],Team_Level[Date],"&gt;="&amp;Team_Level[[#This Row],[Date]],Team_Level[Result],"&lt;&gt;"))</f>
        <v/>
      </c>
      <c r="R106" t="str">
        <f>Team_Level[[#This Row],[Team]]&amp;"-"&amp;Team_Level[[#This Row],[Recency Rank]]</f>
        <v>Peterborough United-</v>
      </c>
      <c r="S106" t="str">
        <f>IF(Team_Level[[#This Row],[Result]]="","",COUNTIFS(Team_Level[Team],Team_Level[[#This Row],[Team]],Team_Level[Date],"&lt;="&amp;Team_Level[[#This Row],[Date]],Team_Level[Result],"&lt;&gt;"))</f>
        <v/>
      </c>
      <c r="T106" t="str">
        <f>Team_Level[[#This Row],[Team]]&amp;"-"&amp;Team_Level[[#This Row],[Chrono Rank]]</f>
        <v>Peterborough United-</v>
      </c>
    </row>
    <row r="107" spans="1:20" x14ac:dyDescent="0.25">
      <c r="A107" t="s">
        <v>184</v>
      </c>
      <c r="B107" s="6">
        <v>46298</v>
      </c>
      <c r="C107" t="s">
        <v>17</v>
      </c>
      <c r="D107" t="s">
        <v>3</v>
      </c>
      <c r="K107">
        <v>1</v>
      </c>
      <c r="L107" t="s">
        <v>34</v>
      </c>
      <c r="Q107" t="str">
        <f>IF(Team_Level[[#This Row],[Result]]="","",COUNTIFS(Team_Level[Team],Team_Level[[#This Row],[Team]],Team_Level[Date],"&gt;="&amp;Team_Level[[#This Row],[Date]],Team_Level[Result],"&lt;&gt;"))</f>
        <v/>
      </c>
      <c r="R107" t="str">
        <f>Team_Level[[#This Row],[Team]]&amp;"-"&amp;Team_Level[[#This Row],[Recency Rank]]</f>
        <v>Reading-</v>
      </c>
      <c r="S107" t="str">
        <f>IF(Team_Level[[#This Row],[Result]]="","",COUNTIFS(Team_Level[Team],Team_Level[[#This Row],[Team]],Team_Level[Date],"&lt;="&amp;Team_Level[[#This Row],[Date]],Team_Level[Result],"&lt;&gt;"))</f>
        <v/>
      </c>
      <c r="T107" t="str">
        <f>Team_Level[[#This Row],[Team]]&amp;"-"&amp;Team_Level[[#This Row],[Chrono Rank]]</f>
        <v>Reading-</v>
      </c>
    </row>
    <row r="108" spans="1:20" x14ac:dyDescent="0.25">
      <c r="A108" t="s">
        <v>185</v>
      </c>
      <c r="B108" s="6">
        <v>46298</v>
      </c>
      <c r="C108" t="s">
        <v>18</v>
      </c>
      <c r="D108" t="s">
        <v>6</v>
      </c>
      <c r="K108">
        <v>1</v>
      </c>
      <c r="L108" t="s">
        <v>34</v>
      </c>
      <c r="Q108" t="str">
        <f>IF(Team_Level[[#This Row],[Result]]="","",COUNTIFS(Team_Level[Team],Team_Level[[#This Row],[Team]],Team_Level[Date],"&gt;="&amp;Team_Level[[#This Row],[Date]],Team_Level[Result],"&lt;&gt;"))</f>
        <v/>
      </c>
      <c r="R108" t="str">
        <f>Team_Level[[#This Row],[Team]]&amp;"-"&amp;Team_Level[[#This Row],[Recency Rank]]</f>
        <v>Sheffield Wednesday-</v>
      </c>
      <c r="S108" t="str">
        <f>IF(Team_Level[[#This Row],[Result]]="","",COUNTIFS(Team_Level[Team],Team_Level[[#This Row],[Team]],Team_Level[Date],"&lt;="&amp;Team_Level[[#This Row],[Date]],Team_Level[Result],"&lt;&gt;"))</f>
        <v/>
      </c>
      <c r="T108" t="str">
        <f>Team_Level[[#This Row],[Team]]&amp;"-"&amp;Team_Level[[#This Row],[Chrono Rank]]</f>
        <v>Sheffield Wednesday-</v>
      </c>
    </row>
    <row r="109" spans="1:20" x14ac:dyDescent="0.25">
      <c r="A109" t="s">
        <v>186</v>
      </c>
      <c r="B109" s="6">
        <v>46298</v>
      </c>
      <c r="C109" t="s">
        <v>21</v>
      </c>
      <c r="D109" t="s">
        <v>12</v>
      </c>
      <c r="K109">
        <v>1</v>
      </c>
      <c r="L109" t="s">
        <v>34</v>
      </c>
      <c r="Q109" t="str">
        <f>IF(Team_Level[[#This Row],[Result]]="","",COUNTIFS(Team_Level[Team],Team_Level[[#This Row],[Team]],Team_Level[Date],"&gt;="&amp;Team_Level[[#This Row],[Date]],Team_Level[Result],"&lt;&gt;"))</f>
        <v/>
      </c>
      <c r="R109" t="str">
        <f>Team_Level[[#This Row],[Team]]&amp;"-"&amp;Team_Level[[#This Row],[Recency Rank]]</f>
        <v>Wigan Athletic-</v>
      </c>
      <c r="S109" t="str">
        <f>IF(Team_Level[[#This Row],[Result]]="","",COUNTIFS(Team_Level[Team],Team_Level[[#This Row],[Team]],Team_Level[Date],"&lt;="&amp;Team_Level[[#This Row],[Date]],Team_Level[Result],"&lt;&gt;"))</f>
        <v/>
      </c>
      <c r="T109" t="str">
        <f>Team_Level[[#This Row],[Team]]&amp;"-"&amp;Team_Level[[#This Row],[Chrono Rank]]</f>
        <v>Wigan Athletic-</v>
      </c>
    </row>
    <row r="110" spans="1:20" x14ac:dyDescent="0.25">
      <c r="A110" t="s">
        <v>187</v>
      </c>
      <c r="B110" s="6">
        <v>46305</v>
      </c>
      <c r="C110" t="s">
        <v>3</v>
      </c>
      <c r="D110" t="s">
        <v>10</v>
      </c>
      <c r="K110">
        <v>1</v>
      </c>
      <c r="L110" t="s">
        <v>34</v>
      </c>
      <c r="Q110" t="str">
        <f>IF(Team_Level[[#This Row],[Result]]="","",COUNTIFS(Team_Level[Team],Team_Level[[#This Row],[Team]],Team_Level[Date],"&gt;="&amp;Team_Level[[#This Row],[Date]],Team_Level[Result],"&lt;&gt;"))</f>
        <v/>
      </c>
      <c r="R110" t="str">
        <f>Team_Level[[#This Row],[Team]]&amp;"-"&amp;Team_Level[[#This Row],[Recency Rank]]</f>
        <v>Bradford City-</v>
      </c>
      <c r="S110" t="str">
        <f>IF(Team_Level[[#This Row],[Result]]="","",COUNTIFS(Team_Level[Team],Team_Level[[#This Row],[Team]],Team_Level[Date],"&lt;="&amp;Team_Level[[#This Row],[Date]],Team_Level[Result],"&lt;&gt;"))</f>
        <v/>
      </c>
      <c r="T110" t="str">
        <f>Team_Level[[#This Row],[Team]]&amp;"-"&amp;Team_Level[[#This Row],[Chrono Rank]]</f>
        <v>Bradford City-</v>
      </c>
    </row>
    <row r="111" spans="1:20" x14ac:dyDescent="0.25">
      <c r="A111" t="s">
        <v>188</v>
      </c>
      <c r="B111" s="6">
        <v>46305</v>
      </c>
      <c r="C111" t="s">
        <v>6</v>
      </c>
      <c r="D111" t="s">
        <v>2</v>
      </c>
      <c r="K111">
        <v>1</v>
      </c>
      <c r="L111" t="s">
        <v>34</v>
      </c>
      <c r="Q111" t="str">
        <f>IF(Team_Level[[#This Row],[Result]]="","",COUNTIFS(Team_Level[Team],Team_Level[[#This Row],[Team]],Team_Level[Date],"&gt;="&amp;Team_Level[[#This Row],[Date]],Team_Level[Result],"&lt;&gt;"))</f>
        <v/>
      </c>
      <c r="R111" t="str">
        <f>Team_Level[[#This Row],[Team]]&amp;"-"&amp;Team_Level[[#This Row],[Recency Rank]]</f>
        <v>Cambridge United-</v>
      </c>
      <c r="S111" t="str">
        <f>IF(Team_Level[[#This Row],[Result]]="","",COUNTIFS(Team_Level[Team],Team_Level[[#This Row],[Team]],Team_Level[Date],"&lt;="&amp;Team_Level[[#This Row],[Date]],Team_Level[Result],"&lt;&gt;"))</f>
        <v/>
      </c>
      <c r="T111" t="str">
        <f>Team_Level[[#This Row],[Team]]&amp;"-"&amp;Team_Level[[#This Row],[Chrono Rank]]</f>
        <v>Cambridge United-</v>
      </c>
    </row>
    <row r="112" spans="1:20" x14ac:dyDescent="0.25">
      <c r="A112" t="s">
        <v>189</v>
      </c>
      <c r="B112" s="6">
        <v>46305</v>
      </c>
      <c r="C112" t="s">
        <v>7</v>
      </c>
      <c r="D112" t="s">
        <v>5</v>
      </c>
      <c r="K112">
        <v>1</v>
      </c>
      <c r="L112" t="s">
        <v>34</v>
      </c>
      <c r="Q112" t="str">
        <f>IF(Team_Level[[#This Row],[Result]]="","",COUNTIFS(Team_Level[Team],Team_Level[[#This Row],[Team]],Team_Level[Date],"&gt;="&amp;Team_Level[[#This Row],[Date]],Team_Level[Result],"&lt;&gt;"))</f>
        <v/>
      </c>
      <c r="R112" t="str">
        <f>Team_Level[[#This Row],[Team]]&amp;"-"&amp;Team_Level[[#This Row],[Recency Rank]]</f>
        <v>Doncaster Rovers-</v>
      </c>
      <c r="S112" t="str">
        <f>IF(Team_Level[[#This Row],[Result]]="","",COUNTIFS(Team_Level[Team],Team_Level[[#This Row],[Team]],Team_Level[Date],"&lt;="&amp;Team_Level[[#This Row],[Date]],Team_Level[Result],"&lt;&gt;"))</f>
        <v/>
      </c>
      <c r="T112" t="str">
        <f>Team_Level[[#This Row],[Team]]&amp;"-"&amp;Team_Level[[#This Row],[Chrono Rank]]</f>
        <v>Doncaster Rovers-</v>
      </c>
    </row>
    <row r="113" spans="1:20" x14ac:dyDescent="0.25">
      <c r="A113" t="s">
        <v>190</v>
      </c>
      <c r="B113" s="6">
        <v>46305</v>
      </c>
      <c r="C113" t="s">
        <v>8</v>
      </c>
      <c r="D113" t="s">
        <v>18</v>
      </c>
      <c r="K113">
        <v>1</v>
      </c>
      <c r="L113" t="s">
        <v>34</v>
      </c>
      <c r="Q113" t="str">
        <f>IF(Team_Level[[#This Row],[Result]]="","",COUNTIFS(Team_Level[Team],Team_Level[[#This Row],[Team]],Team_Level[Date],"&gt;="&amp;Team_Level[[#This Row],[Date]],Team_Level[Result],"&lt;&gt;"))</f>
        <v/>
      </c>
      <c r="R113" t="str">
        <f>Team_Level[[#This Row],[Team]]&amp;"-"&amp;Team_Level[[#This Row],[Recency Rank]]</f>
        <v>Huddersfield Town-</v>
      </c>
      <c r="S113" t="str">
        <f>IF(Team_Level[[#This Row],[Result]]="","",COUNTIFS(Team_Level[Team],Team_Level[[#This Row],[Team]],Team_Level[Date],"&lt;="&amp;Team_Level[[#This Row],[Date]],Team_Level[Result],"&lt;&gt;"))</f>
        <v/>
      </c>
      <c r="T113" t="str">
        <f>Team_Level[[#This Row],[Team]]&amp;"-"&amp;Team_Level[[#This Row],[Chrono Rank]]</f>
        <v>Huddersfield Town-</v>
      </c>
    </row>
    <row r="114" spans="1:20" x14ac:dyDescent="0.25">
      <c r="A114" t="s">
        <v>191</v>
      </c>
      <c r="B114" s="6">
        <v>46305</v>
      </c>
      <c r="C114" t="s">
        <v>9</v>
      </c>
      <c r="D114" t="s">
        <v>15</v>
      </c>
      <c r="K114">
        <v>1</v>
      </c>
      <c r="L114" t="s">
        <v>34</v>
      </c>
      <c r="Q114" t="str">
        <f>IF(Team_Level[[#This Row],[Result]]="","",COUNTIFS(Team_Level[Team],Team_Level[[#This Row],[Team]],Team_Level[Date],"&gt;="&amp;Team_Level[[#This Row],[Date]],Team_Level[Result],"&lt;&gt;"))</f>
        <v/>
      </c>
      <c r="R114" t="str">
        <f>Team_Level[[#This Row],[Team]]&amp;"-"&amp;Team_Level[[#This Row],[Recency Rank]]</f>
        <v>Leicester City-</v>
      </c>
      <c r="S114" t="str">
        <f>IF(Team_Level[[#This Row],[Result]]="","",COUNTIFS(Team_Level[Team],Team_Level[[#This Row],[Team]],Team_Level[Date],"&lt;="&amp;Team_Level[[#This Row],[Date]],Team_Level[Result],"&lt;&gt;"))</f>
        <v/>
      </c>
      <c r="T114" t="str">
        <f>Team_Level[[#This Row],[Team]]&amp;"-"&amp;Team_Level[[#This Row],[Chrono Rank]]</f>
        <v>Leicester City-</v>
      </c>
    </row>
    <row r="115" spans="1:20" x14ac:dyDescent="0.25">
      <c r="A115" t="s">
        <v>192</v>
      </c>
      <c r="B115" s="6">
        <v>46305</v>
      </c>
      <c r="C115" t="s">
        <v>12</v>
      </c>
      <c r="D115" t="s">
        <v>4</v>
      </c>
      <c r="K115">
        <v>1</v>
      </c>
      <c r="L115" t="s">
        <v>34</v>
      </c>
      <c r="Q115" t="str">
        <f>IF(Team_Level[[#This Row],[Result]]="","",COUNTIFS(Team_Level[Team],Team_Level[[#This Row],[Team]],Team_Level[Date],"&gt;="&amp;Team_Level[[#This Row],[Date]],Team_Level[Result],"&lt;&gt;"))</f>
        <v/>
      </c>
      <c r="R115" t="str">
        <f>Team_Level[[#This Row],[Team]]&amp;"-"&amp;Team_Level[[#This Row],[Recency Rank]]</f>
        <v>Mansfield Town-</v>
      </c>
      <c r="S115" t="str">
        <f>IF(Team_Level[[#This Row],[Result]]="","",COUNTIFS(Team_Level[Team],Team_Level[[#This Row],[Team]],Team_Level[Date],"&lt;="&amp;Team_Level[[#This Row],[Date]],Team_Level[Result],"&lt;&gt;"))</f>
        <v/>
      </c>
      <c r="T115" t="str">
        <f>Team_Level[[#This Row],[Team]]&amp;"-"&amp;Team_Level[[#This Row],[Chrono Rank]]</f>
        <v>Mansfield Town-</v>
      </c>
    </row>
    <row r="116" spans="1:20" x14ac:dyDescent="0.25">
      <c r="A116" t="s">
        <v>193</v>
      </c>
      <c r="B116" s="6">
        <v>46305</v>
      </c>
      <c r="C116" t="s">
        <v>33</v>
      </c>
      <c r="D116" t="s">
        <v>17</v>
      </c>
      <c r="K116">
        <v>1</v>
      </c>
      <c r="L116" t="s">
        <v>34</v>
      </c>
      <c r="Q116" t="str">
        <f>IF(Team_Level[[#This Row],[Result]]="","",COUNTIFS(Team_Level[Team],Team_Level[[#This Row],[Team]],Team_Level[Date],"&gt;="&amp;Team_Level[[#This Row],[Date]],Team_Level[Result],"&lt;&gt;"))</f>
        <v/>
      </c>
      <c r="R116" t="str">
        <f>Team_Level[[#This Row],[Team]]&amp;"-"&amp;Team_Level[[#This Row],[Recency Rank]]</f>
        <v>Milton Keynes Dons-</v>
      </c>
      <c r="S116" t="str">
        <f>IF(Team_Level[[#This Row],[Result]]="","",COUNTIFS(Team_Level[Team],Team_Level[[#This Row],[Team]],Team_Level[Date],"&lt;="&amp;Team_Level[[#This Row],[Date]],Team_Level[Result],"&lt;&gt;"))</f>
        <v/>
      </c>
      <c r="T116" t="str">
        <f>Team_Level[[#This Row],[Team]]&amp;"-"&amp;Team_Level[[#This Row],[Chrono Rank]]</f>
        <v>Milton Keynes Dons-</v>
      </c>
    </row>
    <row r="117" spans="1:20" x14ac:dyDescent="0.25">
      <c r="A117" t="s">
        <v>194</v>
      </c>
      <c r="B117" s="6">
        <v>46305</v>
      </c>
      <c r="C117" t="s">
        <v>13</v>
      </c>
      <c r="D117" t="s">
        <v>14</v>
      </c>
      <c r="K117">
        <v>1</v>
      </c>
      <c r="L117" t="s">
        <v>34</v>
      </c>
      <c r="Q117" t="str">
        <f>IF(Team_Level[[#This Row],[Result]]="","",COUNTIFS(Team_Level[Team],Team_Level[[#This Row],[Team]],Team_Level[Date],"&gt;="&amp;Team_Level[[#This Row],[Date]],Team_Level[Result],"&lt;&gt;"))</f>
        <v/>
      </c>
      <c r="R117" t="str">
        <f>Team_Level[[#This Row],[Team]]&amp;"-"&amp;Team_Level[[#This Row],[Recency Rank]]</f>
        <v>Notts County-</v>
      </c>
      <c r="S117" t="str">
        <f>IF(Team_Level[[#This Row],[Result]]="","",COUNTIFS(Team_Level[Team],Team_Level[[#This Row],[Team]],Team_Level[Date],"&lt;="&amp;Team_Level[[#This Row],[Date]],Team_Level[Result],"&lt;&gt;"))</f>
        <v/>
      </c>
      <c r="T117" t="str">
        <f>Team_Level[[#This Row],[Team]]&amp;"-"&amp;Team_Level[[#This Row],[Chrono Rank]]</f>
        <v>Notts County-</v>
      </c>
    </row>
    <row r="118" spans="1:20" x14ac:dyDescent="0.25">
      <c r="A118" t="s">
        <v>195</v>
      </c>
      <c r="B118" s="6">
        <v>46305</v>
      </c>
      <c r="C118" t="s">
        <v>16</v>
      </c>
      <c r="D118" t="s">
        <v>0</v>
      </c>
      <c r="K118">
        <v>1</v>
      </c>
      <c r="L118" t="s">
        <v>34</v>
      </c>
      <c r="Q118" t="str">
        <f>IF(Team_Level[[#This Row],[Result]]="","",COUNTIFS(Team_Level[Team],Team_Level[[#This Row],[Team]],Team_Level[Date],"&gt;="&amp;Team_Level[[#This Row],[Date]],Team_Level[Result],"&lt;&gt;"))</f>
        <v/>
      </c>
      <c r="R118" t="str">
        <f>Team_Level[[#This Row],[Team]]&amp;"-"&amp;Team_Level[[#This Row],[Recency Rank]]</f>
        <v>Plymouth Argyle-</v>
      </c>
      <c r="S118" t="str">
        <f>IF(Team_Level[[#This Row],[Result]]="","",COUNTIFS(Team_Level[Team],Team_Level[[#This Row],[Team]],Team_Level[Date],"&lt;="&amp;Team_Level[[#This Row],[Date]],Team_Level[Result],"&lt;&gt;"))</f>
        <v/>
      </c>
      <c r="T118" t="str">
        <f>Team_Level[[#This Row],[Team]]&amp;"-"&amp;Team_Level[[#This Row],[Chrono Rank]]</f>
        <v>Plymouth Argyle-</v>
      </c>
    </row>
    <row r="119" spans="1:20" x14ac:dyDescent="0.25">
      <c r="A119" t="s">
        <v>196</v>
      </c>
      <c r="B119" s="6">
        <v>46305</v>
      </c>
      <c r="C119" t="s">
        <v>19</v>
      </c>
      <c r="D119" t="s">
        <v>21</v>
      </c>
      <c r="K119">
        <v>1</v>
      </c>
      <c r="L119" t="s">
        <v>34</v>
      </c>
      <c r="Q119" t="str">
        <f>IF(Team_Level[[#This Row],[Result]]="","",COUNTIFS(Team_Level[Team],Team_Level[[#This Row],[Team]],Team_Level[Date],"&gt;="&amp;Team_Level[[#This Row],[Date]],Team_Level[Result],"&lt;&gt;"))</f>
        <v/>
      </c>
      <c r="R119" t="str">
        <f>Team_Level[[#This Row],[Team]]&amp;"-"&amp;Team_Level[[#This Row],[Recency Rank]]</f>
        <v>Stevenage-</v>
      </c>
      <c r="S119" t="str">
        <f>IF(Team_Level[[#This Row],[Result]]="","",COUNTIFS(Team_Level[Team],Team_Level[[#This Row],[Team]],Team_Level[Date],"&lt;="&amp;Team_Level[[#This Row],[Date]],Team_Level[Result],"&lt;&gt;"))</f>
        <v/>
      </c>
      <c r="T119" t="str">
        <f>Team_Level[[#This Row],[Team]]&amp;"-"&amp;Team_Level[[#This Row],[Chrono Rank]]</f>
        <v>Stevenage-</v>
      </c>
    </row>
    <row r="120" spans="1:20" x14ac:dyDescent="0.25">
      <c r="A120" t="s">
        <v>197</v>
      </c>
      <c r="B120" s="6">
        <v>46305</v>
      </c>
      <c r="C120" t="s">
        <v>20</v>
      </c>
      <c r="D120" t="s">
        <v>1</v>
      </c>
      <c r="K120">
        <v>1</v>
      </c>
      <c r="L120" t="s">
        <v>34</v>
      </c>
      <c r="Q120" t="str">
        <f>IF(Team_Level[[#This Row],[Result]]="","",COUNTIFS(Team_Level[Team],Team_Level[[#This Row],[Team]],Team_Level[Date],"&gt;="&amp;Team_Level[[#This Row],[Date]],Team_Level[Result],"&lt;&gt;"))</f>
        <v/>
      </c>
      <c r="R120" t="str">
        <f>Team_Level[[#This Row],[Team]]&amp;"-"&amp;Team_Level[[#This Row],[Recency Rank]]</f>
        <v>Stockport County-</v>
      </c>
      <c r="S120" t="str">
        <f>IF(Team_Level[[#This Row],[Result]]="","",COUNTIFS(Team_Level[Team],Team_Level[[#This Row],[Team]],Team_Level[Date],"&lt;="&amp;Team_Level[[#This Row],[Date]],Team_Level[Result],"&lt;&gt;"))</f>
        <v/>
      </c>
      <c r="T120" t="str">
        <f>Team_Level[[#This Row],[Team]]&amp;"-"&amp;Team_Level[[#This Row],[Chrono Rank]]</f>
        <v>Stockport County-</v>
      </c>
    </row>
    <row r="121" spans="1:20" x14ac:dyDescent="0.25">
      <c r="A121" t="s">
        <v>198</v>
      </c>
      <c r="B121" s="6">
        <v>46305</v>
      </c>
      <c r="C121" t="s">
        <v>22</v>
      </c>
      <c r="D121" t="s">
        <v>11</v>
      </c>
      <c r="K121">
        <v>1</v>
      </c>
      <c r="L121" t="s">
        <v>34</v>
      </c>
      <c r="Q121" t="str">
        <f>IF(Team_Level[[#This Row],[Result]]="","",COUNTIFS(Team_Level[Team],Team_Level[[#This Row],[Team]],Team_Level[Date],"&gt;="&amp;Team_Level[[#This Row],[Date]],Team_Level[Result],"&lt;&gt;"))</f>
        <v/>
      </c>
      <c r="R121" t="str">
        <f>Team_Level[[#This Row],[Team]]&amp;"-"&amp;Team_Level[[#This Row],[Recency Rank]]</f>
        <v>Wycombe Wanderers-</v>
      </c>
      <c r="S121" t="str">
        <f>IF(Team_Level[[#This Row],[Result]]="","",COUNTIFS(Team_Level[Team],Team_Level[[#This Row],[Team]],Team_Level[Date],"&lt;="&amp;Team_Level[[#This Row],[Date]],Team_Level[Result],"&lt;&gt;"))</f>
        <v/>
      </c>
      <c r="T121" t="str">
        <f>Team_Level[[#This Row],[Team]]&amp;"-"&amp;Team_Level[[#This Row],[Chrono Rank]]</f>
        <v>Wycombe Wanderers-</v>
      </c>
    </row>
    <row r="122" spans="1:20" x14ac:dyDescent="0.25">
      <c r="A122" t="s">
        <v>199</v>
      </c>
      <c r="B122" s="6">
        <v>46310</v>
      </c>
      <c r="C122" t="s">
        <v>12</v>
      </c>
      <c r="D122" t="s">
        <v>14</v>
      </c>
      <c r="K122">
        <v>1</v>
      </c>
      <c r="L122" t="s">
        <v>34</v>
      </c>
      <c r="Q122" t="str">
        <f>IF(Team_Level[[#This Row],[Result]]="","",COUNTIFS(Team_Level[Team],Team_Level[[#This Row],[Team]],Team_Level[Date],"&gt;="&amp;Team_Level[[#This Row],[Date]],Team_Level[Result],"&lt;&gt;"))</f>
        <v/>
      </c>
      <c r="R122" t="str">
        <f>Team_Level[[#This Row],[Team]]&amp;"-"&amp;Team_Level[[#This Row],[Recency Rank]]</f>
        <v>Mansfield Town-</v>
      </c>
      <c r="S122" t="str">
        <f>IF(Team_Level[[#This Row],[Result]]="","",COUNTIFS(Team_Level[Team],Team_Level[[#This Row],[Team]],Team_Level[Date],"&lt;="&amp;Team_Level[[#This Row],[Date]],Team_Level[Result],"&lt;&gt;"))</f>
        <v/>
      </c>
      <c r="T122" t="str">
        <f>Team_Level[[#This Row],[Team]]&amp;"-"&amp;Team_Level[[#This Row],[Chrono Rank]]</f>
        <v>Mansfield Town-</v>
      </c>
    </row>
    <row r="123" spans="1:20" x14ac:dyDescent="0.25">
      <c r="A123" t="s">
        <v>200</v>
      </c>
      <c r="B123" s="6">
        <v>46312</v>
      </c>
      <c r="C123" t="s">
        <v>1</v>
      </c>
      <c r="D123" t="s">
        <v>6</v>
      </c>
      <c r="K123">
        <v>1</v>
      </c>
      <c r="L123" t="s">
        <v>34</v>
      </c>
      <c r="Q123" t="str">
        <f>IF(Team_Level[[#This Row],[Result]]="","",COUNTIFS(Team_Level[Team],Team_Level[[#This Row],[Team]],Team_Level[Date],"&gt;="&amp;Team_Level[[#This Row],[Date]],Team_Level[Result],"&lt;&gt;"))</f>
        <v/>
      </c>
      <c r="R123" t="str">
        <f>Team_Level[[#This Row],[Team]]&amp;"-"&amp;Team_Level[[#This Row],[Recency Rank]]</f>
        <v>Barnsley-</v>
      </c>
      <c r="S123" t="str">
        <f>IF(Team_Level[[#This Row],[Result]]="","",COUNTIFS(Team_Level[Team],Team_Level[[#This Row],[Team]],Team_Level[Date],"&lt;="&amp;Team_Level[[#This Row],[Date]],Team_Level[Result],"&lt;&gt;"))</f>
        <v/>
      </c>
      <c r="T123" t="str">
        <f>Team_Level[[#This Row],[Team]]&amp;"-"&amp;Team_Level[[#This Row],[Chrono Rank]]</f>
        <v>Barnsley-</v>
      </c>
    </row>
    <row r="124" spans="1:20" x14ac:dyDescent="0.25">
      <c r="A124" t="s">
        <v>201</v>
      </c>
      <c r="B124" s="6">
        <v>46312</v>
      </c>
      <c r="C124" t="s">
        <v>3</v>
      </c>
      <c r="D124" t="s">
        <v>19</v>
      </c>
      <c r="K124">
        <v>1</v>
      </c>
      <c r="L124" t="s">
        <v>34</v>
      </c>
      <c r="Q124" t="str">
        <f>IF(Team_Level[[#This Row],[Result]]="","",COUNTIFS(Team_Level[Team],Team_Level[[#This Row],[Team]],Team_Level[Date],"&gt;="&amp;Team_Level[[#This Row],[Date]],Team_Level[Result],"&lt;&gt;"))</f>
        <v/>
      </c>
      <c r="R124" t="str">
        <f>Team_Level[[#This Row],[Team]]&amp;"-"&amp;Team_Level[[#This Row],[Recency Rank]]</f>
        <v>Bradford City-</v>
      </c>
      <c r="S124" t="str">
        <f>IF(Team_Level[[#This Row],[Result]]="","",COUNTIFS(Team_Level[Team],Team_Level[[#This Row],[Team]],Team_Level[Date],"&lt;="&amp;Team_Level[[#This Row],[Date]],Team_Level[Result],"&lt;&gt;"))</f>
        <v/>
      </c>
      <c r="T124" t="str">
        <f>Team_Level[[#This Row],[Team]]&amp;"-"&amp;Team_Level[[#This Row],[Chrono Rank]]</f>
        <v>Bradford City-</v>
      </c>
    </row>
    <row r="125" spans="1:20" x14ac:dyDescent="0.25">
      <c r="A125" t="s">
        <v>202</v>
      </c>
      <c r="B125" s="6">
        <v>46312</v>
      </c>
      <c r="C125" t="s">
        <v>9</v>
      </c>
      <c r="D125" t="s">
        <v>7</v>
      </c>
      <c r="K125">
        <v>1</v>
      </c>
      <c r="L125" t="s">
        <v>34</v>
      </c>
      <c r="Q125" t="str">
        <f>IF(Team_Level[[#This Row],[Result]]="","",COUNTIFS(Team_Level[Team],Team_Level[[#This Row],[Team]],Team_Level[Date],"&gt;="&amp;Team_Level[[#This Row],[Date]],Team_Level[Result],"&lt;&gt;"))</f>
        <v/>
      </c>
      <c r="R125" t="str">
        <f>Team_Level[[#This Row],[Team]]&amp;"-"&amp;Team_Level[[#This Row],[Recency Rank]]</f>
        <v>Leicester City-</v>
      </c>
      <c r="S125" t="str">
        <f>IF(Team_Level[[#This Row],[Result]]="","",COUNTIFS(Team_Level[Team],Team_Level[[#This Row],[Team]],Team_Level[Date],"&lt;="&amp;Team_Level[[#This Row],[Date]],Team_Level[Result],"&lt;&gt;"))</f>
        <v/>
      </c>
      <c r="T125" t="str">
        <f>Team_Level[[#This Row],[Team]]&amp;"-"&amp;Team_Level[[#This Row],[Chrono Rank]]</f>
        <v>Leicester City-</v>
      </c>
    </row>
    <row r="126" spans="1:20" x14ac:dyDescent="0.25">
      <c r="A126" t="s">
        <v>203</v>
      </c>
      <c r="B126" s="6">
        <v>46312</v>
      </c>
      <c r="C126" t="s">
        <v>10</v>
      </c>
      <c r="D126" t="s">
        <v>2</v>
      </c>
      <c r="K126">
        <v>1</v>
      </c>
      <c r="L126" t="s">
        <v>34</v>
      </c>
      <c r="Q126" t="str">
        <f>IF(Team_Level[[#This Row],[Result]]="","",COUNTIFS(Team_Level[Team],Team_Level[[#This Row],[Team]],Team_Level[Date],"&gt;="&amp;Team_Level[[#This Row],[Date]],Team_Level[Result],"&lt;&gt;"))</f>
        <v/>
      </c>
      <c r="R126" t="str">
        <f>Team_Level[[#This Row],[Team]]&amp;"-"&amp;Team_Level[[#This Row],[Recency Rank]]</f>
        <v>Leyton Orient-</v>
      </c>
      <c r="S126" t="str">
        <f>IF(Team_Level[[#This Row],[Result]]="","",COUNTIFS(Team_Level[Team],Team_Level[[#This Row],[Team]],Team_Level[Date],"&lt;="&amp;Team_Level[[#This Row],[Date]],Team_Level[Result],"&lt;&gt;"))</f>
        <v/>
      </c>
      <c r="T126" t="str">
        <f>Team_Level[[#This Row],[Team]]&amp;"-"&amp;Team_Level[[#This Row],[Chrono Rank]]</f>
        <v>Leyton Orient-</v>
      </c>
    </row>
    <row r="127" spans="1:20" x14ac:dyDescent="0.25">
      <c r="A127" t="s">
        <v>204</v>
      </c>
      <c r="B127" s="6">
        <v>46312</v>
      </c>
      <c r="C127" t="s">
        <v>33</v>
      </c>
      <c r="D127" t="s">
        <v>11</v>
      </c>
      <c r="K127">
        <v>1</v>
      </c>
      <c r="L127" t="s">
        <v>34</v>
      </c>
      <c r="Q127" t="str">
        <f>IF(Team_Level[[#This Row],[Result]]="","",COUNTIFS(Team_Level[Team],Team_Level[[#This Row],[Team]],Team_Level[Date],"&gt;="&amp;Team_Level[[#This Row],[Date]],Team_Level[Result],"&lt;&gt;"))</f>
        <v/>
      </c>
      <c r="R127" t="str">
        <f>Team_Level[[#This Row],[Team]]&amp;"-"&amp;Team_Level[[#This Row],[Recency Rank]]</f>
        <v>Milton Keynes Dons-</v>
      </c>
      <c r="S127" t="str">
        <f>IF(Team_Level[[#This Row],[Result]]="","",COUNTIFS(Team_Level[Team],Team_Level[[#This Row],[Team]],Team_Level[Date],"&lt;="&amp;Team_Level[[#This Row],[Date]],Team_Level[Result],"&lt;&gt;"))</f>
        <v/>
      </c>
      <c r="T127" t="str">
        <f>Team_Level[[#This Row],[Team]]&amp;"-"&amp;Team_Level[[#This Row],[Chrono Rank]]</f>
        <v>Milton Keynes Dons-</v>
      </c>
    </row>
    <row r="128" spans="1:20" x14ac:dyDescent="0.25">
      <c r="A128" t="s">
        <v>205</v>
      </c>
      <c r="B128" s="6">
        <v>46312</v>
      </c>
      <c r="C128" t="s">
        <v>15</v>
      </c>
      <c r="D128" t="s">
        <v>5</v>
      </c>
      <c r="K128">
        <v>1</v>
      </c>
      <c r="L128" t="s">
        <v>34</v>
      </c>
      <c r="Q128" t="str">
        <f>IF(Team_Level[[#This Row],[Result]]="","",COUNTIFS(Team_Level[Team],Team_Level[[#This Row],[Team]],Team_Level[Date],"&gt;="&amp;Team_Level[[#This Row],[Date]],Team_Level[Result],"&lt;&gt;"))</f>
        <v/>
      </c>
      <c r="R128" t="str">
        <f>Team_Level[[#This Row],[Team]]&amp;"-"&amp;Team_Level[[#This Row],[Recency Rank]]</f>
        <v>Peterborough United-</v>
      </c>
      <c r="S128" t="str">
        <f>IF(Team_Level[[#This Row],[Result]]="","",COUNTIFS(Team_Level[Team],Team_Level[[#This Row],[Team]],Team_Level[Date],"&lt;="&amp;Team_Level[[#This Row],[Date]],Team_Level[Result],"&lt;&gt;"))</f>
        <v/>
      </c>
      <c r="T128" t="str">
        <f>Team_Level[[#This Row],[Team]]&amp;"-"&amp;Team_Level[[#This Row],[Chrono Rank]]</f>
        <v>Peterborough United-</v>
      </c>
    </row>
    <row r="129" spans="1:20" x14ac:dyDescent="0.25">
      <c r="A129" t="s">
        <v>206</v>
      </c>
      <c r="B129" s="6">
        <v>46312</v>
      </c>
      <c r="C129" t="s">
        <v>16</v>
      </c>
      <c r="D129" t="s">
        <v>8</v>
      </c>
      <c r="K129">
        <v>1</v>
      </c>
      <c r="L129" t="s">
        <v>34</v>
      </c>
      <c r="Q129" t="str">
        <f>IF(Team_Level[[#This Row],[Result]]="","",COUNTIFS(Team_Level[Team],Team_Level[[#This Row],[Team]],Team_Level[Date],"&gt;="&amp;Team_Level[[#This Row],[Date]],Team_Level[Result],"&lt;&gt;"))</f>
        <v/>
      </c>
      <c r="R129" t="str">
        <f>Team_Level[[#This Row],[Team]]&amp;"-"&amp;Team_Level[[#This Row],[Recency Rank]]</f>
        <v>Plymouth Argyle-</v>
      </c>
      <c r="S129" t="str">
        <f>IF(Team_Level[[#This Row],[Result]]="","",COUNTIFS(Team_Level[Team],Team_Level[[#This Row],[Team]],Team_Level[Date],"&lt;="&amp;Team_Level[[#This Row],[Date]],Team_Level[Result],"&lt;&gt;"))</f>
        <v/>
      </c>
      <c r="T129" t="str">
        <f>Team_Level[[#This Row],[Team]]&amp;"-"&amp;Team_Level[[#This Row],[Chrono Rank]]</f>
        <v>Plymouth Argyle-</v>
      </c>
    </row>
    <row r="130" spans="1:20" x14ac:dyDescent="0.25">
      <c r="A130" t="s">
        <v>207</v>
      </c>
      <c r="B130" s="6">
        <v>46312</v>
      </c>
      <c r="C130" t="s">
        <v>18</v>
      </c>
      <c r="D130" t="s">
        <v>0</v>
      </c>
      <c r="K130">
        <v>1</v>
      </c>
      <c r="L130" t="s">
        <v>34</v>
      </c>
      <c r="Q130" t="str">
        <f>IF(Team_Level[[#This Row],[Result]]="","",COUNTIFS(Team_Level[Team],Team_Level[[#This Row],[Team]],Team_Level[Date],"&gt;="&amp;Team_Level[[#This Row],[Date]],Team_Level[Result],"&lt;&gt;"))</f>
        <v/>
      </c>
      <c r="R130" t="str">
        <f>Team_Level[[#This Row],[Team]]&amp;"-"&amp;Team_Level[[#This Row],[Recency Rank]]</f>
        <v>Sheffield Wednesday-</v>
      </c>
      <c r="S130" t="str">
        <f>IF(Team_Level[[#This Row],[Result]]="","",COUNTIFS(Team_Level[Team],Team_Level[[#This Row],[Team]],Team_Level[Date],"&lt;="&amp;Team_Level[[#This Row],[Date]],Team_Level[Result],"&lt;&gt;"))</f>
        <v/>
      </c>
      <c r="T130" t="str">
        <f>Team_Level[[#This Row],[Team]]&amp;"-"&amp;Team_Level[[#This Row],[Chrono Rank]]</f>
        <v>Sheffield Wednesday-</v>
      </c>
    </row>
    <row r="131" spans="1:20" x14ac:dyDescent="0.25">
      <c r="A131" t="s">
        <v>208</v>
      </c>
      <c r="B131" s="6">
        <v>46312</v>
      </c>
      <c r="C131" t="s">
        <v>20</v>
      </c>
      <c r="D131" t="s">
        <v>4</v>
      </c>
      <c r="K131">
        <v>1</v>
      </c>
      <c r="L131" t="s">
        <v>34</v>
      </c>
      <c r="Q131" t="str">
        <f>IF(Team_Level[[#This Row],[Result]]="","",COUNTIFS(Team_Level[Team],Team_Level[[#This Row],[Team]],Team_Level[Date],"&gt;="&amp;Team_Level[[#This Row],[Date]],Team_Level[Result],"&lt;&gt;"))</f>
        <v/>
      </c>
      <c r="R131" t="str">
        <f>Team_Level[[#This Row],[Team]]&amp;"-"&amp;Team_Level[[#This Row],[Recency Rank]]</f>
        <v>Stockport County-</v>
      </c>
      <c r="S131" t="str">
        <f>IF(Team_Level[[#This Row],[Result]]="","",COUNTIFS(Team_Level[Team],Team_Level[[#This Row],[Team]],Team_Level[Date],"&lt;="&amp;Team_Level[[#This Row],[Date]],Team_Level[Result],"&lt;&gt;"))</f>
        <v/>
      </c>
      <c r="T131" t="str">
        <f>Team_Level[[#This Row],[Team]]&amp;"-"&amp;Team_Level[[#This Row],[Chrono Rank]]</f>
        <v>Stockport County-</v>
      </c>
    </row>
    <row r="132" spans="1:20" x14ac:dyDescent="0.25">
      <c r="A132" t="s">
        <v>209</v>
      </c>
      <c r="B132" s="6">
        <v>46312</v>
      </c>
      <c r="C132" t="s">
        <v>21</v>
      </c>
      <c r="D132" t="s">
        <v>17</v>
      </c>
      <c r="K132">
        <v>1</v>
      </c>
      <c r="L132" t="s">
        <v>34</v>
      </c>
      <c r="Q132" t="str">
        <f>IF(Team_Level[[#This Row],[Result]]="","",COUNTIFS(Team_Level[Team],Team_Level[[#This Row],[Team]],Team_Level[Date],"&gt;="&amp;Team_Level[[#This Row],[Date]],Team_Level[Result],"&lt;&gt;"))</f>
        <v/>
      </c>
      <c r="R132" t="str">
        <f>Team_Level[[#This Row],[Team]]&amp;"-"&amp;Team_Level[[#This Row],[Recency Rank]]</f>
        <v>Wigan Athletic-</v>
      </c>
      <c r="S132" t="str">
        <f>IF(Team_Level[[#This Row],[Result]]="","",COUNTIFS(Team_Level[Team],Team_Level[[#This Row],[Team]],Team_Level[Date],"&lt;="&amp;Team_Level[[#This Row],[Date]],Team_Level[Result],"&lt;&gt;"))</f>
        <v/>
      </c>
      <c r="T132" t="str">
        <f>Team_Level[[#This Row],[Team]]&amp;"-"&amp;Team_Level[[#This Row],[Chrono Rank]]</f>
        <v>Wigan Athletic-</v>
      </c>
    </row>
    <row r="133" spans="1:20" x14ac:dyDescent="0.25">
      <c r="A133" t="s">
        <v>210</v>
      </c>
      <c r="B133" s="6">
        <v>46312</v>
      </c>
      <c r="C133" t="s">
        <v>22</v>
      </c>
      <c r="D133" t="s">
        <v>13</v>
      </c>
      <c r="K133">
        <v>1</v>
      </c>
      <c r="L133" t="s">
        <v>34</v>
      </c>
      <c r="Q133" t="str">
        <f>IF(Team_Level[[#This Row],[Result]]="","",COUNTIFS(Team_Level[Team],Team_Level[[#This Row],[Team]],Team_Level[Date],"&gt;="&amp;Team_Level[[#This Row],[Date]],Team_Level[Result],"&lt;&gt;"))</f>
        <v/>
      </c>
      <c r="R133" t="str">
        <f>Team_Level[[#This Row],[Team]]&amp;"-"&amp;Team_Level[[#This Row],[Recency Rank]]</f>
        <v>Wycombe Wanderers-</v>
      </c>
      <c r="S133" t="str">
        <f>IF(Team_Level[[#This Row],[Result]]="","",COUNTIFS(Team_Level[Team],Team_Level[[#This Row],[Team]],Team_Level[Date],"&lt;="&amp;Team_Level[[#This Row],[Date]],Team_Level[Result],"&lt;&gt;"))</f>
        <v/>
      </c>
      <c r="T133" t="str">
        <f>Team_Level[[#This Row],[Team]]&amp;"-"&amp;Team_Level[[#This Row],[Chrono Rank]]</f>
        <v>Wycombe Wanderers-</v>
      </c>
    </row>
    <row r="134" spans="1:20" x14ac:dyDescent="0.25">
      <c r="A134" t="s">
        <v>211</v>
      </c>
      <c r="B134" s="6">
        <v>46315</v>
      </c>
      <c r="C134" t="s">
        <v>0</v>
      </c>
      <c r="D134" t="s">
        <v>12</v>
      </c>
      <c r="K134">
        <v>1</v>
      </c>
      <c r="L134" t="s">
        <v>34</v>
      </c>
      <c r="Q134" t="str">
        <f>IF(Team_Level[[#This Row],[Result]]="","",COUNTIFS(Team_Level[Team],Team_Level[[#This Row],[Team]],Team_Level[Date],"&gt;="&amp;Team_Level[[#This Row],[Date]],Team_Level[Result],"&lt;&gt;"))</f>
        <v/>
      </c>
      <c r="R134" t="str">
        <f>Team_Level[[#This Row],[Team]]&amp;"-"&amp;Team_Level[[#This Row],[Recency Rank]]</f>
        <v>AFC Wimbledon-</v>
      </c>
      <c r="S134" t="str">
        <f>IF(Team_Level[[#This Row],[Result]]="","",COUNTIFS(Team_Level[Team],Team_Level[[#This Row],[Team]],Team_Level[Date],"&lt;="&amp;Team_Level[[#This Row],[Date]],Team_Level[Result],"&lt;&gt;"))</f>
        <v/>
      </c>
      <c r="T134" t="str">
        <f>Team_Level[[#This Row],[Team]]&amp;"-"&amp;Team_Level[[#This Row],[Chrono Rank]]</f>
        <v>AFC Wimbledon-</v>
      </c>
    </row>
    <row r="135" spans="1:20" x14ac:dyDescent="0.25">
      <c r="A135" t="s">
        <v>212</v>
      </c>
      <c r="B135" s="6">
        <v>46315</v>
      </c>
      <c r="C135" t="s">
        <v>2</v>
      </c>
      <c r="D135" t="s">
        <v>33</v>
      </c>
      <c r="K135">
        <v>1</v>
      </c>
      <c r="L135" t="s">
        <v>34</v>
      </c>
      <c r="Q135" t="str">
        <f>IF(Team_Level[[#This Row],[Result]]="","",COUNTIFS(Team_Level[Team],Team_Level[[#This Row],[Team]],Team_Level[Date],"&gt;="&amp;Team_Level[[#This Row],[Date]],Team_Level[Result],"&lt;&gt;"))</f>
        <v/>
      </c>
      <c r="R135" t="str">
        <f>Team_Level[[#This Row],[Team]]&amp;"-"&amp;Team_Level[[#This Row],[Recency Rank]]</f>
        <v>Blackpool-</v>
      </c>
      <c r="S135" t="str">
        <f>IF(Team_Level[[#This Row],[Result]]="","",COUNTIFS(Team_Level[Team],Team_Level[[#This Row],[Team]],Team_Level[Date],"&lt;="&amp;Team_Level[[#This Row],[Date]],Team_Level[Result],"&lt;&gt;"))</f>
        <v/>
      </c>
      <c r="T135" t="str">
        <f>Team_Level[[#This Row],[Team]]&amp;"-"&amp;Team_Level[[#This Row],[Chrono Rank]]</f>
        <v>Blackpool-</v>
      </c>
    </row>
    <row r="136" spans="1:20" x14ac:dyDescent="0.25">
      <c r="A136" t="s">
        <v>213</v>
      </c>
      <c r="B136" s="6">
        <v>46315</v>
      </c>
      <c r="C136" t="s">
        <v>4</v>
      </c>
      <c r="D136" t="s">
        <v>9</v>
      </c>
      <c r="K136">
        <v>1</v>
      </c>
      <c r="L136" t="s">
        <v>34</v>
      </c>
      <c r="Q136" t="str">
        <f>IF(Team_Level[[#This Row],[Result]]="","",COUNTIFS(Team_Level[Team],Team_Level[[#This Row],[Team]],Team_Level[Date],"&gt;="&amp;Team_Level[[#This Row],[Date]],Team_Level[Result],"&lt;&gt;"))</f>
        <v/>
      </c>
      <c r="R136" t="str">
        <f>Team_Level[[#This Row],[Team]]&amp;"-"&amp;Team_Level[[#This Row],[Recency Rank]]</f>
        <v>Bromley-</v>
      </c>
      <c r="S136" t="str">
        <f>IF(Team_Level[[#This Row],[Result]]="","",COUNTIFS(Team_Level[Team],Team_Level[[#This Row],[Team]],Team_Level[Date],"&lt;="&amp;Team_Level[[#This Row],[Date]],Team_Level[Result],"&lt;&gt;"))</f>
        <v/>
      </c>
      <c r="T136" t="str">
        <f>Team_Level[[#This Row],[Team]]&amp;"-"&amp;Team_Level[[#This Row],[Chrono Rank]]</f>
        <v>Bromley-</v>
      </c>
    </row>
    <row r="137" spans="1:20" x14ac:dyDescent="0.25">
      <c r="A137" t="s">
        <v>214</v>
      </c>
      <c r="B137" s="6">
        <v>46315</v>
      </c>
      <c r="C137" t="s">
        <v>5</v>
      </c>
      <c r="D137" t="s">
        <v>3</v>
      </c>
      <c r="K137">
        <v>1</v>
      </c>
      <c r="L137" t="s">
        <v>34</v>
      </c>
      <c r="Q137" t="str">
        <f>IF(Team_Level[[#This Row],[Result]]="","",COUNTIFS(Team_Level[Team],Team_Level[[#This Row],[Team]],Team_Level[Date],"&gt;="&amp;Team_Level[[#This Row],[Date]],Team_Level[Result],"&lt;&gt;"))</f>
        <v/>
      </c>
      <c r="R137" t="str">
        <f>Team_Level[[#This Row],[Team]]&amp;"-"&amp;Team_Level[[#This Row],[Recency Rank]]</f>
        <v>Burton Albion-</v>
      </c>
      <c r="S137" t="str">
        <f>IF(Team_Level[[#This Row],[Result]]="","",COUNTIFS(Team_Level[Team],Team_Level[[#This Row],[Team]],Team_Level[Date],"&lt;="&amp;Team_Level[[#This Row],[Date]],Team_Level[Result],"&lt;&gt;"))</f>
        <v/>
      </c>
      <c r="T137" t="str">
        <f>Team_Level[[#This Row],[Team]]&amp;"-"&amp;Team_Level[[#This Row],[Chrono Rank]]</f>
        <v>Burton Albion-</v>
      </c>
    </row>
    <row r="138" spans="1:20" x14ac:dyDescent="0.25">
      <c r="A138" t="s">
        <v>215</v>
      </c>
      <c r="B138" s="6">
        <v>46315</v>
      </c>
      <c r="C138" t="s">
        <v>6</v>
      </c>
      <c r="D138" t="s">
        <v>22</v>
      </c>
      <c r="K138">
        <v>1</v>
      </c>
      <c r="L138" t="s">
        <v>34</v>
      </c>
      <c r="Q138" t="str">
        <f>IF(Team_Level[[#This Row],[Result]]="","",COUNTIFS(Team_Level[Team],Team_Level[[#This Row],[Team]],Team_Level[Date],"&gt;="&amp;Team_Level[[#This Row],[Date]],Team_Level[Result],"&lt;&gt;"))</f>
        <v/>
      </c>
      <c r="R138" t="str">
        <f>Team_Level[[#This Row],[Team]]&amp;"-"&amp;Team_Level[[#This Row],[Recency Rank]]</f>
        <v>Cambridge United-</v>
      </c>
      <c r="S138" t="str">
        <f>IF(Team_Level[[#This Row],[Result]]="","",COUNTIFS(Team_Level[Team],Team_Level[[#This Row],[Team]],Team_Level[Date],"&lt;="&amp;Team_Level[[#This Row],[Date]],Team_Level[Result],"&lt;&gt;"))</f>
        <v/>
      </c>
      <c r="T138" t="str">
        <f>Team_Level[[#This Row],[Team]]&amp;"-"&amp;Team_Level[[#This Row],[Chrono Rank]]</f>
        <v>Cambridge United-</v>
      </c>
    </row>
    <row r="139" spans="1:20" x14ac:dyDescent="0.25">
      <c r="A139" t="s">
        <v>216</v>
      </c>
      <c r="B139" s="6">
        <v>46315</v>
      </c>
      <c r="C139" t="s">
        <v>7</v>
      </c>
      <c r="D139" t="s">
        <v>20</v>
      </c>
      <c r="K139">
        <v>1</v>
      </c>
      <c r="L139" t="s">
        <v>34</v>
      </c>
      <c r="Q139" t="str">
        <f>IF(Team_Level[[#This Row],[Result]]="","",COUNTIFS(Team_Level[Team],Team_Level[[#This Row],[Team]],Team_Level[Date],"&gt;="&amp;Team_Level[[#This Row],[Date]],Team_Level[Result],"&lt;&gt;"))</f>
        <v/>
      </c>
      <c r="R139" t="str">
        <f>Team_Level[[#This Row],[Team]]&amp;"-"&amp;Team_Level[[#This Row],[Recency Rank]]</f>
        <v>Doncaster Rovers-</v>
      </c>
      <c r="S139" t="str">
        <f>IF(Team_Level[[#This Row],[Result]]="","",COUNTIFS(Team_Level[Team],Team_Level[[#This Row],[Team]],Team_Level[Date],"&lt;="&amp;Team_Level[[#This Row],[Date]],Team_Level[Result],"&lt;&gt;"))</f>
        <v/>
      </c>
      <c r="T139" t="str">
        <f>Team_Level[[#This Row],[Team]]&amp;"-"&amp;Team_Level[[#This Row],[Chrono Rank]]</f>
        <v>Doncaster Rovers-</v>
      </c>
    </row>
    <row r="140" spans="1:20" x14ac:dyDescent="0.25">
      <c r="A140" t="s">
        <v>217</v>
      </c>
      <c r="B140" s="6">
        <v>46315</v>
      </c>
      <c r="C140" t="s">
        <v>8</v>
      </c>
      <c r="D140" t="s">
        <v>15</v>
      </c>
      <c r="K140">
        <v>1</v>
      </c>
      <c r="L140" t="s">
        <v>34</v>
      </c>
      <c r="Q140" t="str">
        <f>IF(Team_Level[[#This Row],[Result]]="","",COUNTIFS(Team_Level[Team],Team_Level[[#This Row],[Team]],Team_Level[Date],"&gt;="&amp;Team_Level[[#This Row],[Date]],Team_Level[Result],"&lt;&gt;"))</f>
        <v/>
      </c>
      <c r="R140" t="str">
        <f>Team_Level[[#This Row],[Team]]&amp;"-"&amp;Team_Level[[#This Row],[Recency Rank]]</f>
        <v>Huddersfield Town-</v>
      </c>
      <c r="S140" t="str">
        <f>IF(Team_Level[[#This Row],[Result]]="","",COUNTIFS(Team_Level[Team],Team_Level[[#This Row],[Team]],Team_Level[Date],"&lt;="&amp;Team_Level[[#This Row],[Date]],Team_Level[Result],"&lt;&gt;"))</f>
        <v/>
      </c>
      <c r="T140" t="str">
        <f>Team_Level[[#This Row],[Team]]&amp;"-"&amp;Team_Level[[#This Row],[Chrono Rank]]</f>
        <v>Huddersfield Town-</v>
      </c>
    </row>
    <row r="141" spans="1:20" x14ac:dyDescent="0.25">
      <c r="A141" t="s">
        <v>218</v>
      </c>
      <c r="B141" s="6">
        <v>46315</v>
      </c>
      <c r="C141" t="s">
        <v>11</v>
      </c>
      <c r="D141" t="s">
        <v>1</v>
      </c>
      <c r="K141">
        <v>1</v>
      </c>
      <c r="L141" t="s">
        <v>34</v>
      </c>
      <c r="Q141" t="str">
        <f>IF(Team_Level[[#This Row],[Result]]="","",COUNTIFS(Team_Level[Team],Team_Level[[#This Row],[Team]],Team_Level[Date],"&gt;="&amp;Team_Level[[#This Row],[Date]],Team_Level[Result],"&lt;&gt;"))</f>
        <v/>
      </c>
      <c r="R141" t="str">
        <f>Team_Level[[#This Row],[Team]]&amp;"-"&amp;Team_Level[[#This Row],[Recency Rank]]</f>
        <v>Luton Town-</v>
      </c>
      <c r="S141" t="str">
        <f>IF(Team_Level[[#This Row],[Result]]="","",COUNTIFS(Team_Level[Team],Team_Level[[#This Row],[Team]],Team_Level[Date],"&lt;="&amp;Team_Level[[#This Row],[Date]],Team_Level[Result],"&lt;&gt;"))</f>
        <v/>
      </c>
      <c r="T141" t="str">
        <f>Team_Level[[#This Row],[Team]]&amp;"-"&amp;Team_Level[[#This Row],[Chrono Rank]]</f>
        <v>Luton Town-</v>
      </c>
    </row>
    <row r="142" spans="1:20" x14ac:dyDescent="0.25">
      <c r="A142" t="s">
        <v>219</v>
      </c>
      <c r="B142" s="6">
        <v>46315</v>
      </c>
      <c r="C142" t="s">
        <v>13</v>
      </c>
      <c r="D142" t="s">
        <v>18</v>
      </c>
      <c r="K142">
        <v>1</v>
      </c>
      <c r="L142" t="s">
        <v>34</v>
      </c>
      <c r="Q142" t="str">
        <f>IF(Team_Level[[#This Row],[Result]]="","",COUNTIFS(Team_Level[Team],Team_Level[[#This Row],[Team]],Team_Level[Date],"&gt;="&amp;Team_Level[[#This Row],[Date]],Team_Level[Result],"&lt;&gt;"))</f>
        <v/>
      </c>
      <c r="R142" t="str">
        <f>Team_Level[[#This Row],[Team]]&amp;"-"&amp;Team_Level[[#This Row],[Recency Rank]]</f>
        <v>Notts County-</v>
      </c>
      <c r="S142" t="str">
        <f>IF(Team_Level[[#This Row],[Result]]="","",COUNTIFS(Team_Level[Team],Team_Level[[#This Row],[Team]],Team_Level[Date],"&lt;="&amp;Team_Level[[#This Row],[Date]],Team_Level[Result],"&lt;&gt;"))</f>
        <v/>
      </c>
      <c r="T142" t="str">
        <f>Team_Level[[#This Row],[Team]]&amp;"-"&amp;Team_Level[[#This Row],[Chrono Rank]]</f>
        <v>Notts County-</v>
      </c>
    </row>
    <row r="143" spans="1:20" x14ac:dyDescent="0.25">
      <c r="A143" t="s">
        <v>220</v>
      </c>
      <c r="B143" s="6">
        <v>46315</v>
      </c>
      <c r="C143" t="s">
        <v>14</v>
      </c>
      <c r="D143" t="s">
        <v>21</v>
      </c>
      <c r="K143">
        <v>1</v>
      </c>
      <c r="L143" t="s">
        <v>34</v>
      </c>
      <c r="Q143" t="str">
        <f>IF(Team_Level[[#This Row],[Result]]="","",COUNTIFS(Team_Level[Team],Team_Level[[#This Row],[Team]],Team_Level[Date],"&gt;="&amp;Team_Level[[#This Row],[Date]],Team_Level[Result],"&lt;&gt;"))</f>
        <v/>
      </c>
      <c r="R143" t="str">
        <f>Team_Level[[#This Row],[Team]]&amp;"-"&amp;Team_Level[[#This Row],[Recency Rank]]</f>
        <v>Oxford United-</v>
      </c>
      <c r="S143" t="str">
        <f>IF(Team_Level[[#This Row],[Result]]="","",COUNTIFS(Team_Level[Team],Team_Level[[#This Row],[Team]],Team_Level[Date],"&lt;="&amp;Team_Level[[#This Row],[Date]],Team_Level[Result],"&lt;&gt;"))</f>
        <v/>
      </c>
      <c r="T143" t="str">
        <f>Team_Level[[#This Row],[Team]]&amp;"-"&amp;Team_Level[[#This Row],[Chrono Rank]]</f>
        <v>Oxford United-</v>
      </c>
    </row>
    <row r="144" spans="1:20" x14ac:dyDescent="0.25">
      <c r="A144" t="s">
        <v>221</v>
      </c>
      <c r="B144" s="6">
        <v>46315</v>
      </c>
      <c r="C144" t="s">
        <v>19</v>
      </c>
      <c r="D144" t="s">
        <v>16</v>
      </c>
      <c r="K144">
        <v>1</v>
      </c>
      <c r="L144" t="s">
        <v>34</v>
      </c>
      <c r="Q144" t="str">
        <f>IF(Team_Level[[#This Row],[Result]]="","",COUNTIFS(Team_Level[Team],Team_Level[[#This Row],[Team]],Team_Level[Date],"&gt;="&amp;Team_Level[[#This Row],[Date]],Team_Level[Result],"&lt;&gt;"))</f>
        <v/>
      </c>
      <c r="R144" t="str">
        <f>Team_Level[[#This Row],[Team]]&amp;"-"&amp;Team_Level[[#This Row],[Recency Rank]]</f>
        <v>Stevenage-</v>
      </c>
      <c r="S144" t="str">
        <f>IF(Team_Level[[#This Row],[Result]]="","",COUNTIFS(Team_Level[Team],Team_Level[[#This Row],[Team]],Team_Level[Date],"&lt;="&amp;Team_Level[[#This Row],[Date]],Team_Level[Result],"&lt;&gt;"))</f>
        <v/>
      </c>
      <c r="T144" t="str">
        <f>Team_Level[[#This Row],[Team]]&amp;"-"&amp;Team_Level[[#This Row],[Chrono Rank]]</f>
        <v>Stevenage-</v>
      </c>
    </row>
    <row r="145" spans="1:20" x14ac:dyDescent="0.25">
      <c r="A145" t="s">
        <v>222</v>
      </c>
      <c r="B145" s="6">
        <v>46316</v>
      </c>
      <c r="C145" t="s">
        <v>17</v>
      </c>
      <c r="D145" t="s">
        <v>10</v>
      </c>
      <c r="K145">
        <v>1</v>
      </c>
      <c r="L145" t="s">
        <v>34</v>
      </c>
      <c r="Q145" t="str">
        <f>IF(Team_Level[[#This Row],[Result]]="","",COUNTIFS(Team_Level[Team],Team_Level[[#This Row],[Team]],Team_Level[Date],"&gt;="&amp;Team_Level[[#This Row],[Date]],Team_Level[Result],"&lt;&gt;"))</f>
        <v/>
      </c>
      <c r="R145" t="str">
        <f>Team_Level[[#This Row],[Team]]&amp;"-"&amp;Team_Level[[#This Row],[Recency Rank]]</f>
        <v>Reading-</v>
      </c>
      <c r="S145" t="str">
        <f>IF(Team_Level[[#This Row],[Result]]="","",COUNTIFS(Team_Level[Team],Team_Level[[#This Row],[Team]],Team_Level[Date],"&lt;="&amp;Team_Level[[#This Row],[Date]],Team_Level[Result],"&lt;&gt;"))</f>
        <v/>
      </c>
      <c r="T145" t="str">
        <f>Team_Level[[#This Row],[Team]]&amp;"-"&amp;Team_Level[[#This Row],[Chrono Rank]]</f>
        <v>Reading-</v>
      </c>
    </row>
    <row r="146" spans="1:20" x14ac:dyDescent="0.25">
      <c r="A146" t="s">
        <v>223</v>
      </c>
      <c r="B146" s="6">
        <v>46319</v>
      </c>
      <c r="C146" t="s">
        <v>0</v>
      </c>
      <c r="D146" t="s">
        <v>22</v>
      </c>
      <c r="K146">
        <v>1</v>
      </c>
      <c r="L146" t="s">
        <v>34</v>
      </c>
      <c r="Q146" t="str">
        <f>IF(Team_Level[[#This Row],[Result]]="","",COUNTIFS(Team_Level[Team],Team_Level[[#This Row],[Team]],Team_Level[Date],"&gt;="&amp;Team_Level[[#This Row],[Date]],Team_Level[Result],"&lt;&gt;"))</f>
        <v/>
      </c>
      <c r="R146" t="str">
        <f>Team_Level[[#This Row],[Team]]&amp;"-"&amp;Team_Level[[#This Row],[Recency Rank]]</f>
        <v>AFC Wimbledon-</v>
      </c>
      <c r="S146" t="str">
        <f>IF(Team_Level[[#This Row],[Result]]="","",COUNTIFS(Team_Level[Team],Team_Level[[#This Row],[Team]],Team_Level[Date],"&lt;="&amp;Team_Level[[#This Row],[Date]],Team_Level[Result],"&lt;&gt;"))</f>
        <v/>
      </c>
      <c r="T146" t="str">
        <f>Team_Level[[#This Row],[Team]]&amp;"-"&amp;Team_Level[[#This Row],[Chrono Rank]]</f>
        <v>AFC Wimbledon-</v>
      </c>
    </row>
    <row r="147" spans="1:20" x14ac:dyDescent="0.25">
      <c r="A147" t="s">
        <v>224</v>
      </c>
      <c r="B147" s="6">
        <v>46319</v>
      </c>
      <c r="C147" t="s">
        <v>2</v>
      </c>
      <c r="D147" t="s">
        <v>12</v>
      </c>
      <c r="K147">
        <v>1</v>
      </c>
      <c r="L147" t="s">
        <v>34</v>
      </c>
      <c r="Q147" t="str">
        <f>IF(Team_Level[[#This Row],[Result]]="","",COUNTIFS(Team_Level[Team],Team_Level[[#This Row],[Team]],Team_Level[Date],"&gt;="&amp;Team_Level[[#This Row],[Date]],Team_Level[Result],"&lt;&gt;"))</f>
        <v/>
      </c>
      <c r="R147" t="str">
        <f>Team_Level[[#This Row],[Team]]&amp;"-"&amp;Team_Level[[#This Row],[Recency Rank]]</f>
        <v>Blackpool-</v>
      </c>
      <c r="S147" t="str">
        <f>IF(Team_Level[[#This Row],[Result]]="","",COUNTIFS(Team_Level[Team],Team_Level[[#This Row],[Team]],Team_Level[Date],"&lt;="&amp;Team_Level[[#This Row],[Date]],Team_Level[Result],"&lt;&gt;"))</f>
        <v/>
      </c>
      <c r="T147" t="str">
        <f>Team_Level[[#This Row],[Team]]&amp;"-"&amp;Team_Level[[#This Row],[Chrono Rank]]</f>
        <v>Blackpool-</v>
      </c>
    </row>
    <row r="148" spans="1:20" x14ac:dyDescent="0.25">
      <c r="A148" t="s">
        <v>225</v>
      </c>
      <c r="B148" s="6">
        <v>46319</v>
      </c>
      <c r="C148" t="s">
        <v>4</v>
      </c>
      <c r="D148" t="s">
        <v>15</v>
      </c>
      <c r="K148">
        <v>1</v>
      </c>
      <c r="L148" t="s">
        <v>34</v>
      </c>
      <c r="Q148" t="str">
        <f>IF(Team_Level[[#This Row],[Result]]="","",COUNTIFS(Team_Level[Team],Team_Level[[#This Row],[Team]],Team_Level[Date],"&gt;="&amp;Team_Level[[#This Row],[Date]],Team_Level[Result],"&lt;&gt;"))</f>
        <v/>
      </c>
      <c r="R148" t="str">
        <f>Team_Level[[#This Row],[Team]]&amp;"-"&amp;Team_Level[[#This Row],[Recency Rank]]</f>
        <v>Bromley-</v>
      </c>
      <c r="S148" t="str">
        <f>IF(Team_Level[[#This Row],[Result]]="","",COUNTIFS(Team_Level[Team],Team_Level[[#This Row],[Team]],Team_Level[Date],"&lt;="&amp;Team_Level[[#This Row],[Date]],Team_Level[Result],"&lt;&gt;"))</f>
        <v/>
      </c>
      <c r="T148" t="str">
        <f>Team_Level[[#This Row],[Team]]&amp;"-"&amp;Team_Level[[#This Row],[Chrono Rank]]</f>
        <v>Bromley-</v>
      </c>
    </row>
    <row r="149" spans="1:20" x14ac:dyDescent="0.25">
      <c r="A149" t="s">
        <v>226</v>
      </c>
      <c r="B149" s="6">
        <v>46319</v>
      </c>
      <c r="C149" t="s">
        <v>5</v>
      </c>
      <c r="D149" t="s">
        <v>10</v>
      </c>
      <c r="K149">
        <v>1</v>
      </c>
      <c r="L149" t="s">
        <v>34</v>
      </c>
      <c r="Q149" t="str">
        <f>IF(Team_Level[[#This Row],[Result]]="","",COUNTIFS(Team_Level[Team],Team_Level[[#This Row],[Team]],Team_Level[Date],"&gt;="&amp;Team_Level[[#This Row],[Date]],Team_Level[Result],"&lt;&gt;"))</f>
        <v/>
      </c>
      <c r="R149" t="str">
        <f>Team_Level[[#This Row],[Team]]&amp;"-"&amp;Team_Level[[#This Row],[Recency Rank]]</f>
        <v>Burton Albion-</v>
      </c>
      <c r="S149" t="str">
        <f>IF(Team_Level[[#This Row],[Result]]="","",COUNTIFS(Team_Level[Team],Team_Level[[#This Row],[Team]],Team_Level[Date],"&lt;="&amp;Team_Level[[#This Row],[Date]],Team_Level[Result],"&lt;&gt;"))</f>
        <v/>
      </c>
      <c r="T149" t="str">
        <f>Team_Level[[#This Row],[Team]]&amp;"-"&amp;Team_Level[[#This Row],[Chrono Rank]]</f>
        <v>Burton Albion-</v>
      </c>
    </row>
    <row r="150" spans="1:20" x14ac:dyDescent="0.25">
      <c r="A150" t="s">
        <v>227</v>
      </c>
      <c r="B150" s="6">
        <v>46319</v>
      </c>
      <c r="C150" t="s">
        <v>6</v>
      </c>
      <c r="D150" t="s">
        <v>16</v>
      </c>
      <c r="K150">
        <v>1</v>
      </c>
      <c r="L150" t="s">
        <v>34</v>
      </c>
      <c r="Q150" t="str">
        <f>IF(Team_Level[[#This Row],[Result]]="","",COUNTIFS(Team_Level[Team],Team_Level[[#This Row],[Team]],Team_Level[Date],"&gt;="&amp;Team_Level[[#This Row],[Date]],Team_Level[Result],"&lt;&gt;"))</f>
        <v/>
      </c>
      <c r="R150" t="str">
        <f>Team_Level[[#This Row],[Team]]&amp;"-"&amp;Team_Level[[#This Row],[Recency Rank]]</f>
        <v>Cambridge United-</v>
      </c>
      <c r="S150" t="str">
        <f>IF(Team_Level[[#This Row],[Result]]="","",COUNTIFS(Team_Level[Team],Team_Level[[#This Row],[Team]],Team_Level[Date],"&lt;="&amp;Team_Level[[#This Row],[Date]],Team_Level[Result],"&lt;&gt;"))</f>
        <v/>
      </c>
      <c r="T150" t="str">
        <f>Team_Level[[#This Row],[Team]]&amp;"-"&amp;Team_Level[[#This Row],[Chrono Rank]]</f>
        <v>Cambridge United-</v>
      </c>
    </row>
    <row r="151" spans="1:20" x14ac:dyDescent="0.25">
      <c r="A151" t="s">
        <v>228</v>
      </c>
      <c r="B151" s="6">
        <v>46319</v>
      </c>
      <c r="C151" t="s">
        <v>7</v>
      </c>
      <c r="D151" t="s">
        <v>18</v>
      </c>
      <c r="K151">
        <v>1</v>
      </c>
      <c r="L151" t="s">
        <v>34</v>
      </c>
      <c r="Q151" t="str">
        <f>IF(Team_Level[[#This Row],[Result]]="","",COUNTIFS(Team_Level[Team],Team_Level[[#This Row],[Team]],Team_Level[Date],"&gt;="&amp;Team_Level[[#This Row],[Date]],Team_Level[Result],"&lt;&gt;"))</f>
        <v/>
      </c>
      <c r="R151" t="str">
        <f>Team_Level[[#This Row],[Team]]&amp;"-"&amp;Team_Level[[#This Row],[Recency Rank]]</f>
        <v>Doncaster Rovers-</v>
      </c>
      <c r="S151" t="str">
        <f>IF(Team_Level[[#This Row],[Result]]="","",COUNTIFS(Team_Level[Team],Team_Level[[#This Row],[Team]],Team_Level[Date],"&lt;="&amp;Team_Level[[#This Row],[Date]],Team_Level[Result],"&lt;&gt;"))</f>
        <v/>
      </c>
      <c r="T151" t="str">
        <f>Team_Level[[#This Row],[Team]]&amp;"-"&amp;Team_Level[[#This Row],[Chrono Rank]]</f>
        <v>Doncaster Rovers-</v>
      </c>
    </row>
    <row r="152" spans="1:20" x14ac:dyDescent="0.25">
      <c r="A152" t="s">
        <v>229</v>
      </c>
      <c r="B152" s="6">
        <v>46319</v>
      </c>
      <c r="C152" t="s">
        <v>8</v>
      </c>
      <c r="D152" t="s">
        <v>21</v>
      </c>
      <c r="K152">
        <v>1</v>
      </c>
      <c r="L152" t="s">
        <v>34</v>
      </c>
      <c r="Q152" t="str">
        <f>IF(Team_Level[[#This Row],[Result]]="","",COUNTIFS(Team_Level[Team],Team_Level[[#This Row],[Team]],Team_Level[Date],"&gt;="&amp;Team_Level[[#This Row],[Date]],Team_Level[Result],"&lt;&gt;"))</f>
        <v/>
      </c>
      <c r="R152" t="str">
        <f>Team_Level[[#This Row],[Team]]&amp;"-"&amp;Team_Level[[#This Row],[Recency Rank]]</f>
        <v>Huddersfield Town-</v>
      </c>
      <c r="S152" t="str">
        <f>IF(Team_Level[[#This Row],[Result]]="","",COUNTIFS(Team_Level[Team],Team_Level[[#This Row],[Team]],Team_Level[Date],"&lt;="&amp;Team_Level[[#This Row],[Date]],Team_Level[Result],"&lt;&gt;"))</f>
        <v/>
      </c>
      <c r="T152" t="str">
        <f>Team_Level[[#This Row],[Team]]&amp;"-"&amp;Team_Level[[#This Row],[Chrono Rank]]</f>
        <v>Huddersfield Town-</v>
      </c>
    </row>
    <row r="153" spans="1:20" x14ac:dyDescent="0.25">
      <c r="A153" t="s">
        <v>230</v>
      </c>
      <c r="B153" s="6">
        <v>46319</v>
      </c>
      <c r="C153" t="s">
        <v>11</v>
      </c>
      <c r="D153" t="s">
        <v>9</v>
      </c>
      <c r="K153">
        <v>1</v>
      </c>
      <c r="L153" t="s">
        <v>34</v>
      </c>
      <c r="Q153" t="str">
        <f>IF(Team_Level[[#This Row],[Result]]="","",COUNTIFS(Team_Level[Team],Team_Level[[#This Row],[Team]],Team_Level[Date],"&gt;="&amp;Team_Level[[#This Row],[Date]],Team_Level[Result],"&lt;&gt;"))</f>
        <v/>
      </c>
      <c r="R153" t="str">
        <f>Team_Level[[#This Row],[Team]]&amp;"-"&amp;Team_Level[[#This Row],[Recency Rank]]</f>
        <v>Luton Town-</v>
      </c>
      <c r="S153" t="str">
        <f>IF(Team_Level[[#This Row],[Result]]="","",COUNTIFS(Team_Level[Team],Team_Level[[#This Row],[Team]],Team_Level[Date],"&lt;="&amp;Team_Level[[#This Row],[Date]],Team_Level[Result],"&lt;&gt;"))</f>
        <v/>
      </c>
      <c r="T153" t="str">
        <f>Team_Level[[#This Row],[Team]]&amp;"-"&amp;Team_Level[[#This Row],[Chrono Rank]]</f>
        <v>Luton Town-</v>
      </c>
    </row>
    <row r="154" spans="1:20" x14ac:dyDescent="0.25">
      <c r="A154" t="s">
        <v>231</v>
      </c>
      <c r="B154" s="6">
        <v>46319</v>
      </c>
      <c r="C154" t="s">
        <v>13</v>
      </c>
      <c r="D154" t="s">
        <v>20</v>
      </c>
      <c r="K154">
        <v>1</v>
      </c>
      <c r="L154" t="s">
        <v>34</v>
      </c>
      <c r="Q154" t="str">
        <f>IF(Team_Level[[#This Row],[Result]]="","",COUNTIFS(Team_Level[Team],Team_Level[[#This Row],[Team]],Team_Level[Date],"&gt;="&amp;Team_Level[[#This Row],[Date]],Team_Level[Result],"&lt;&gt;"))</f>
        <v/>
      </c>
      <c r="R154" t="str">
        <f>Team_Level[[#This Row],[Team]]&amp;"-"&amp;Team_Level[[#This Row],[Recency Rank]]</f>
        <v>Notts County-</v>
      </c>
      <c r="S154" t="str">
        <f>IF(Team_Level[[#This Row],[Result]]="","",COUNTIFS(Team_Level[Team],Team_Level[[#This Row],[Team]],Team_Level[Date],"&lt;="&amp;Team_Level[[#This Row],[Date]],Team_Level[Result],"&lt;&gt;"))</f>
        <v/>
      </c>
      <c r="T154" t="str">
        <f>Team_Level[[#This Row],[Team]]&amp;"-"&amp;Team_Level[[#This Row],[Chrono Rank]]</f>
        <v>Notts County-</v>
      </c>
    </row>
    <row r="155" spans="1:20" x14ac:dyDescent="0.25">
      <c r="A155" t="s">
        <v>232</v>
      </c>
      <c r="B155" s="6">
        <v>46319</v>
      </c>
      <c r="C155" t="s">
        <v>14</v>
      </c>
      <c r="D155" t="s">
        <v>3</v>
      </c>
      <c r="K155">
        <v>1</v>
      </c>
      <c r="L155" t="s">
        <v>34</v>
      </c>
      <c r="Q155" t="str">
        <f>IF(Team_Level[[#This Row],[Result]]="","",COUNTIFS(Team_Level[Team],Team_Level[[#This Row],[Team]],Team_Level[Date],"&gt;="&amp;Team_Level[[#This Row],[Date]],Team_Level[Result],"&lt;&gt;"))</f>
        <v/>
      </c>
      <c r="R155" t="str">
        <f>Team_Level[[#This Row],[Team]]&amp;"-"&amp;Team_Level[[#This Row],[Recency Rank]]</f>
        <v>Oxford United-</v>
      </c>
      <c r="S155" t="str">
        <f>IF(Team_Level[[#This Row],[Result]]="","",COUNTIFS(Team_Level[Team],Team_Level[[#This Row],[Team]],Team_Level[Date],"&lt;="&amp;Team_Level[[#This Row],[Date]],Team_Level[Result],"&lt;&gt;"))</f>
        <v/>
      </c>
      <c r="T155" t="str">
        <f>Team_Level[[#This Row],[Team]]&amp;"-"&amp;Team_Level[[#This Row],[Chrono Rank]]</f>
        <v>Oxford United-</v>
      </c>
    </row>
    <row r="156" spans="1:20" x14ac:dyDescent="0.25">
      <c r="A156" t="s">
        <v>233</v>
      </c>
      <c r="B156" s="6">
        <v>46319</v>
      </c>
      <c r="C156" t="s">
        <v>17</v>
      </c>
      <c r="D156" t="s">
        <v>1</v>
      </c>
      <c r="K156">
        <v>1</v>
      </c>
      <c r="L156" t="s">
        <v>34</v>
      </c>
      <c r="Q156" t="str">
        <f>IF(Team_Level[[#This Row],[Result]]="","",COUNTIFS(Team_Level[Team],Team_Level[[#This Row],[Team]],Team_Level[Date],"&gt;="&amp;Team_Level[[#This Row],[Date]],Team_Level[Result],"&lt;&gt;"))</f>
        <v/>
      </c>
      <c r="R156" t="str">
        <f>Team_Level[[#This Row],[Team]]&amp;"-"&amp;Team_Level[[#This Row],[Recency Rank]]</f>
        <v>Reading-</v>
      </c>
      <c r="S156" t="str">
        <f>IF(Team_Level[[#This Row],[Result]]="","",COUNTIFS(Team_Level[Team],Team_Level[[#This Row],[Team]],Team_Level[Date],"&lt;="&amp;Team_Level[[#This Row],[Date]],Team_Level[Result],"&lt;&gt;"))</f>
        <v/>
      </c>
      <c r="T156" t="str">
        <f>Team_Level[[#This Row],[Team]]&amp;"-"&amp;Team_Level[[#This Row],[Chrono Rank]]</f>
        <v>Reading-</v>
      </c>
    </row>
    <row r="157" spans="1:20" x14ac:dyDescent="0.25">
      <c r="A157" t="s">
        <v>234</v>
      </c>
      <c r="B157" s="6">
        <v>46319</v>
      </c>
      <c r="C157" t="s">
        <v>19</v>
      </c>
      <c r="D157" t="s">
        <v>33</v>
      </c>
      <c r="K157">
        <v>1</v>
      </c>
      <c r="L157" t="s">
        <v>34</v>
      </c>
      <c r="Q157" t="str">
        <f>IF(Team_Level[[#This Row],[Result]]="","",COUNTIFS(Team_Level[Team],Team_Level[[#This Row],[Team]],Team_Level[Date],"&gt;="&amp;Team_Level[[#This Row],[Date]],Team_Level[Result],"&lt;&gt;"))</f>
        <v/>
      </c>
      <c r="R157" t="str">
        <f>Team_Level[[#This Row],[Team]]&amp;"-"&amp;Team_Level[[#This Row],[Recency Rank]]</f>
        <v>Stevenage-</v>
      </c>
      <c r="S157" t="str">
        <f>IF(Team_Level[[#This Row],[Result]]="","",COUNTIFS(Team_Level[Team],Team_Level[[#This Row],[Team]],Team_Level[Date],"&lt;="&amp;Team_Level[[#This Row],[Date]],Team_Level[Result],"&lt;&gt;"))</f>
        <v/>
      </c>
      <c r="T157" t="str">
        <f>Team_Level[[#This Row],[Team]]&amp;"-"&amp;Team_Level[[#This Row],[Chrono Rank]]</f>
        <v>Stevenage-</v>
      </c>
    </row>
    <row r="158" spans="1:20" x14ac:dyDescent="0.25">
      <c r="A158" t="s">
        <v>235</v>
      </c>
      <c r="B158" s="6">
        <v>46326</v>
      </c>
      <c r="C158" t="s">
        <v>1</v>
      </c>
      <c r="D158" t="s">
        <v>14</v>
      </c>
      <c r="K158">
        <v>1</v>
      </c>
      <c r="L158" t="s">
        <v>34</v>
      </c>
      <c r="Q158" t="str">
        <f>IF(Team_Level[[#This Row],[Result]]="","",COUNTIFS(Team_Level[Team],Team_Level[[#This Row],[Team]],Team_Level[Date],"&gt;="&amp;Team_Level[[#This Row],[Date]],Team_Level[Result],"&lt;&gt;"))</f>
        <v/>
      </c>
      <c r="R158" t="str">
        <f>Team_Level[[#This Row],[Team]]&amp;"-"&amp;Team_Level[[#This Row],[Recency Rank]]</f>
        <v>Barnsley-</v>
      </c>
      <c r="S158" t="str">
        <f>IF(Team_Level[[#This Row],[Result]]="","",COUNTIFS(Team_Level[Team],Team_Level[[#This Row],[Team]],Team_Level[Date],"&lt;="&amp;Team_Level[[#This Row],[Date]],Team_Level[Result],"&lt;&gt;"))</f>
        <v/>
      </c>
      <c r="T158" t="str">
        <f>Team_Level[[#This Row],[Team]]&amp;"-"&amp;Team_Level[[#This Row],[Chrono Rank]]</f>
        <v>Barnsley-</v>
      </c>
    </row>
    <row r="159" spans="1:20" x14ac:dyDescent="0.25">
      <c r="A159" t="s">
        <v>236</v>
      </c>
      <c r="B159" s="6">
        <v>46326</v>
      </c>
      <c r="C159" t="s">
        <v>3</v>
      </c>
      <c r="D159" t="s">
        <v>8</v>
      </c>
      <c r="K159">
        <v>1</v>
      </c>
      <c r="L159" t="s">
        <v>34</v>
      </c>
      <c r="Q159" t="str">
        <f>IF(Team_Level[[#This Row],[Result]]="","",COUNTIFS(Team_Level[Team],Team_Level[[#This Row],[Team]],Team_Level[Date],"&gt;="&amp;Team_Level[[#This Row],[Date]],Team_Level[Result],"&lt;&gt;"))</f>
        <v/>
      </c>
      <c r="R159" t="str">
        <f>Team_Level[[#This Row],[Team]]&amp;"-"&amp;Team_Level[[#This Row],[Recency Rank]]</f>
        <v>Bradford City-</v>
      </c>
      <c r="S159" t="str">
        <f>IF(Team_Level[[#This Row],[Result]]="","",COUNTIFS(Team_Level[Team],Team_Level[[#This Row],[Team]],Team_Level[Date],"&lt;="&amp;Team_Level[[#This Row],[Date]],Team_Level[Result],"&lt;&gt;"))</f>
        <v/>
      </c>
      <c r="T159" t="str">
        <f>Team_Level[[#This Row],[Team]]&amp;"-"&amp;Team_Level[[#This Row],[Chrono Rank]]</f>
        <v>Bradford City-</v>
      </c>
    </row>
    <row r="160" spans="1:20" x14ac:dyDescent="0.25">
      <c r="A160" t="s">
        <v>237</v>
      </c>
      <c r="B160" s="6">
        <v>46326</v>
      </c>
      <c r="C160" t="s">
        <v>9</v>
      </c>
      <c r="D160" t="s">
        <v>19</v>
      </c>
      <c r="K160">
        <v>1</v>
      </c>
      <c r="L160" t="s">
        <v>34</v>
      </c>
      <c r="Q160" t="str">
        <f>IF(Team_Level[[#This Row],[Result]]="","",COUNTIFS(Team_Level[Team],Team_Level[[#This Row],[Team]],Team_Level[Date],"&gt;="&amp;Team_Level[[#This Row],[Date]],Team_Level[Result],"&lt;&gt;"))</f>
        <v/>
      </c>
      <c r="R160" t="str">
        <f>Team_Level[[#This Row],[Team]]&amp;"-"&amp;Team_Level[[#This Row],[Recency Rank]]</f>
        <v>Leicester City-</v>
      </c>
      <c r="S160" t="str">
        <f>IF(Team_Level[[#This Row],[Result]]="","",COUNTIFS(Team_Level[Team],Team_Level[[#This Row],[Team]],Team_Level[Date],"&lt;="&amp;Team_Level[[#This Row],[Date]],Team_Level[Result],"&lt;&gt;"))</f>
        <v/>
      </c>
      <c r="T160" t="str">
        <f>Team_Level[[#This Row],[Team]]&amp;"-"&amp;Team_Level[[#This Row],[Chrono Rank]]</f>
        <v>Leicester City-</v>
      </c>
    </row>
    <row r="161" spans="1:20" x14ac:dyDescent="0.25">
      <c r="A161" t="s">
        <v>238</v>
      </c>
      <c r="B161" s="6">
        <v>46326</v>
      </c>
      <c r="C161" t="s">
        <v>10</v>
      </c>
      <c r="D161" t="s">
        <v>6</v>
      </c>
      <c r="K161">
        <v>1</v>
      </c>
      <c r="L161" t="s">
        <v>34</v>
      </c>
      <c r="Q161" t="str">
        <f>IF(Team_Level[[#This Row],[Result]]="","",COUNTIFS(Team_Level[Team],Team_Level[[#This Row],[Team]],Team_Level[Date],"&gt;="&amp;Team_Level[[#This Row],[Date]],Team_Level[Result],"&lt;&gt;"))</f>
        <v/>
      </c>
      <c r="R161" t="str">
        <f>Team_Level[[#This Row],[Team]]&amp;"-"&amp;Team_Level[[#This Row],[Recency Rank]]</f>
        <v>Leyton Orient-</v>
      </c>
      <c r="S161" t="str">
        <f>IF(Team_Level[[#This Row],[Result]]="","",COUNTIFS(Team_Level[Team],Team_Level[[#This Row],[Team]],Team_Level[Date],"&lt;="&amp;Team_Level[[#This Row],[Date]],Team_Level[Result],"&lt;&gt;"))</f>
        <v/>
      </c>
      <c r="T161" t="str">
        <f>Team_Level[[#This Row],[Team]]&amp;"-"&amp;Team_Level[[#This Row],[Chrono Rank]]</f>
        <v>Leyton Orient-</v>
      </c>
    </row>
    <row r="162" spans="1:20" x14ac:dyDescent="0.25">
      <c r="A162" t="s">
        <v>239</v>
      </c>
      <c r="B162" s="6">
        <v>46326</v>
      </c>
      <c r="C162" t="s">
        <v>12</v>
      </c>
      <c r="D162" t="s">
        <v>13</v>
      </c>
      <c r="K162">
        <v>1</v>
      </c>
      <c r="L162" t="s">
        <v>34</v>
      </c>
      <c r="Q162" t="str">
        <f>IF(Team_Level[[#This Row],[Result]]="","",COUNTIFS(Team_Level[Team],Team_Level[[#This Row],[Team]],Team_Level[Date],"&gt;="&amp;Team_Level[[#This Row],[Date]],Team_Level[Result],"&lt;&gt;"))</f>
        <v/>
      </c>
      <c r="R162" t="str">
        <f>Team_Level[[#This Row],[Team]]&amp;"-"&amp;Team_Level[[#This Row],[Recency Rank]]</f>
        <v>Mansfield Town-</v>
      </c>
      <c r="S162" t="str">
        <f>IF(Team_Level[[#This Row],[Result]]="","",COUNTIFS(Team_Level[Team],Team_Level[[#This Row],[Team]],Team_Level[Date],"&lt;="&amp;Team_Level[[#This Row],[Date]],Team_Level[Result],"&lt;&gt;"))</f>
        <v/>
      </c>
      <c r="T162" t="str">
        <f>Team_Level[[#This Row],[Team]]&amp;"-"&amp;Team_Level[[#This Row],[Chrono Rank]]</f>
        <v>Mansfield Town-</v>
      </c>
    </row>
    <row r="163" spans="1:20" x14ac:dyDescent="0.25">
      <c r="A163" t="s">
        <v>240</v>
      </c>
      <c r="B163" s="6">
        <v>46326</v>
      </c>
      <c r="C163" t="s">
        <v>33</v>
      </c>
      <c r="D163" t="s">
        <v>7</v>
      </c>
      <c r="K163">
        <v>1</v>
      </c>
      <c r="L163" t="s">
        <v>34</v>
      </c>
      <c r="Q163" t="str">
        <f>IF(Team_Level[[#This Row],[Result]]="","",COUNTIFS(Team_Level[Team],Team_Level[[#This Row],[Team]],Team_Level[Date],"&gt;="&amp;Team_Level[[#This Row],[Date]],Team_Level[Result],"&lt;&gt;"))</f>
        <v/>
      </c>
      <c r="R163" t="str">
        <f>Team_Level[[#This Row],[Team]]&amp;"-"&amp;Team_Level[[#This Row],[Recency Rank]]</f>
        <v>Milton Keynes Dons-</v>
      </c>
      <c r="S163" t="str">
        <f>IF(Team_Level[[#This Row],[Result]]="","",COUNTIFS(Team_Level[Team],Team_Level[[#This Row],[Team]],Team_Level[Date],"&lt;="&amp;Team_Level[[#This Row],[Date]],Team_Level[Result],"&lt;&gt;"))</f>
        <v/>
      </c>
      <c r="T163" t="str">
        <f>Team_Level[[#This Row],[Team]]&amp;"-"&amp;Team_Level[[#This Row],[Chrono Rank]]</f>
        <v>Milton Keynes Dons-</v>
      </c>
    </row>
    <row r="164" spans="1:20" x14ac:dyDescent="0.25">
      <c r="A164" t="s">
        <v>241</v>
      </c>
      <c r="B164" s="6">
        <v>46326</v>
      </c>
      <c r="C164" t="s">
        <v>15</v>
      </c>
      <c r="D164" t="s">
        <v>11</v>
      </c>
      <c r="K164">
        <v>1</v>
      </c>
      <c r="L164" t="s">
        <v>34</v>
      </c>
      <c r="Q164" t="str">
        <f>IF(Team_Level[[#This Row],[Result]]="","",COUNTIFS(Team_Level[Team],Team_Level[[#This Row],[Team]],Team_Level[Date],"&gt;="&amp;Team_Level[[#This Row],[Date]],Team_Level[Result],"&lt;&gt;"))</f>
        <v/>
      </c>
      <c r="R164" t="str">
        <f>Team_Level[[#This Row],[Team]]&amp;"-"&amp;Team_Level[[#This Row],[Recency Rank]]</f>
        <v>Peterborough United-</v>
      </c>
      <c r="S164" t="str">
        <f>IF(Team_Level[[#This Row],[Result]]="","",COUNTIFS(Team_Level[Team],Team_Level[[#This Row],[Team]],Team_Level[Date],"&lt;="&amp;Team_Level[[#This Row],[Date]],Team_Level[Result],"&lt;&gt;"))</f>
        <v/>
      </c>
      <c r="T164" t="str">
        <f>Team_Level[[#This Row],[Team]]&amp;"-"&amp;Team_Level[[#This Row],[Chrono Rank]]</f>
        <v>Peterborough United-</v>
      </c>
    </row>
    <row r="165" spans="1:20" x14ac:dyDescent="0.25">
      <c r="A165" t="s">
        <v>242</v>
      </c>
      <c r="B165" s="6">
        <v>46326</v>
      </c>
      <c r="C165" t="s">
        <v>16</v>
      </c>
      <c r="D165" t="s">
        <v>17</v>
      </c>
      <c r="K165">
        <v>1</v>
      </c>
      <c r="L165" t="s">
        <v>34</v>
      </c>
      <c r="Q165" t="str">
        <f>IF(Team_Level[[#This Row],[Result]]="","",COUNTIFS(Team_Level[Team],Team_Level[[#This Row],[Team]],Team_Level[Date],"&gt;="&amp;Team_Level[[#This Row],[Date]],Team_Level[Result],"&lt;&gt;"))</f>
        <v/>
      </c>
      <c r="R165" t="str">
        <f>Team_Level[[#This Row],[Team]]&amp;"-"&amp;Team_Level[[#This Row],[Recency Rank]]</f>
        <v>Plymouth Argyle-</v>
      </c>
      <c r="S165" t="str">
        <f>IF(Team_Level[[#This Row],[Result]]="","",COUNTIFS(Team_Level[Team],Team_Level[[#This Row],[Team]],Team_Level[Date],"&lt;="&amp;Team_Level[[#This Row],[Date]],Team_Level[Result],"&lt;&gt;"))</f>
        <v/>
      </c>
      <c r="T165" t="str">
        <f>Team_Level[[#This Row],[Team]]&amp;"-"&amp;Team_Level[[#This Row],[Chrono Rank]]</f>
        <v>Plymouth Argyle-</v>
      </c>
    </row>
    <row r="166" spans="1:20" x14ac:dyDescent="0.25">
      <c r="A166" t="s">
        <v>243</v>
      </c>
      <c r="B166" s="6">
        <v>46326</v>
      </c>
      <c r="C166" t="s">
        <v>20</v>
      </c>
      <c r="D166" t="s">
        <v>0</v>
      </c>
      <c r="K166">
        <v>1</v>
      </c>
      <c r="L166" t="s">
        <v>34</v>
      </c>
      <c r="Q166" t="str">
        <f>IF(Team_Level[[#This Row],[Result]]="","",COUNTIFS(Team_Level[Team],Team_Level[[#This Row],[Team]],Team_Level[Date],"&gt;="&amp;Team_Level[[#This Row],[Date]],Team_Level[Result],"&lt;&gt;"))</f>
        <v/>
      </c>
      <c r="R166" t="str">
        <f>Team_Level[[#This Row],[Team]]&amp;"-"&amp;Team_Level[[#This Row],[Recency Rank]]</f>
        <v>Stockport County-</v>
      </c>
      <c r="S166" t="str">
        <f>IF(Team_Level[[#This Row],[Result]]="","",COUNTIFS(Team_Level[Team],Team_Level[[#This Row],[Team]],Team_Level[Date],"&lt;="&amp;Team_Level[[#This Row],[Date]],Team_Level[Result],"&lt;&gt;"))</f>
        <v/>
      </c>
      <c r="T166" t="str">
        <f>Team_Level[[#This Row],[Team]]&amp;"-"&amp;Team_Level[[#This Row],[Chrono Rank]]</f>
        <v>Stockport County-</v>
      </c>
    </row>
    <row r="167" spans="1:20" x14ac:dyDescent="0.25">
      <c r="A167" t="s">
        <v>244</v>
      </c>
      <c r="B167" s="6">
        <v>46326</v>
      </c>
      <c r="C167" t="s">
        <v>21</v>
      </c>
      <c r="D167" t="s">
        <v>4</v>
      </c>
      <c r="K167">
        <v>1</v>
      </c>
      <c r="L167" t="s">
        <v>34</v>
      </c>
      <c r="Q167" t="str">
        <f>IF(Team_Level[[#This Row],[Result]]="","",COUNTIFS(Team_Level[Team],Team_Level[[#This Row],[Team]],Team_Level[Date],"&gt;="&amp;Team_Level[[#This Row],[Date]],Team_Level[Result],"&lt;&gt;"))</f>
        <v/>
      </c>
      <c r="R167" t="str">
        <f>Team_Level[[#This Row],[Team]]&amp;"-"&amp;Team_Level[[#This Row],[Recency Rank]]</f>
        <v>Wigan Athletic-</v>
      </c>
      <c r="S167" t="str">
        <f>IF(Team_Level[[#This Row],[Result]]="","",COUNTIFS(Team_Level[Team],Team_Level[[#This Row],[Team]],Team_Level[Date],"&lt;="&amp;Team_Level[[#This Row],[Date]],Team_Level[Result],"&lt;&gt;"))</f>
        <v/>
      </c>
      <c r="T167" t="str">
        <f>Team_Level[[#This Row],[Team]]&amp;"-"&amp;Team_Level[[#This Row],[Chrono Rank]]</f>
        <v>Wigan Athletic-</v>
      </c>
    </row>
    <row r="168" spans="1:20" x14ac:dyDescent="0.25">
      <c r="A168" t="s">
        <v>245</v>
      </c>
      <c r="B168" s="6">
        <v>46326</v>
      </c>
      <c r="C168" t="s">
        <v>22</v>
      </c>
      <c r="D168" t="s">
        <v>5</v>
      </c>
      <c r="K168">
        <v>1</v>
      </c>
      <c r="L168" t="s">
        <v>34</v>
      </c>
      <c r="Q168" t="str">
        <f>IF(Team_Level[[#This Row],[Result]]="","",COUNTIFS(Team_Level[Team],Team_Level[[#This Row],[Team]],Team_Level[Date],"&gt;="&amp;Team_Level[[#This Row],[Date]],Team_Level[Result],"&lt;&gt;"))</f>
        <v/>
      </c>
      <c r="R168" t="str">
        <f>Team_Level[[#This Row],[Team]]&amp;"-"&amp;Team_Level[[#This Row],[Recency Rank]]</f>
        <v>Wycombe Wanderers-</v>
      </c>
      <c r="S168" t="str">
        <f>IF(Team_Level[[#This Row],[Result]]="","",COUNTIFS(Team_Level[Team],Team_Level[[#This Row],[Team]],Team_Level[Date],"&lt;="&amp;Team_Level[[#This Row],[Date]],Team_Level[Result],"&lt;&gt;"))</f>
        <v/>
      </c>
      <c r="T168" t="str">
        <f>Team_Level[[#This Row],[Team]]&amp;"-"&amp;Team_Level[[#This Row],[Chrono Rank]]</f>
        <v>Wycombe Wanderers-</v>
      </c>
    </row>
    <row r="169" spans="1:20" x14ac:dyDescent="0.25">
      <c r="A169" t="s">
        <v>246</v>
      </c>
      <c r="B169" s="6">
        <v>46327</v>
      </c>
      <c r="C169" t="s">
        <v>18</v>
      </c>
      <c r="D169" t="s">
        <v>2</v>
      </c>
      <c r="K169">
        <v>1</v>
      </c>
      <c r="L169" t="s">
        <v>34</v>
      </c>
      <c r="Q169" t="str">
        <f>IF(Team_Level[[#This Row],[Result]]="","",COUNTIFS(Team_Level[Team],Team_Level[[#This Row],[Team]],Team_Level[Date],"&gt;="&amp;Team_Level[[#This Row],[Date]],Team_Level[Result],"&lt;&gt;"))</f>
        <v/>
      </c>
      <c r="R169" t="str">
        <f>Team_Level[[#This Row],[Team]]&amp;"-"&amp;Team_Level[[#This Row],[Recency Rank]]</f>
        <v>Sheffield Wednesday-</v>
      </c>
      <c r="S169" t="str">
        <f>IF(Team_Level[[#This Row],[Result]]="","",COUNTIFS(Team_Level[Team],Team_Level[[#This Row],[Team]],Team_Level[Date],"&lt;="&amp;Team_Level[[#This Row],[Date]],Team_Level[Result],"&lt;&gt;"))</f>
        <v/>
      </c>
      <c r="T169" t="str">
        <f>Team_Level[[#This Row],[Team]]&amp;"-"&amp;Team_Level[[#This Row],[Chrono Rank]]</f>
        <v>Sheffield Wednesday-</v>
      </c>
    </row>
    <row r="170" spans="1:20" x14ac:dyDescent="0.25">
      <c r="A170" t="s">
        <v>247</v>
      </c>
      <c r="B170" s="6">
        <v>46340</v>
      </c>
      <c r="C170" t="s">
        <v>0</v>
      </c>
      <c r="D170" t="s">
        <v>2</v>
      </c>
      <c r="K170">
        <v>1</v>
      </c>
      <c r="L170" t="s">
        <v>34</v>
      </c>
      <c r="Q170" t="str">
        <f>IF(Team_Level[[#This Row],[Result]]="","",COUNTIFS(Team_Level[Team],Team_Level[[#This Row],[Team]],Team_Level[Date],"&gt;="&amp;Team_Level[[#This Row],[Date]],Team_Level[Result],"&lt;&gt;"))</f>
        <v/>
      </c>
      <c r="R170" t="str">
        <f>Team_Level[[#This Row],[Team]]&amp;"-"&amp;Team_Level[[#This Row],[Recency Rank]]</f>
        <v>AFC Wimbledon-</v>
      </c>
      <c r="S170" t="str">
        <f>IF(Team_Level[[#This Row],[Result]]="","",COUNTIFS(Team_Level[Team],Team_Level[[#This Row],[Team]],Team_Level[Date],"&lt;="&amp;Team_Level[[#This Row],[Date]],Team_Level[Result],"&lt;&gt;"))</f>
        <v/>
      </c>
      <c r="T170" t="str">
        <f>Team_Level[[#This Row],[Team]]&amp;"-"&amp;Team_Level[[#This Row],[Chrono Rank]]</f>
        <v>AFC Wimbledon-</v>
      </c>
    </row>
    <row r="171" spans="1:20" x14ac:dyDescent="0.25">
      <c r="A171" t="s">
        <v>248</v>
      </c>
      <c r="B171" s="6">
        <v>46340</v>
      </c>
      <c r="C171" t="s">
        <v>4</v>
      </c>
      <c r="D171" t="s">
        <v>13</v>
      </c>
      <c r="K171">
        <v>1</v>
      </c>
      <c r="L171" t="s">
        <v>34</v>
      </c>
      <c r="Q171" t="str">
        <f>IF(Team_Level[[#This Row],[Result]]="","",COUNTIFS(Team_Level[Team],Team_Level[[#This Row],[Team]],Team_Level[Date],"&gt;="&amp;Team_Level[[#This Row],[Date]],Team_Level[Result],"&lt;&gt;"))</f>
        <v/>
      </c>
      <c r="R171" t="str">
        <f>Team_Level[[#This Row],[Team]]&amp;"-"&amp;Team_Level[[#This Row],[Recency Rank]]</f>
        <v>Bromley-</v>
      </c>
      <c r="S171" t="str">
        <f>IF(Team_Level[[#This Row],[Result]]="","",COUNTIFS(Team_Level[Team],Team_Level[[#This Row],[Team]],Team_Level[Date],"&lt;="&amp;Team_Level[[#This Row],[Date]],Team_Level[Result],"&lt;&gt;"))</f>
        <v/>
      </c>
      <c r="T171" t="str">
        <f>Team_Level[[#This Row],[Team]]&amp;"-"&amp;Team_Level[[#This Row],[Chrono Rank]]</f>
        <v>Bromley-</v>
      </c>
    </row>
    <row r="172" spans="1:20" x14ac:dyDescent="0.25">
      <c r="A172" t="s">
        <v>249</v>
      </c>
      <c r="B172" s="6">
        <v>46340</v>
      </c>
      <c r="C172" t="s">
        <v>7</v>
      </c>
      <c r="D172" t="s">
        <v>10</v>
      </c>
      <c r="K172">
        <v>1</v>
      </c>
      <c r="L172" t="s">
        <v>34</v>
      </c>
      <c r="Q172" t="str">
        <f>IF(Team_Level[[#This Row],[Result]]="","",COUNTIFS(Team_Level[Team],Team_Level[[#This Row],[Team]],Team_Level[Date],"&gt;="&amp;Team_Level[[#This Row],[Date]],Team_Level[Result],"&lt;&gt;"))</f>
        <v/>
      </c>
      <c r="R172" t="str">
        <f>Team_Level[[#This Row],[Team]]&amp;"-"&amp;Team_Level[[#This Row],[Recency Rank]]</f>
        <v>Doncaster Rovers-</v>
      </c>
      <c r="S172" t="str">
        <f>IF(Team_Level[[#This Row],[Result]]="","",COUNTIFS(Team_Level[Team],Team_Level[[#This Row],[Team]],Team_Level[Date],"&lt;="&amp;Team_Level[[#This Row],[Date]],Team_Level[Result],"&lt;&gt;"))</f>
        <v/>
      </c>
      <c r="T172" t="str">
        <f>Team_Level[[#This Row],[Team]]&amp;"-"&amp;Team_Level[[#This Row],[Chrono Rank]]</f>
        <v>Doncaster Rovers-</v>
      </c>
    </row>
    <row r="173" spans="1:20" x14ac:dyDescent="0.25">
      <c r="A173" t="s">
        <v>250</v>
      </c>
      <c r="B173" s="6">
        <v>46340</v>
      </c>
      <c r="C173" t="s">
        <v>9</v>
      </c>
      <c r="D173" t="s">
        <v>3</v>
      </c>
      <c r="K173">
        <v>1</v>
      </c>
      <c r="L173" t="s">
        <v>34</v>
      </c>
      <c r="Q173" t="str">
        <f>IF(Team_Level[[#This Row],[Result]]="","",COUNTIFS(Team_Level[Team],Team_Level[[#This Row],[Team]],Team_Level[Date],"&gt;="&amp;Team_Level[[#This Row],[Date]],Team_Level[Result],"&lt;&gt;"))</f>
        <v/>
      </c>
      <c r="R173" t="str">
        <f>Team_Level[[#This Row],[Team]]&amp;"-"&amp;Team_Level[[#This Row],[Recency Rank]]</f>
        <v>Leicester City-</v>
      </c>
      <c r="S173" t="str">
        <f>IF(Team_Level[[#This Row],[Result]]="","",COUNTIFS(Team_Level[Team],Team_Level[[#This Row],[Team]],Team_Level[Date],"&lt;="&amp;Team_Level[[#This Row],[Date]],Team_Level[Result],"&lt;&gt;"))</f>
        <v/>
      </c>
      <c r="T173" t="str">
        <f>Team_Level[[#This Row],[Team]]&amp;"-"&amp;Team_Level[[#This Row],[Chrono Rank]]</f>
        <v>Leicester City-</v>
      </c>
    </row>
    <row r="174" spans="1:20" x14ac:dyDescent="0.25">
      <c r="A174" t="s">
        <v>251</v>
      </c>
      <c r="B174" s="6">
        <v>46340</v>
      </c>
      <c r="C174" t="s">
        <v>11</v>
      </c>
      <c r="D174" t="s">
        <v>6</v>
      </c>
      <c r="K174">
        <v>1</v>
      </c>
      <c r="L174" t="s">
        <v>34</v>
      </c>
      <c r="Q174" t="str">
        <f>IF(Team_Level[[#This Row],[Result]]="","",COUNTIFS(Team_Level[Team],Team_Level[[#This Row],[Team]],Team_Level[Date],"&gt;="&amp;Team_Level[[#This Row],[Date]],Team_Level[Result],"&lt;&gt;"))</f>
        <v/>
      </c>
      <c r="R174" t="str">
        <f>Team_Level[[#This Row],[Team]]&amp;"-"&amp;Team_Level[[#This Row],[Recency Rank]]</f>
        <v>Luton Town-</v>
      </c>
      <c r="S174" t="str">
        <f>IF(Team_Level[[#This Row],[Result]]="","",COUNTIFS(Team_Level[Team],Team_Level[[#This Row],[Team]],Team_Level[Date],"&lt;="&amp;Team_Level[[#This Row],[Date]],Team_Level[Result],"&lt;&gt;"))</f>
        <v/>
      </c>
      <c r="T174" t="str">
        <f>Team_Level[[#This Row],[Team]]&amp;"-"&amp;Team_Level[[#This Row],[Chrono Rank]]</f>
        <v>Luton Town-</v>
      </c>
    </row>
    <row r="175" spans="1:20" x14ac:dyDescent="0.25">
      <c r="A175" t="s">
        <v>252</v>
      </c>
      <c r="B175" s="6">
        <v>46340</v>
      </c>
      <c r="C175" t="s">
        <v>33</v>
      </c>
      <c r="D175" t="s">
        <v>5</v>
      </c>
      <c r="K175">
        <v>1</v>
      </c>
      <c r="L175" t="s">
        <v>34</v>
      </c>
      <c r="Q175" t="str">
        <f>IF(Team_Level[[#This Row],[Result]]="","",COUNTIFS(Team_Level[Team],Team_Level[[#This Row],[Team]],Team_Level[Date],"&gt;="&amp;Team_Level[[#This Row],[Date]],Team_Level[Result],"&lt;&gt;"))</f>
        <v/>
      </c>
      <c r="R175" t="str">
        <f>Team_Level[[#This Row],[Team]]&amp;"-"&amp;Team_Level[[#This Row],[Recency Rank]]</f>
        <v>Milton Keynes Dons-</v>
      </c>
      <c r="S175" t="str">
        <f>IF(Team_Level[[#This Row],[Result]]="","",COUNTIFS(Team_Level[Team],Team_Level[[#This Row],[Team]],Team_Level[Date],"&lt;="&amp;Team_Level[[#This Row],[Date]],Team_Level[Result],"&lt;&gt;"))</f>
        <v/>
      </c>
      <c r="T175" t="str">
        <f>Team_Level[[#This Row],[Team]]&amp;"-"&amp;Team_Level[[#This Row],[Chrono Rank]]</f>
        <v>Milton Keynes Dons-</v>
      </c>
    </row>
    <row r="176" spans="1:20" x14ac:dyDescent="0.25">
      <c r="A176" t="s">
        <v>253</v>
      </c>
      <c r="B176" s="6">
        <v>46340</v>
      </c>
      <c r="C176" t="s">
        <v>15</v>
      </c>
      <c r="D176" t="s">
        <v>14</v>
      </c>
      <c r="K176">
        <v>1</v>
      </c>
      <c r="L176" t="s">
        <v>34</v>
      </c>
      <c r="Q176" t="str">
        <f>IF(Team_Level[[#This Row],[Result]]="","",COUNTIFS(Team_Level[Team],Team_Level[[#This Row],[Team]],Team_Level[Date],"&gt;="&amp;Team_Level[[#This Row],[Date]],Team_Level[Result],"&lt;&gt;"))</f>
        <v/>
      </c>
      <c r="R176" t="str">
        <f>Team_Level[[#This Row],[Team]]&amp;"-"&amp;Team_Level[[#This Row],[Recency Rank]]</f>
        <v>Peterborough United-</v>
      </c>
      <c r="S176" t="str">
        <f>IF(Team_Level[[#This Row],[Result]]="","",COUNTIFS(Team_Level[Team],Team_Level[[#This Row],[Team]],Team_Level[Date],"&lt;="&amp;Team_Level[[#This Row],[Date]],Team_Level[Result],"&lt;&gt;"))</f>
        <v/>
      </c>
      <c r="T176" t="str">
        <f>Team_Level[[#This Row],[Team]]&amp;"-"&amp;Team_Level[[#This Row],[Chrono Rank]]</f>
        <v>Peterborough United-</v>
      </c>
    </row>
    <row r="177" spans="1:20" x14ac:dyDescent="0.25">
      <c r="A177" t="s">
        <v>254</v>
      </c>
      <c r="B177" s="6">
        <v>46340</v>
      </c>
      <c r="C177" t="s">
        <v>18</v>
      </c>
      <c r="D177" t="s">
        <v>16</v>
      </c>
      <c r="K177">
        <v>1</v>
      </c>
      <c r="L177" t="s">
        <v>34</v>
      </c>
      <c r="Q177" t="str">
        <f>IF(Team_Level[[#This Row],[Result]]="","",COUNTIFS(Team_Level[Team],Team_Level[[#This Row],[Team]],Team_Level[Date],"&gt;="&amp;Team_Level[[#This Row],[Date]],Team_Level[Result],"&lt;&gt;"))</f>
        <v/>
      </c>
      <c r="R177" t="str">
        <f>Team_Level[[#This Row],[Team]]&amp;"-"&amp;Team_Level[[#This Row],[Recency Rank]]</f>
        <v>Sheffield Wednesday-</v>
      </c>
      <c r="S177" t="str">
        <f>IF(Team_Level[[#This Row],[Result]]="","",COUNTIFS(Team_Level[Team],Team_Level[[#This Row],[Team]],Team_Level[Date],"&lt;="&amp;Team_Level[[#This Row],[Date]],Team_Level[Result],"&lt;&gt;"))</f>
        <v/>
      </c>
      <c r="T177" t="str">
        <f>Team_Level[[#This Row],[Team]]&amp;"-"&amp;Team_Level[[#This Row],[Chrono Rank]]</f>
        <v>Sheffield Wednesday-</v>
      </c>
    </row>
    <row r="178" spans="1:20" x14ac:dyDescent="0.25">
      <c r="A178" t="s">
        <v>255</v>
      </c>
      <c r="B178" s="6">
        <v>46340</v>
      </c>
      <c r="C178" t="s">
        <v>19</v>
      </c>
      <c r="D178" t="s">
        <v>12</v>
      </c>
      <c r="K178">
        <v>1</v>
      </c>
      <c r="L178" t="s">
        <v>34</v>
      </c>
      <c r="Q178" t="str">
        <f>IF(Team_Level[[#This Row],[Result]]="","",COUNTIFS(Team_Level[Team],Team_Level[[#This Row],[Team]],Team_Level[Date],"&gt;="&amp;Team_Level[[#This Row],[Date]],Team_Level[Result],"&lt;&gt;"))</f>
        <v/>
      </c>
      <c r="R178" t="str">
        <f>Team_Level[[#This Row],[Team]]&amp;"-"&amp;Team_Level[[#This Row],[Recency Rank]]</f>
        <v>Stevenage-</v>
      </c>
      <c r="S178" t="str">
        <f>IF(Team_Level[[#This Row],[Result]]="","",COUNTIFS(Team_Level[Team],Team_Level[[#This Row],[Team]],Team_Level[Date],"&lt;="&amp;Team_Level[[#This Row],[Date]],Team_Level[Result],"&lt;&gt;"))</f>
        <v/>
      </c>
      <c r="T178" t="str">
        <f>Team_Level[[#This Row],[Team]]&amp;"-"&amp;Team_Level[[#This Row],[Chrono Rank]]</f>
        <v>Stevenage-</v>
      </c>
    </row>
    <row r="179" spans="1:20" x14ac:dyDescent="0.25">
      <c r="A179" t="s">
        <v>256</v>
      </c>
      <c r="B179" s="6">
        <v>46340</v>
      </c>
      <c r="C179" t="s">
        <v>20</v>
      </c>
      <c r="D179" t="s">
        <v>17</v>
      </c>
      <c r="K179">
        <v>1</v>
      </c>
      <c r="L179" t="s">
        <v>34</v>
      </c>
      <c r="Q179" t="str">
        <f>IF(Team_Level[[#This Row],[Result]]="","",COUNTIFS(Team_Level[Team],Team_Level[[#This Row],[Team]],Team_Level[Date],"&gt;="&amp;Team_Level[[#This Row],[Date]],Team_Level[Result],"&lt;&gt;"))</f>
        <v/>
      </c>
      <c r="R179" t="str">
        <f>Team_Level[[#This Row],[Team]]&amp;"-"&amp;Team_Level[[#This Row],[Recency Rank]]</f>
        <v>Stockport County-</v>
      </c>
      <c r="S179" t="str">
        <f>IF(Team_Level[[#This Row],[Result]]="","",COUNTIFS(Team_Level[Team],Team_Level[[#This Row],[Team]],Team_Level[Date],"&lt;="&amp;Team_Level[[#This Row],[Date]],Team_Level[Result],"&lt;&gt;"))</f>
        <v/>
      </c>
      <c r="T179" t="str">
        <f>Team_Level[[#This Row],[Team]]&amp;"-"&amp;Team_Level[[#This Row],[Chrono Rank]]</f>
        <v>Stockport County-</v>
      </c>
    </row>
    <row r="180" spans="1:20" x14ac:dyDescent="0.25">
      <c r="A180" t="s">
        <v>257</v>
      </c>
      <c r="B180" s="6">
        <v>46340</v>
      </c>
      <c r="C180" t="s">
        <v>21</v>
      </c>
      <c r="D180" t="s">
        <v>1</v>
      </c>
      <c r="K180">
        <v>1</v>
      </c>
      <c r="L180" t="s">
        <v>34</v>
      </c>
      <c r="Q180" t="str">
        <f>IF(Team_Level[[#This Row],[Result]]="","",COUNTIFS(Team_Level[Team],Team_Level[[#This Row],[Team]],Team_Level[Date],"&gt;="&amp;Team_Level[[#This Row],[Date]],Team_Level[Result],"&lt;&gt;"))</f>
        <v/>
      </c>
      <c r="R180" t="str">
        <f>Team_Level[[#This Row],[Team]]&amp;"-"&amp;Team_Level[[#This Row],[Recency Rank]]</f>
        <v>Wigan Athletic-</v>
      </c>
      <c r="S180" t="str">
        <f>IF(Team_Level[[#This Row],[Result]]="","",COUNTIFS(Team_Level[Team],Team_Level[[#This Row],[Team]],Team_Level[Date],"&lt;="&amp;Team_Level[[#This Row],[Date]],Team_Level[Result],"&lt;&gt;"))</f>
        <v/>
      </c>
      <c r="T180" t="str">
        <f>Team_Level[[#This Row],[Team]]&amp;"-"&amp;Team_Level[[#This Row],[Chrono Rank]]</f>
        <v>Wigan Athletic-</v>
      </c>
    </row>
    <row r="181" spans="1:20" x14ac:dyDescent="0.25">
      <c r="A181" t="s">
        <v>258</v>
      </c>
      <c r="B181" s="6">
        <v>46340</v>
      </c>
      <c r="C181" t="s">
        <v>22</v>
      </c>
      <c r="D181" t="s">
        <v>8</v>
      </c>
      <c r="K181">
        <v>1</v>
      </c>
      <c r="L181" t="s">
        <v>34</v>
      </c>
      <c r="Q181" t="str">
        <f>IF(Team_Level[[#This Row],[Result]]="","",COUNTIFS(Team_Level[Team],Team_Level[[#This Row],[Team]],Team_Level[Date],"&gt;="&amp;Team_Level[[#This Row],[Date]],Team_Level[Result],"&lt;&gt;"))</f>
        <v/>
      </c>
      <c r="R181" t="str">
        <f>Team_Level[[#This Row],[Team]]&amp;"-"&amp;Team_Level[[#This Row],[Recency Rank]]</f>
        <v>Wycombe Wanderers-</v>
      </c>
      <c r="S181" t="str">
        <f>IF(Team_Level[[#This Row],[Result]]="","",COUNTIFS(Team_Level[Team],Team_Level[[#This Row],[Team]],Team_Level[Date],"&lt;="&amp;Team_Level[[#This Row],[Date]],Team_Level[Result],"&lt;&gt;"))</f>
        <v/>
      </c>
      <c r="T181" t="str">
        <f>Team_Level[[#This Row],[Team]]&amp;"-"&amp;Team_Level[[#This Row],[Chrono Rank]]</f>
        <v>Wycombe Wanderers-</v>
      </c>
    </row>
    <row r="182" spans="1:20" x14ac:dyDescent="0.25">
      <c r="A182" t="s">
        <v>259</v>
      </c>
      <c r="B182" s="6">
        <v>46346</v>
      </c>
      <c r="C182" t="s">
        <v>1</v>
      </c>
      <c r="D182" t="s">
        <v>18</v>
      </c>
      <c r="K182">
        <v>1</v>
      </c>
      <c r="L182" t="s">
        <v>34</v>
      </c>
      <c r="Q182" t="str">
        <f>IF(Team_Level[[#This Row],[Result]]="","",COUNTIFS(Team_Level[Team],Team_Level[[#This Row],[Team]],Team_Level[Date],"&gt;="&amp;Team_Level[[#This Row],[Date]],Team_Level[Result],"&lt;&gt;"))</f>
        <v/>
      </c>
      <c r="R182" t="str">
        <f>Team_Level[[#This Row],[Team]]&amp;"-"&amp;Team_Level[[#This Row],[Recency Rank]]</f>
        <v>Barnsley-</v>
      </c>
      <c r="S182" t="str">
        <f>IF(Team_Level[[#This Row],[Result]]="","",COUNTIFS(Team_Level[Team],Team_Level[[#This Row],[Team]],Team_Level[Date],"&lt;="&amp;Team_Level[[#This Row],[Date]],Team_Level[Result],"&lt;&gt;"))</f>
        <v/>
      </c>
      <c r="T182" t="str">
        <f>Team_Level[[#This Row],[Team]]&amp;"-"&amp;Team_Level[[#This Row],[Chrono Rank]]</f>
        <v>Barnsley-</v>
      </c>
    </row>
    <row r="183" spans="1:20" x14ac:dyDescent="0.25">
      <c r="A183" t="s">
        <v>260</v>
      </c>
      <c r="B183" s="6">
        <v>46347</v>
      </c>
      <c r="C183" t="s">
        <v>2</v>
      </c>
      <c r="D183" t="s">
        <v>21</v>
      </c>
      <c r="K183">
        <v>1</v>
      </c>
      <c r="L183" t="s">
        <v>34</v>
      </c>
      <c r="Q183" t="str">
        <f>IF(Team_Level[[#This Row],[Result]]="","",COUNTIFS(Team_Level[Team],Team_Level[[#This Row],[Team]],Team_Level[Date],"&gt;="&amp;Team_Level[[#This Row],[Date]],Team_Level[Result],"&lt;&gt;"))</f>
        <v/>
      </c>
      <c r="R183" t="str">
        <f>Team_Level[[#This Row],[Team]]&amp;"-"&amp;Team_Level[[#This Row],[Recency Rank]]</f>
        <v>Blackpool-</v>
      </c>
      <c r="S183" t="str">
        <f>IF(Team_Level[[#This Row],[Result]]="","",COUNTIFS(Team_Level[Team],Team_Level[[#This Row],[Team]],Team_Level[Date],"&lt;="&amp;Team_Level[[#This Row],[Date]],Team_Level[Result],"&lt;&gt;"))</f>
        <v/>
      </c>
      <c r="T183" t="str">
        <f>Team_Level[[#This Row],[Team]]&amp;"-"&amp;Team_Level[[#This Row],[Chrono Rank]]</f>
        <v>Blackpool-</v>
      </c>
    </row>
    <row r="184" spans="1:20" x14ac:dyDescent="0.25">
      <c r="A184" t="s">
        <v>261</v>
      </c>
      <c r="B184" s="6">
        <v>46347</v>
      </c>
      <c r="C184" t="s">
        <v>3</v>
      </c>
      <c r="D184" t="s">
        <v>7</v>
      </c>
      <c r="K184">
        <v>1</v>
      </c>
      <c r="L184" t="s">
        <v>34</v>
      </c>
      <c r="Q184" t="str">
        <f>IF(Team_Level[[#This Row],[Result]]="","",COUNTIFS(Team_Level[Team],Team_Level[[#This Row],[Team]],Team_Level[Date],"&gt;="&amp;Team_Level[[#This Row],[Date]],Team_Level[Result],"&lt;&gt;"))</f>
        <v/>
      </c>
      <c r="R184" t="str">
        <f>Team_Level[[#This Row],[Team]]&amp;"-"&amp;Team_Level[[#This Row],[Recency Rank]]</f>
        <v>Bradford City-</v>
      </c>
      <c r="S184" t="str">
        <f>IF(Team_Level[[#This Row],[Result]]="","",COUNTIFS(Team_Level[Team],Team_Level[[#This Row],[Team]],Team_Level[Date],"&lt;="&amp;Team_Level[[#This Row],[Date]],Team_Level[Result],"&lt;&gt;"))</f>
        <v/>
      </c>
      <c r="T184" t="str">
        <f>Team_Level[[#This Row],[Team]]&amp;"-"&amp;Team_Level[[#This Row],[Chrono Rank]]</f>
        <v>Bradford City-</v>
      </c>
    </row>
    <row r="185" spans="1:20" x14ac:dyDescent="0.25">
      <c r="A185" t="s">
        <v>262</v>
      </c>
      <c r="B185" s="6">
        <v>46347</v>
      </c>
      <c r="C185" t="s">
        <v>5</v>
      </c>
      <c r="D185" t="s">
        <v>11</v>
      </c>
      <c r="K185">
        <v>1</v>
      </c>
      <c r="L185" t="s">
        <v>34</v>
      </c>
      <c r="Q185" t="str">
        <f>IF(Team_Level[[#This Row],[Result]]="","",COUNTIFS(Team_Level[Team],Team_Level[[#This Row],[Team]],Team_Level[Date],"&gt;="&amp;Team_Level[[#This Row],[Date]],Team_Level[Result],"&lt;&gt;"))</f>
        <v/>
      </c>
      <c r="R185" t="str">
        <f>Team_Level[[#This Row],[Team]]&amp;"-"&amp;Team_Level[[#This Row],[Recency Rank]]</f>
        <v>Burton Albion-</v>
      </c>
      <c r="S185" t="str">
        <f>IF(Team_Level[[#This Row],[Result]]="","",COUNTIFS(Team_Level[Team],Team_Level[[#This Row],[Team]],Team_Level[Date],"&lt;="&amp;Team_Level[[#This Row],[Date]],Team_Level[Result],"&lt;&gt;"))</f>
        <v/>
      </c>
      <c r="T185" t="str">
        <f>Team_Level[[#This Row],[Team]]&amp;"-"&amp;Team_Level[[#This Row],[Chrono Rank]]</f>
        <v>Burton Albion-</v>
      </c>
    </row>
    <row r="186" spans="1:20" x14ac:dyDescent="0.25">
      <c r="A186" t="s">
        <v>263</v>
      </c>
      <c r="B186" s="6">
        <v>46347</v>
      </c>
      <c r="C186" t="s">
        <v>6</v>
      </c>
      <c r="D186" t="s">
        <v>20</v>
      </c>
      <c r="K186">
        <v>1</v>
      </c>
      <c r="L186" t="s">
        <v>34</v>
      </c>
      <c r="Q186" t="str">
        <f>IF(Team_Level[[#This Row],[Result]]="","",COUNTIFS(Team_Level[Team],Team_Level[[#This Row],[Team]],Team_Level[Date],"&gt;="&amp;Team_Level[[#This Row],[Date]],Team_Level[Result],"&lt;&gt;"))</f>
        <v/>
      </c>
      <c r="R186" t="str">
        <f>Team_Level[[#This Row],[Team]]&amp;"-"&amp;Team_Level[[#This Row],[Recency Rank]]</f>
        <v>Cambridge United-</v>
      </c>
      <c r="S186" t="str">
        <f>IF(Team_Level[[#This Row],[Result]]="","",COUNTIFS(Team_Level[Team],Team_Level[[#This Row],[Team]],Team_Level[Date],"&lt;="&amp;Team_Level[[#This Row],[Date]],Team_Level[Result],"&lt;&gt;"))</f>
        <v/>
      </c>
      <c r="T186" t="str">
        <f>Team_Level[[#This Row],[Team]]&amp;"-"&amp;Team_Level[[#This Row],[Chrono Rank]]</f>
        <v>Cambridge United-</v>
      </c>
    </row>
    <row r="187" spans="1:20" x14ac:dyDescent="0.25">
      <c r="A187" t="s">
        <v>264</v>
      </c>
      <c r="B187" s="6">
        <v>46347</v>
      </c>
      <c r="C187" t="s">
        <v>8</v>
      </c>
      <c r="D187" t="s">
        <v>9</v>
      </c>
      <c r="K187">
        <v>1</v>
      </c>
      <c r="L187" t="s">
        <v>34</v>
      </c>
      <c r="Q187" t="str">
        <f>IF(Team_Level[[#This Row],[Result]]="","",COUNTIFS(Team_Level[Team],Team_Level[[#This Row],[Team]],Team_Level[Date],"&gt;="&amp;Team_Level[[#This Row],[Date]],Team_Level[Result],"&lt;&gt;"))</f>
        <v/>
      </c>
      <c r="R187" t="str">
        <f>Team_Level[[#This Row],[Team]]&amp;"-"&amp;Team_Level[[#This Row],[Recency Rank]]</f>
        <v>Huddersfield Town-</v>
      </c>
      <c r="S187" t="str">
        <f>IF(Team_Level[[#This Row],[Result]]="","",COUNTIFS(Team_Level[Team],Team_Level[[#This Row],[Team]],Team_Level[Date],"&lt;="&amp;Team_Level[[#This Row],[Date]],Team_Level[Result],"&lt;&gt;"))</f>
        <v/>
      </c>
      <c r="T187" t="str">
        <f>Team_Level[[#This Row],[Team]]&amp;"-"&amp;Team_Level[[#This Row],[Chrono Rank]]</f>
        <v>Huddersfield Town-</v>
      </c>
    </row>
    <row r="188" spans="1:20" x14ac:dyDescent="0.25">
      <c r="A188" t="s">
        <v>265</v>
      </c>
      <c r="B188" s="6">
        <v>46347</v>
      </c>
      <c r="C188" t="s">
        <v>10</v>
      </c>
      <c r="D188" t="s">
        <v>0</v>
      </c>
      <c r="K188">
        <v>1</v>
      </c>
      <c r="L188" t="s">
        <v>34</v>
      </c>
      <c r="Q188" t="str">
        <f>IF(Team_Level[[#This Row],[Result]]="","",COUNTIFS(Team_Level[Team],Team_Level[[#This Row],[Team]],Team_Level[Date],"&gt;="&amp;Team_Level[[#This Row],[Date]],Team_Level[Result],"&lt;&gt;"))</f>
        <v/>
      </c>
      <c r="R188" t="str">
        <f>Team_Level[[#This Row],[Team]]&amp;"-"&amp;Team_Level[[#This Row],[Recency Rank]]</f>
        <v>Leyton Orient-</v>
      </c>
      <c r="S188" t="str">
        <f>IF(Team_Level[[#This Row],[Result]]="","",COUNTIFS(Team_Level[Team],Team_Level[[#This Row],[Team]],Team_Level[Date],"&lt;="&amp;Team_Level[[#This Row],[Date]],Team_Level[Result],"&lt;&gt;"))</f>
        <v/>
      </c>
      <c r="T188" t="str">
        <f>Team_Level[[#This Row],[Team]]&amp;"-"&amp;Team_Level[[#This Row],[Chrono Rank]]</f>
        <v>Leyton Orient-</v>
      </c>
    </row>
    <row r="189" spans="1:20" x14ac:dyDescent="0.25">
      <c r="A189" t="s">
        <v>266</v>
      </c>
      <c r="B189" s="6">
        <v>46347</v>
      </c>
      <c r="C189" t="s">
        <v>12</v>
      </c>
      <c r="D189" t="s">
        <v>33</v>
      </c>
      <c r="K189">
        <v>1</v>
      </c>
      <c r="L189" t="s">
        <v>34</v>
      </c>
      <c r="Q189" t="str">
        <f>IF(Team_Level[[#This Row],[Result]]="","",COUNTIFS(Team_Level[Team],Team_Level[[#This Row],[Team]],Team_Level[Date],"&gt;="&amp;Team_Level[[#This Row],[Date]],Team_Level[Result],"&lt;&gt;"))</f>
        <v/>
      </c>
      <c r="R189" t="str">
        <f>Team_Level[[#This Row],[Team]]&amp;"-"&amp;Team_Level[[#This Row],[Recency Rank]]</f>
        <v>Mansfield Town-</v>
      </c>
      <c r="S189" t="str">
        <f>IF(Team_Level[[#This Row],[Result]]="","",COUNTIFS(Team_Level[Team],Team_Level[[#This Row],[Team]],Team_Level[Date],"&lt;="&amp;Team_Level[[#This Row],[Date]],Team_Level[Result],"&lt;&gt;"))</f>
        <v/>
      </c>
      <c r="T189" t="str">
        <f>Team_Level[[#This Row],[Team]]&amp;"-"&amp;Team_Level[[#This Row],[Chrono Rank]]</f>
        <v>Mansfield Town-</v>
      </c>
    </row>
    <row r="190" spans="1:20" x14ac:dyDescent="0.25">
      <c r="A190" t="s">
        <v>267</v>
      </c>
      <c r="B190" s="6">
        <v>46347</v>
      </c>
      <c r="C190" t="s">
        <v>13</v>
      </c>
      <c r="D190" t="s">
        <v>19</v>
      </c>
      <c r="K190">
        <v>1</v>
      </c>
      <c r="L190" t="s">
        <v>34</v>
      </c>
      <c r="Q190" t="str">
        <f>IF(Team_Level[[#This Row],[Result]]="","",COUNTIFS(Team_Level[Team],Team_Level[[#This Row],[Team]],Team_Level[Date],"&gt;="&amp;Team_Level[[#This Row],[Date]],Team_Level[Result],"&lt;&gt;"))</f>
        <v/>
      </c>
      <c r="R190" t="str">
        <f>Team_Level[[#This Row],[Team]]&amp;"-"&amp;Team_Level[[#This Row],[Recency Rank]]</f>
        <v>Notts County-</v>
      </c>
      <c r="S190" t="str">
        <f>IF(Team_Level[[#This Row],[Result]]="","",COUNTIFS(Team_Level[Team],Team_Level[[#This Row],[Team]],Team_Level[Date],"&lt;="&amp;Team_Level[[#This Row],[Date]],Team_Level[Result],"&lt;&gt;"))</f>
        <v/>
      </c>
      <c r="T190" t="str">
        <f>Team_Level[[#This Row],[Team]]&amp;"-"&amp;Team_Level[[#This Row],[Chrono Rank]]</f>
        <v>Notts County-</v>
      </c>
    </row>
    <row r="191" spans="1:20" x14ac:dyDescent="0.25">
      <c r="A191" t="s">
        <v>268</v>
      </c>
      <c r="B191" s="6">
        <v>46347</v>
      </c>
      <c r="C191" t="s">
        <v>14</v>
      </c>
      <c r="D191" t="s">
        <v>22</v>
      </c>
      <c r="K191">
        <v>1</v>
      </c>
      <c r="L191" t="s">
        <v>34</v>
      </c>
      <c r="Q191" t="str">
        <f>IF(Team_Level[[#This Row],[Result]]="","",COUNTIFS(Team_Level[Team],Team_Level[[#This Row],[Team]],Team_Level[Date],"&gt;="&amp;Team_Level[[#This Row],[Date]],Team_Level[Result],"&lt;&gt;"))</f>
        <v/>
      </c>
      <c r="R191" t="str">
        <f>Team_Level[[#This Row],[Team]]&amp;"-"&amp;Team_Level[[#This Row],[Recency Rank]]</f>
        <v>Oxford United-</v>
      </c>
      <c r="S191" t="str">
        <f>IF(Team_Level[[#This Row],[Result]]="","",COUNTIFS(Team_Level[Team],Team_Level[[#This Row],[Team]],Team_Level[Date],"&lt;="&amp;Team_Level[[#This Row],[Date]],Team_Level[Result],"&lt;&gt;"))</f>
        <v/>
      </c>
      <c r="T191" t="str">
        <f>Team_Level[[#This Row],[Team]]&amp;"-"&amp;Team_Level[[#This Row],[Chrono Rank]]</f>
        <v>Oxford United-</v>
      </c>
    </row>
    <row r="192" spans="1:20" x14ac:dyDescent="0.25">
      <c r="A192" t="s">
        <v>269</v>
      </c>
      <c r="B192" s="6">
        <v>46347</v>
      </c>
      <c r="C192" t="s">
        <v>16</v>
      </c>
      <c r="D192" t="s">
        <v>15</v>
      </c>
      <c r="K192">
        <v>1</v>
      </c>
      <c r="L192" t="s">
        <v>34</v>
      </c>
      <c r="Q192" t="str">
        <f>IF(Team_Level[[#This Row],[Result]]="","",COUNTIFS(Team_Level[Team],Team_Level[[#This Row],[Team]],Team_Level[Date],"&gt;="&amp;Team_Level[[#This Row],[Date]],Team_Level[Result],"&lt;&gt;"))</f>
        <v/>
      </c>
      <c r="R192" t="str">
        <f>Team_Level[[#This Row],[Team]]&amp;"-"&amp;Team_Level[[#This Row],[Recency Rank]]</f>
        <v>Plymouth Argyle-</v>
      </c>
      <c r="S192" t="str">
        <f>IF(Team_Level[[#This Row],[Result]]="","",COUNTIFS(Team_Level[Team],Team_Level[[#This Row],[Team]],Team_Level[Date],"&lt;="&amp;Team_Level[[#This Row],[Date]],Team_Level[Result],"&lt;&gt;"))</f>
        <v/>
      </c>
      <c r="T192" t="str">
        <f>Team_Level[[#This Row],[Team]]&amp;"-"&amp;Team_Level[[#This Row],[Chrono Rank]]</f>
        <v>Plymouth Argyle-</v>
      </c>
    </row>
    <row r="193" spans="1:20" x14ac:dyDescent="0.25">
      <c r="A193" t="s">
        <v>270</v>
      </c>
      <c r="B193" s="6">
        <v>46347</v>
      </c>
      <c r="C193" t="s">
        <v>17</v>
      </c>
      <c r="D193" t="s">
        <v>4</v>
      </c>
      <c r="K193">
        <v>1</v>
      </c>
      <c r="L193" t="s">
        <v>34</v>
      </c>
      <c r="Q193" t="str">
        <f>IF(Team_Level[[#This Row],[Result]]="","",COUNTIFS(Team_Level[Team],Team_Level[[#This Row],[Team]],Team_Level[Date],"&gt;="&amp;Team_Level[[#This Row],[Date]],Team_Level[Result],"&lt;&gt;"))</f>
        <v/>
      </c>
      <c r="R193" t="str">
        <f>Team_Level[[#This Row],[Team]]&amp;"-"&amp;Team_Level[[#This Row],[Recency Rank]]</f>
        <v>Reading-</v>
      </c>
      <c r="S193" t="str">
        <f>IF(Team_Level[[#This Row],[Result]]="","",COUNTIFS(Team_Level[Team],Team_Level[[#This Row],[Team]],Team_Level[Date],"&lt;="&amp;Team_Level[[#This Row],[Date]],Team_Level[Result],"&lt;&gt;"))</f>
        <v/>
      </c>
      <c r="T193" t="str">
        <f>Team_Level[[#This Row],[Team]]&amp;"-"&amp;Team_Level[[#This Row],[Chrono Rank]]</f>
        <v>Reading-</v>
      </c>
    </row>
    <row r="194" spans="1:20" x14ac:dyDescent="0.25">
      <c r="A194" t="s">
        <v>271</v>
      </c>
      <c r="B194" s="6">
        <v>46352</v>
      </c>
      <c r="C194" t="s">
        <v>7</v>
      </c>
      <c r="D194" t="s">
        <v>8</v>
      </c>
      <c r="K194">
        <v>1</v>
      </c>
      <c r="L194" t="s">
        <v>34</v>
      </c>
      <c r="Q194" t="str">
        <f>IF(Team_Level[[#This Row],[Result]]="","",COUNTIFS(Team_Level[Team],Team_Level[[#This Row],[Team]],Team_Level[Date],"&gt;="&amp;Team_Level[[#This Row],[Date]],Team_Level[Result],"&lt;&gt;"))</f>
        <v/>
      </c>
      <c r="R194" t="str">
        <f>Team_Level[[#This Row],[Team]]&amp;"-"&amp;Team_Level[[#This Row],[Recency Rank]]</f>
        <v>Doncaster Rovers-</v>
      </c>
      <c r="S194" t="str">
        <f>IF(Team_Level[[#This Row],[Result]]="","",COUNTIFS(Team_Level[Team],Team_Level[[#This Row],[Team]],Team_Level[Date],"&lt;="&amp;Team_Level[[#This Row],[Date]],Team_Level[Result],"&lt;&gt;"))</f>
        <v/>
      </c>
      <c r="T194" t="str">
        <f>Team_Level[[#This Row],[Team]]&amp;"-"&amp;Team_Level[[#This Row],[Chrono Rank]]</f>
        <v>Doncaster Rovers-</v>
      </c>
    </row>
    <row r="195" spans="1:20" x14ac:dyDescent="0.25">
      <c r="A195" t="s">
        <v>272</v>
      </c>
      <c r="B195" s="6">
        <v>46354</v>
      </c>
      <c r="C195" t="s">
        <v>0</v>
      </c>
      <c r="D195" t="s">
        <v>1</v>
      </c>
      <c r="K195">
        <v>1</v>
      </c>
      <c r="L195" t="s">
        <v>34</v>
      </c>
      <c r="Q195" t="str">
        <f>IF(Team_Level[[#This Row],[Result]]="","",COUNTIFS(Team_Level[Team],Team_Level[[#This Row],[Team]],Team_Level[Date],"&gt;="&amp;Team_Level[[#This Row],[Date]],Team_Level[Result],"&lt;&gt;"))</f>
        <v/>
      </c>
      <c r="R195" t="str">
        <f>Team_Level[[#This Row],[Team]]&amp;"-"&amp;Team_Level[[#This Row],[Recency Rank]]</f>
        <v>AFC Wimbledon-</v>
      </c>
      <c r="S195" t="str">
        <f>IF(Team_Level[[#This Row],[Result]]="","",COUNTIFS(Team_Level[Team],Team_Level[[#This Row],[Team]],Team_Level[Date],"&lt;="&amp;Team_Level[[#This Row],[Date]],Team_Level[Result],"&lt;&gt;"))</f>
        <v/>
      </c>
      <c r="T195" t="str">
        <f>Team_Level[[#This Row],[Team]]&amp;"-"&amp;Team_Level[[#This Row],[Chrono Rank]]</f>
        <v>AFC Wimbledon-</v>
      </c>
    </row>
    <row r="196" spans="1:20" x14ac:dyDescent="0.25">
      <c r="A196" t="s">
        <v>273</v>
      </c>
      <c r="B196" s="6">
        <v>46354</v>
      </c>
      <c r="C196" t="s">
        <v>4</v>
      </c>
      <c r="D196" t="s">
        <v>5</v>
      </c>
      <c r="K196">
        <v>1</v>
      </c>
      <c r="L196" t="s">
        <v>34</v>
      </c>
      <c r="Q196" t="str">
        <f>IF(Team_Level[[#This Row],[Result]]="","",COUNTIFS(Team_Level[Team],Team_Level[[#This Row],[Team]],Team_Level[Date],"&gt;="&amp;Team_Level[[#This Row],[Date]],Team_Level[Result],"&lt;&gt;"))</f>
        <v/>
      </c>
      <c r="R196" t="str">
        <f>Team_Level[[#This Row],[Team]]&amp;"-"&amp;Team_Level[[#This Row],[Recency Rank]]</f>
        <v>Bromley-</v>
      </c>
      <c r="S196" t="str">
        <f>IF(Team_Level[[#This Row],[Result]]="","",COUNTIFS(Team_Level[Team],Team_Level[[#This Row],[Team]],Team_Level[Date],"&lt;="&amp;Team_Level[[#This Row],[Date]],Team_Level[Result],"&lt;&gt;"))</f>
        <v/>
      </c>
      <c r="T196" t="str">
        <f>Team_Level[[#This Row],[Team]]&amp;"-"&amp;Team_Level[[#This Row],[Chrono Rank]]</f>
        <v>Bromley-</v>
      </c>
    </row>
    <row r="197" spans="1:20" x14ac:dyDescent="0.25">
      <c r="A197" t="s">
        <v>274</v>
      </c>
      <c r="B197" s="6">
        <v>46354</v>
      </c>
      <c r="C197" t="s">
        <v>9</v>
      </c>
      <c r="D197" t="s">
        <v>12</v>
      </c>
      <c r="K197">
        <v>1</v>
      </c>
      <c r="L197" t="s">
        <v>34</v>
      </c>
      <c r="Q197" t="str">
        <f>IF(Team_Level[[#This Row],[Result]]="","",COUNTIFS(Team_Level[Team],Team_Level[[#This Row],[Team]],Team_Level[Date],"&gt;="&amp;Team_Level[[#This Row],[Date]],Team_Level[Result],"&lt;&gt;"))</f>
        <v/>
      </c>
      <c r="R197" t="str">
        <f>Team_Level[[#This Row],[Team]]&amp;"-"&amp;Team_Level[[#This Row],[Recency Rank]]</f>
        <v>Leicester City-</v>
      </c>
      <c r="S197" t="str">
        <f>IF(Team_Level[[#This Row],[Result]]="","",COUNTIFS(Team_Level[Team],Team_Level[[#This Row],[Team]],Team_Level[Date],"&lt;="&amp;Team_Level[[#This Row],[Date]],Team_Level[Result],"&lt;&gt;"))</f>
        <v/>
      </c>
      <c r="T197" t="str">
        <f>Team_Level[[#This Row],[Team]]&amp;"-"&amp;Team_Level[[#This Row],[Chrono Rank]]</f>
        <v>Leicester City-</v>
      </c>
    </row>
    <row r="198" spans="1:20" x14ac:dyDescent="0.25">
      <c r="A198" t="s">
        <v>275</v>
      </c>
      <c r="B198" s="6">
        <v>46354</v>
      </c>
      <c r="C198" t="s">
        <v>11</v>
      </c>
      <c r="D198" t="s">
        <v>14</v>
      </c>
      <c r="K198">
        <v>1</v>
      </c>
      <c r="L198" t="s">
        <v>34</v>
      </c>
      <c r="Q198" t="str">
        <f>IF(Team_Level[[#This Row],[Result]]="","",COUNTIFS(Team_Level[Team],Team_Level[[#This Row],[Team]],Team_Level[Date],"&gt;="&amp;Team_Level[[#This Row],[Date]],Team_Level[Result],"&lt;&gt;"))</f>
        <v/>
      </c>
      <c r="R198" t="str">
        <f>Team_Level[[#This Row],[Team]]&amp;"-"&amp;Team_Level[[#This Row],[Recency Rank]]</f>
        <v>Luton Town-</v>
      </c>
      <c r="S198" t="str">
        <f>IF(Team_Level[[#This Row],[Result]]="","",COUNTIFS(Team_Level[Team],Team_Level[[#This Row],[Team]],Team_Level[Date],"&lt;="&amp;Team_Level[[#This Row],[Date]],Team_Level[Result],"&lt;&gt;"))</f>
        <v/>
      </c>
      <c r="T198" t="str">
        <f>Team_Level[[#This Row],[Team]]&amp;"-"&amp;Team_Level[[#This Row],[Chrono Rank]]</f>
        <v>Luton Town-</v>
      </c>
    </row>
    <row r="199" spans="1:20" x14ac:dyDescent="0.25">
      <c r="A199" t="s">
        <v>276</v>
      </c>
      <c r="B199" s="6">
        <v>46354</v>
      </c>
      <c r="C199" t="s">
        <v>33</v>
      </c>
      <c r="D199" t="s">
        <v>13</v>
      </c>
      <c r="K199">
        <v>1</v>
      </c>
      <c r="L199" t="s">
        <v>34</v>
      </c>
      <c r="Q199" t="str">
        <f>IF(Team_Level[[#This Row],[Result]]="","",COUNTIFS(Team_Level[Team],Team_Level[[#This Row],[Team]],Team_Level[Date],"&gt;="&amp;Team_Level[[#This Row],[Date]],Team_Level[Result],"&lt;&gt;"))</f>
        <v/>
      </c>
      <c r="R199" t="str">
        <f>Team_Level[[#This Row],[Team]]&amp;"-"&amp;Team_Level[[#This Row],[Recency Rank]]</f>
        <v>Milton Keynes Dons-</v>
      </c>
      <c r="S199" t="str">
        <f>IF(Team_Level[[#This Row],[Result]]="","",COUNTIFS(Team_Level[Team],Team_Level[[#This Row],[Team]],Team_Level[Date],"&lt;="&amp;Team_Level[[#This Row],[Date]],Team_Level[Result],"&lt;&gt;"))</f>
        <v/>
      </c>
      <c r="T199" t="str">
        <f>Team_Level[[#This Row],[Team]]&amp;"-"&amp;Team_Level[[#This Row],[Chrono Rank]]</f>
        <v>Milton Keynes Dons-</v>
      </c>
    </row>
    <row r="200" spans="1:20" x14ac:dyDescent="0.25">
      <c r="A200" t="s">
        <v>277</v>
      </c>
      <c r="B200" s="6">
        <v>46354</v>
      </c>
      <c r="C200" t="s">
        <v>15</v>
      </c>
      <c r="D200" t="s">
        <v>6</v>
      </c>
      <c r="K200">
        <v>1</v>
      </c>
      <c r="L200" t="s">
        <v>34</v>
      </c>
      <c r="Q200" t="str">
        <f>IF(Team_Level[[#This Row],[Result]]="","",COUNTIFS(Team_Level[Team],Team_Level[[#This Row],[Team]],Team_Level[Date],"&gt;="&amp;Team_Level[[#This Row],[Date]],Team_Level[Result],"&lt;&gt;"))</f>
        <v/>
      </c>
      <c r="R200" t="str">
        <f>Team_Level[[#This Row],[Team]]&amp;"-"&amp;Team_Level[[#This Row],[Recency Rank]]</f>
        <v>Peterborough United-</v>
      </c>
      <c r="S200" t="str">
        <f>IF(Team_Level[[#This Row],[Result]]="","",COUNTIFS(Team_Level[Team],Team_Level[[#This Row],[Team]],Team_Level[Date],"&lt;="&amp;Team_Level[[#This Row],[Date]],Team_Level[Result],"&lt;&gt;"))</f>
        <v/>
      </c>
      <c r="T200" t="str">
        <f>Team_Level[[#This Row],[Team]]&amp;"-"&amp;Team_Level[[#This Row],[Chrono Rank]]</f>
        <v>Peterborough United-</v>
      </c>
    </row>
    <row r="201" spans="1:20" x14ac:dyDescent="0.25">
      <c r="A201" t="s">
        <v>278</v>
      </c>
      <c r="B201" s="6">
        <v>46354</v>
      </c>
      <c r="C201" t="s">
        <v>18</v>
      </c>
      <c r="D201" t="s">
        <v>17</v>
      </c>
      <c r="K201">
        <v>1</v>
      </c>
      <c r="L201" t="s">
        <v>34</v>
      </c>
      <c r="Q201" t="str">
        <f>IF(Team_Level[[#This Row],[Result]]="","",COUNTIFS(Team_Level[Team],Team_Level[[#This Row],[Team]],Team_Level[Date],"&gt;="&amp;Team_Level[[#This Row],[Date]],Team_Level[Result],"&lt;&gt;"))</f>
        <v/>
      </c>
      <c r="R201" t="str">
        <f>Team_Level[[#This Row],[Team]]&amp;"-"&amp;Team_Level[[#This Row],[Recency Rank]]</f>
        <v>Sheffield Wednesday-</v>
      </c>
      <c r="S201" t="str">
        <f>IF(Team_Level[[#This Row],[Result]]="","",COUNTIFS(Team_Level[Team],Team_Level[[#This Row],[Team]],Team_Level[Date],"&lt;="&amp;Team_Level[[#This Row],[Date]],Team_Level[Result],"&lt;&gt;"))</f>
        <v/>
      </c>
      <c r="T201" t="str">
        <f>Team_Level[[#This Row],[Team]]&amp;"-"&amp;Team_Level[[#This Row],[Chrono Rank]]</f>
        <v>Sheffield Wednesday-</v>
      </c>
    </row>
    <row r="202" spans="1:20" x14ac:dyDescent="0.25">
      <c r="A202" t="s">
        <v>279</v>
      </c>
      <c r="B202" s="6">
        <v>46354</v>
      </c>
      <c r="C202" t="s">
        <v>19</v>
      </c>
      <c r="D202" t="s">
        <v>2</v>
      </c>
      <c r="K202">
        <v>1</v>
      </c>
      <c r="L202" t="s">
        <v>34</v>
      </c>
      <c r="Q202" t="str">
        <f>IF(Team_Level[[#This Row],[Result]]="","",COUNTIFS(Team_Level[Team],Team_Level[[#This Row],[Team]],Team_Level[Date],"&gt;="&amp;Team_Level[[#This Row],[Date]],Team_Level[Result],"&lt;&gt;"))</f>
        <v/>
      </c>
      <c r="R202" t="str">
        <f>Team_Level[[#This Row],[Team]]&amp;"-"&amp;Team_Level[[#This Row],[Recency Rank]]</f>
        <v>Stevenage-</v>
      </c>
      <c r="S202" t="str">
        <f>IF(Team_Level[[#This Row],[Result]]="","",COUNTIFS(Team_Level[Team],Team_Level[[#This Row],[Team]],Team_Level[Date],"&lt;="&amp;Team_Level[[#This Row],[Date]],Team_Level[Result],"&lt;&gt;"))</f>
        <v/>
      </c>
      <c r="T202" t="str">
        <f>Team_Level[[#This Row],[Team]]&amp;"-"&amp;Team_Level[[#This Row],[Chrono Rank]]</f>
        <v>Stevenage-</v>
      </c>
    </row>
    <row r="203" spans="1:20" x14ac:dyDescent="0.25">
      <c r="A203" t="s">
        <v>280</v>
      </c>
      <c r="B203" s="6">
        <v>46354</v>
      </c>
      <c r="C203" t="s">
        <v>20</v>
      </c>
      <c r="D203" t="s">
        <v>10</v>
      </c>
      <c r="K203">
        <v>1</v>
      </c>
      <c r="L203" t="s">
        <v>34</v>
      </c>
      <c r="Q203" t="str">
        <f>IF(Team_Level[[#This Row],[Result]]="","",COUNTIFS(Team_Level[Team],Team_Level[[#This Row],[Team]],Team_Level[Date],"&gt;="&amp;Team_Level[[#This Row],[Date]],Team_Level[Result],"&lt;&gt;"))</f>
        <v/>
      </c>
      <c r="R203" t="str">
        <f>Team_Level[[#This Row],[Team]]&amp;"-"&amp;Team_Level[[#This Row],[Recency Rank]]</f>
        <v>Stockport County-</v>
      </c>
      <c r="S203" t="str">
        <f>IF(Team_Level[[#This Row],[Result]]="","",COUNTIFS(Team_Level[Team],Team_Level[[#This Row],[Team]],Team_Level[Date],"&lt;="&amp;Team_Level[[#This Row],[Date]],Team_Level[Result],"&lt;&gt;"))</f>
        <v/>
      </c>
      <c r="T203" t="str">
        <f>Team_Level[[#This Row],[Team]]&amp;"-"&amp;Team_Level[[#This Row],[Chrono Rank]]</f>
        <v>Stockport County-</v>
      </c>
    </row>
    <row r="204" spans="1:20" x14ac:dyDescent="0.25">
      <c r="A204" t="s">
        <v>281</v>
      </c>
      <c r="B204" s="6">
        <v>46354</v>
      </c>
      <c r="C204" t="s">
        <v>21</v>
      </c>
      <c r="D204" t="s">
        <v>16</v>
      </c>
      <c r="K204">
        <v>1</v>
      </c>
      <c r="L204" t="s">
        <v>34</v>
      </c>
      <c r="Q204" t="str">
        <f>IF(Team_Level[[#This Row],[Result]]="","",COUNTIFS(Team_Level[Team],Team_Level[[#This Row],[Team]],Team_Level[Date],"&gt;="&amp;Team_Level[[#This Row],[Date]],Team_Level[Result],"&lt;&gt;"))</f>
        <v/>
      </c>
      <c r="R204" t="str">
        <f>Team_Level[[#This Row],[Team]]&amp;"-"&amp;Team_Level[[#This Row],[Recency Rank]]</f>
        <v>Wigan Athletic-</v>
      </c>
      <c r="S204" t="str">
        <f>IF(Team_Level[[#This Row],[Result]]="","",COUNTIFS(Team_Level[Team],Team_Level[[#This Row],[Team]],Team_Level[Date],"&lt;="&amp;Team_Level[[#This Row],[Date]],Team_Level[Result],"&lt;&gt;"))</f>
        <v/>
      </c>
      <c r="T204" t="str">
        <f>Team_Level[[#This Row],[Team]]&amp;"-"&amp;Team_Level[[#This Row],[Chrono Rank]]</f>
        <v>Wigan Athletic-</v>
      </c>
    </row>
    <row r="205" spans="1:20" x14ac:dyDescent="0.25">
      <c r="A205" t="s">
        <v>282</v>
      </c>
      <c r="B205" s="6">
        <v>46354</v>
      </c>
      <c r="C205" t="s">
        <v>22</v>
      </c>
      <c r="D205" t="s">
        <v>3</v>
      </c>
      <c r="K205">
        <v>1</v>
      </c>
      <c r="L205" t="s">
        <v>34</v>
      </c>
      <c r="Q205" t="str">
        <f>IF(Team_Level[[#This Row],[Result]]="","",COUNTIFS(Team_Level[Team],Team_Level[[#This Row],[Team]],Team_Level[Date],"&gt;="&amp;Team_Level[[#This Row],[Date]],Team_Level[Result],"&lt;&gt;"))</f>
        <v/>
      </c>
      <c r="R205" t="str">
        <f>Team_Level[[#This Row],[Team]]&amp;"-"&amp;Team_Level[[#This Row],[Recency Rank]]</f>
        <v>Wycombe Wanderers-</v>
      </c>
      <c r="S205" t="str">
        <f>IF(Team_Level[[#This Row],[Result]]="","",COUNTIFS(Team_Level[Team],Team_Level[[#This Row],[Team]],Team_Level[Date],"&lt;="&amp;Team_Level[[#This Row],[Date]],Team_Level[Result],"&lt;&gt;"))</f>
        <v/>
      </c>
      <c r="T205" t="str">
        <f>Team_Level[[#This Row],[Team]]&amp;"-"&amp;Team_Level[[#This Row],[Chrono Rank]]</f>
        <v>Wycombe Wanderers-</v>
      </c>
    </row>
    <row r="206" spans="1:20" x14ac:dyDescent="0.25">
      <c r="A206" t="s">
        <v>283</v>
      </c>
      <c r="B206" s="6">
        <v>46357</v>
      </c>
      <c r="C206" t="s">
        <v>1</v>
      </c>
      <c r="D206" t="s">
        <v>22</v>
      </c>
      <c r="K206">
        <v>1</v>
      </c>
      <c r="L206" t="s">
        <v>34</v>
      </c>
      <c r="Q206" t="str">
        <f>IF(Team_Level[[#This Row],[Result]]="","",COUNTIFS(Team_Level[Team],Team_Level[[#This Row],[Team]],Team_Level[Date],"&gt;="&amp;Team_Level[[#This Row],[Date]],Team_Level[Result],"&lt;&gt;"))</f>
        <v/>
      </c>
      <c r="R206" t="str">
        <f>Team_Level[[#This Row],[Team]]&amp;"-"&amp;Team_Level[[#This Row],[Recency Rank]]</f>
        <v>Barnsley-</v>
      </c>
      <c r="S206" t="str">
        <f>IF(Team_Level[[#This Row],[Result]]="","",COUNTIFS(Team_Level[Team],Team_Level[[#This Row],[Team]],Team_Level[Date],"&lt;="&amp;Team_Level[[#This Row],[Date]],Team_Level[Result],"&lt;&gt;"))</f>
        <v/>
      </c>
      <c r="T206" t="str">
        <f>Team_Level[[#This Row],[Team]]&amp;"-"&amp;Team_Level[[#This Row],[Chrono Rank]]</f>
        <v>Barnsley-</v>
      </c>
    </row>
    <row r="207" spans="1:20" x14ac:dyDescent="0.25">
      <c r="A207" t="s">
        <v>284</v>
      </c>
      <c r="B207" s="6">
        <v>46357</v>
      </c>
      <c r="C207" t="s">
        <v>2</v>
      </c>
      <c r="D207" t="s">
        <v>11</v>
      </c>
      <c r="K207">
        <v>1</v>
      </c>
      <c r="L207" t="s">
        <v>34</v>
      </c>
      <c r="Q207" t="str">
        <f>IF(Team_Level[[#This Row],[Result]]="","",COUNTIFS(Team_Level[Team],Team_Level[[#This Row],[Team]],Team_Level[Date],"&gt;="&amp;Team_Level[[#This Row],[Date]],Team_Level[Result],"&lt;&gt;"))</f>
        <v/>
      </c>
      <c r="R207" t="str">
        <f>Team_Level[[#This Row],[Team]]&amp;"-"&amp;Team_Level[[#This Row],[Recency Rank]]</f>
        <v>Blackpool-</v>
      </c>
      <c r="S207" t="str">
        <f>IF(Team_Level[[#This Row],[Result]]="","",COUNTIFS(Team_Level[Team],Team_Level[[#This Row],[Team]],Team_Level[Date],"&lt;="&amp;Team_Level[[#This Row],[Date]],Team_Level[Result],"&lt;&gt;"))</f>
        <v/>
      </c>
      <c r="T207" t="str">
        <f>Team_Level[[#This Row],[Team]]&amp;"-"&amp;Team_Level[[#This Row],[Chrono Rank]]</f>
        <v>Blackpool-</v>
      </c>
    </row>
    <row r="208" spans="1:20" x14ac:dyDescent="0.25">
      <c r="A208" t="s">
        <v>285</v>
      </c>
      <c r="B208" s="6">
        <v>46357</v>
      </c>
      <c r="C208" t="s">
        <v>3</v>
      </c>
      <c r="D208" t="s">
        <v>33</v>
      </c>
      <c r="K208">
        <v>1</v>
      </c>
      <c r="L208" t="s">
        <v>34</v>
      </c>
      <c r="Q208" t="str">
        <f>IF(Team_Level[[#This Row],[Result]]="","",COUNTIFS(Team_Level[Team],Team_Level[[#This Row],[Team]],Team_Level[Date],"&gt;="&amp;Team_Level[[#This Row],[Date]],Team_Level[Result],"&lt;&gt;"))</f>
        <v/>
      </c>
      <c r="R208" t="str">
        <f>Team_Level[[#This Row],[Team]]&amp;"-"&amp;Team_Level[[#This Row],[Recency Rank]]</f>
        <v>Bradford City-</v>
      </c>
      <c r="S208" t="str">
        <f>IF(Team_Level[[#This Row],[Result]]="","",COUNTIFS(Team_Level[Team],Team_Level[[#This Row],[Team]],Team_Level[Date],"&lt;="&amp;Team_Level[[#This Row],[Date]],Team_Level[Result],"&lt;&gt;"))</f>
        <v/>
      </c>
      <c r="T208" t="str">
        <f>Team_Level[[#This Row],[Team]]&amp;"-"&amp;Team_Level[[#This Row],[Chrono Rank]]</f>
        <v>Bradford City-</v>
      </c>
    </row>
    <row r="209" spans="1:20" x14ac:dyDescent="0.25">
      <c r="A209" t="s">
        <v>286</v>
      </c>
      <c r="B209" s="6">
        <v>46357</v>
      </c>
      <c r="C209" t="s">
        <v>5</v>
      </c>
      <c r="D209" t="s">
        <v>21</v>
      </c>
      <c r="K209">
        <v>1</v>
      </c>
      <c r="L209" t="s">
        <v>34</v>
      </c>
      <c r="Q209" t="str">
        <f>IF(Team_Level[[#This Row],[Result]]="","",COUNTIFS(Team_Level[Team],Team_Level[[#This Row],[Team]],Team_Level[Date],"&gt;="&amp;Team_Level[[#This Row],[Date]],Team_Level[Result],"&lt;&gt;"))</f>
        <v/>
      </c>
      <c r="R209" t="str">
        <f>Team_Level[[#This Row],[Team]]&amp;"-"&amp;Team_Level[[#This Row],[Recency Rank]]</f>
        <v>Burton Albion-</v>
      </c>
      <c r="S209" t="str">
        <f>IF(Team_Level[[#This Row],[Result]]="","",COUNTIFS(Team_Level[Team],Team_Level[[#This Row],[Team]],Team_Level[Date],"&lt;="&amp;Team_Level[[#This Row],[Date]],Team_Level[Result],"&lt;&gt;"))</f>
        <v/>
      </c>
      <c r="T209" t="str">
        <f>Team_Level[[#This Row],[Team]]&amp;"-"&amp;Team_Level[[#This Row],[Chrono Rank]]</f>
        <v>Burton Albion-</v>
      </c>
    </row>
    <row r="210" spans="1:20" x14ac:dyDescent="0.25">
      <c r="A210" t="s">
        <v>287</v>
      </c>
      <c r="B210" s="6">
        <v>46357</v>
      </c>
      <c r="C210" t="s">
        <v>6</v>
      </c>
      <c r="D210" t="s">
        <v>9</v>
      </c>
      <c r="K210">
        <v>1</v>
      </c>
      <c r="L210" t="s">
        <v>34</v>
      </c>
      <c r="Q210" t="str">
        <f>IF(Team_Level[[#This Row],[Result]]="","",COUNTIFS(Team_Level[Team],Team_Level[[#This Row],[Team]],Team_Level[Date],"&gt;="&amp;Team_Level[[#This Row],[Date]],Team_Level[Result],"&lt;&gt;"))</f>
        <v/>
      </c>
      <c r="R210" t="str">
        <f>Team_Level[[#This Row],[Team]]&amp;"-"&amp;Team_Level[[#This Row],[Recency Rank]]</f>
        <v>Cambridge United-</v>
      </c>
      <c r="S210" t="str">
        <f>IF(Team_Level[[#This Row],[Result]]="","",COUNTIFS(Team_Level[Team],Team_Level[[#This Row],[Team]],Team_Level[Date],"&lt;="&amp;Team_Level[[#This Row],[Date]],Team_Level[Result],"&lt;&gt;"))</f>
        <v/>
      </c>
      <c r="T210" t="str">
        <f>Team_Level[[#This Row],[Team]]&amp;"-"&amp;Team_Level[[#This Row],[Chrono Rank]]</f>
        <v>Cambridge United-</v>
      </c>
    </row>
    <row r="211" spans="1:20" x14ac:dyDescent="0.25">
      <c r="A211" t="s">
        <v>288</v>
      </c>
      <c r="B211" s="6">
        <v>46357</v>
      </c>
      <c r="C211" t="s">
        <v>8</v>
      </c>
      <c r="D211" t="s">
        <v>19</v>
      </c>
      <c r="K211">
        <v>1</v>
      </c>
      <c r="L211" t="s">
        <v>34</v>
      </c>
      <c r="Q211" t="str">
        <f>IF(Team_Level[[#This Row],[Result]]="","",COUNTIFS(Team_Level[Team],Team_Level[[#This Row],[Team]],Team_Level[Date],"&gt;="&amp;Team_Level[[#This Row],[Date]],Team_Level[Result],"&lt;&gt;"))</f>
        <v/>
      </c>
      <c r="R211" t="str">
        <f>Team_Level[[#This Row],[Team]]&amp;"-"&amp;Team_Level[[#This Row],[Recency Rank]]</f>
        <v>Huddersfield Town-</v>
      </c>
      <c r="S211" t="str">
        <f>IF(Team_Level[[#This Row],[Result]]="","",COUNTIFS(Team_Level[Team],Team_Level[[#This Row],[Team]],Team_Level[Date],"&lt;="&amp;Team_Level[[#This Row],[Date]],Team_Level[Result],"&lt;&gt;"))</f>
        <v/>
      </c>
      <c r="T211" t="str">
        <f>Team_Level[[#This Row],[Team]]&amp;"-"&amp;Team_Level[[#This Row],[Chrono Rank]]</f>
        <v>Huddersfield Town-</v>
      </c>
    </row>
    <row r="212" spans="1:20" x14ac:dyDescent="0.25">
      <c r="A212" t="s">
        <v>289</v>
      </c>
      <c r="B212" s="6">
        <v>46357</v>
      </c>
      <c r="C212" t="s">
        <v>10</v>
      </c>
      <c r="D212" t="s">
        <v>15</v>
      </c>
      <c r="K212">
        <v>1</v>
      </c>
      <c r="L212" t="s">
        <v>34</v>
      </c>
      <c r="Q212" t="str">
        <f>IF(Team_Level[[#This Row],[Result]]="","",COUNTIFS(Team_Level[Team],Team_Level[[#This Row],[Team]],Team_Level[Date],"&gt;="&amp;Team_Level[[#This Row],[Date]],Team_Level[Result],"&lt;&gt;"))</f>
        <v/>
      </c>
      <c r="R212" t="str">
        <f>Team_Level[[#This Row],[Team]]&amp;"-"&amp;Team_Level[[#This Row],[Recency Rank]]</f>
        <v>Leyton Orient-</v>
      </c>
      <c r="S212" t="str">
        <f>IF(Team_Level[[#This Row],[Result]]="","",COUNTIFS(Team_Level[Team],Team_Level[[#This Row],[Team]],Team_Level[Date],"&lt;="&amp;Team_Level[[#This Row],[Date]],Team_Level[Result],"&lt;&gt;"))</f>
        <v/>
      </c>
      <c r="T212" t="str">
        <f>Team_Level[[#This Row],[Team]]&amp;"-"&amp;Team_Level[[#This Row],[Chrono Rank]]</f>
        <v>Leyton Orient-</v>
      </c>
    </row>
    <row r="213" spans="1:20" x14ac:dyDescent="0.25">
      <c r="A213" t="s">
        <v>290</v>
      </c>
      <c r="B213" s="6">
        <v>46357</v>
      </c>
      <c r="C213" t="s">
        <v>12</v>
      </c>
      <c r="D213" t="s">
        <v>20</v>
      </c>
      <c r="K213">
        <v>1</v>
      </c>
      <c r="L213" t="s">
        <v>34</v>
      </c>
      <c r="Q213" t="str">
        <f>IF(Team_Level[[#This Row],[Result]]="","",COUNTIFS(Team_Level[Team],Team_Level[[#This Row],[Team]],Team_Level[Date],"&gt;="&amp;Team_Level[[#This Row],[Date]],Team_Level[Result],"&lt;&gt;"))</f>
        <v/>
      </c>
      <c r="R213" t="str">
        <f>Team_Level[[#This Row],[Team]]&amp;"-"&amp;Team_Level[[#This Row],[Recency Rank]]</f>
        <v>Mansfield Town-</v>
      </c>
      <c r="S213" t="str">
        <f>IF(Team_Level[[#This Row],[Result]]="","",COUNTIFS(Team_Level[Team],Team_Level[[#This Row],[Team]],Team_Level[Date],"&lt;="&amp;Team_Level[[#This Row],[Date]],Team_Level[Result],"&lt;&gt;"))</f>
        <v/>
      </c>
      <c r="T213" t="str">
        <f>Team_Level[[#This Row],[Team]]&amp;"-"&amp;Team_Level[[#This Row],[Chrono Rank]]</f>
        <v>Mansfield Town-</v>
      </c>
    </row>
    <row r="214" spans="1:20" x14ac:dyDescent="0.25">
      <c r="A214" t="s">
        <v>291</v>
      </c>
      <c r="B214" s="6">
        <v>46357</v>
      </c>
      <c r="C214" t="s">
        <v>13</v>
      </c>
      <c r="D214" t="s">
        <v>0</v>
      </c>
      <c r="K214">
        <v>1</v>
      </c>
      <c r="L214" t="s">
        <v>34</v>
      </c>
      <c r="Q214" t="str">
        <f>IF(Team_Level[[#This Row],[Result]]="","",COUNTIFS(Team_Level[Team],Team_Level[[#This Row],[Team]],Team_Level[Date],"&gt;="&amp;Team_Level[[#This Row],[Date]],Team_Level[Result],"&lt;&gt;"))</f>
        <v/>
      </c>
      <c r="R214" t="str">
        <f>Team_Level[[#This Row],[Team]]&amp;"-"&amp;Team_Level[[#This Row],[Recency Rank]]</f>
        <v>Notts County-</v>
      </c>
      <c r="S214" t="str">
        <f>IF(Team_Level[[#This Row],[Result]]="","",COUNTIFS(Team_Level[Team],Team_Level[[#This Row],[Team]],Team_Level[Date],"&lt;="&amp;Team_Level[[#This Row],[Date]],Team_Level[Result],"&lt;&gt;"))</f>
        <v/>
      </c>
      <c r="T214" t="str">
        <f>Team_Level[[#This Row],[Team]]&amp;"-"&amp;Team_Level[[#This Row],[Chrono Rank]]</f>
        <v>Notts County-</v>
      </c>
    </row>
    <row r="215" spans="1:20" x14ac:dyDescent="0.25">
      <c r="A215" t="s">
        <v>292</v>
      </c>
      <c r="B215" s="6">
        <v>46357</v>
      </c>
      <c r="C215" t="s">
        <v>14</v>
      </c>
      <c r="D215" t="s">
        <v>18</v>
      </c>
      <c r="K215">
        <v>1</v>
      </c>
      <c r="L215" t="s">
        <v>34</v>
      </c>
      <c r="Q215" t="str">
        <f>IF(Team_Level[[#This Row],[Result]]="","",COUNTIFS(Team_Level[Team],Team_Level[[#This Row],[Team]],Team_Level[Date],"&gt;="&amp;Team_Level[[#This Row],[Date]],Team_Level[Result],"&lt;&gt;"))</f>
        <v/>
      </c>
      <c r="R215" t="str">
        <f>Team_Level[[#This Row],[Team]]&amp;"-"&amp;Team_Level[[#This Row],[Recency Rank]]</f>
        <v>Oxford United-</v>
      </c>
      <c r="S215" t="str">
        <f>IF(Team_Level[[#This Row],[Result]]="","",COUNTIFS(Team_Level[Team],Team_Level[[#This Row],[Team]],Team_Level[Date],"&lt;="&amp;Team_Level[[#This Row],[Date]],Team_Level[Result],"&lt;&gt;"))</f>
        <v/>
      </c>
      <c r="T215" t="str">
        <f>Team_Level[[#This Row],[Team]]&amp;"-"&amp;Team_Level[[#This Row],[Chrono Rank]]</f>
        <v>Oxford United-</v>
      </c>
    </row>
    <row r="216" spans="1:20" x14ac:dyDescent="0.25">
      <c r="A216" t="s">
        <v>293</v>
      </c>
      <c r="B216" s="6">
        <v>46357</v>
      </c>
      <c r="C216" t="s">
        <v>16</v>
      </c>
      <c r="D216" t="s">
        <v>4</v>
      </c>
      <c r="K216">
        <v>1</v>
      </c>
      <c r="L216" t="s">
        <v>34</v>
      </c>
      <c r="Q216" t="str">
        <f>IF(Team_Level[[#This Row],[Result]]="","",COUNTIFS(Team_Level[Team],Team_Level[[#This Row],[Team]],Team_Level[Date],"&gt;="&amp;Team_Level[[#This Row],[Date]],Team_Level[Result],"&lt;&gt;"))</f>
        <v/>
      </c>
      <c r="R216" t="str">
        <f>Team_Level[[#This Row],[Team]]&amp;"-"&amp;Team_Level[[#This Row],[Recency Rank]]</f>
        <v>Plymouth Argyle-</v>
      </c>
      <c r="S216" t="str">
        <f>IF(Team_Level[[#This Row],[Result]]="","",COUNTIFS(Team_Level[Team],Team_Level[[#This Row],[Team]],Team_Level[Date],"&lt;="&amp;Team_Level[[#This Row],[Date]],Team_Level[Result],"&lt;&gt;"))</f>
        <v/>
      </c>
      <c r="T216" t="str">
        <f>Team_Level[[#This Row],[Team]]&amp;"-"&amp;Team_Level[[#This Row],[Chrono Rank]]</f>
        <v>Plymouth Argyle-</v>
      </c>
    </row>
    <row r="217" spans="1:20" x14ac:dyDescent="0.25">
      <c r="A217" t="s">
        <v>294</v>
      </c>
      <c r="B217" s="6">
        <v>46357</v>
      </c>
      <c r="C217" t="s">
        <v>17</v>
      </c>
      <c r="D217" t="s">
        <v>7</v>
      </c>
      <c r="K217">
        <v>1</v>
      </c>
      <c r="L217" t="s">
        <v>34</v>
      </c>
      <c r="Q217" t="str">
        <f>IF(Team_Level[[#This Row],[Result]]="","",COUNTIFS(Team_Level[Team],Team_Level[[#This Row],[Team]],Team_Level[Date],"&gt;="&amp;Team_Level[[#This Row],[Date]],Team_Level[Result],"&lt;&gt;"))</f>
        <v/>
      </c>
      <c r="R217" t="str">
        <f>Team_Level[[#This Row],[Team]]&amp;"-"&amp;Team_Level[[#This Row],[Recency Rank]]</f>
        <v>Reading-</v>
      </c>
      <c r="S217" t="str">
        <f>IF(Team_Level[[#This Row],[Result]]="","",COUNTIFS(Team_Level[Team],Team_Level[[#This Row],[Team]],Team_Level[Date],"&lt;="&amp;Team_Level[[#This Row],[Date]],Team_Level[Result],"&lt;&gt;"))</f>
        <v/>
      </c>
      <c r="T217" t="str">
        <f>Team_Level[[#This Row],[Team]]&amp;"-"&amp;Team_Level[[#This Row],[Chrono Rank]]</f>
        <v>Reading-</v>
      </c>
    </row>
    <row r="218" spans="1:20" x14ac:dyDescent="0.25">
      <c r="A218" t="s">
        <v>295</v>
      </c>
      <c r="B218" s="6">
        <v>46366</v>
      </c>
      <c r="C218" t="s">
        <v>9</v>
      </c>
      <c r="D218" t="s">
        <v>18</v>
      </c>
      <c r="K218">
        <v>1</v>
      </c>
      <c r="L218" t="s">
        <v>34</v>
      </c>
      <c r="Q218" t="str">
        <f>IF(Team_Level[[#This Row],[Result]]="","",COUNTIFS(Team_Level[Team],Team_Level[[#This Row],[Team]],Team_Level[Date],"&gt;="&amp;Team_Level[[#This Row],[Date]],Team_Level[Result],"&lt;&gt;"))</f>
        <v/>
      </c>
      <c r="R218" t="str">
        <f>Team_Level[[#This Row],[Team]]&amp;"-"&amp;Team_Level[[#This Row],[Recency Rank]]</f>
        <v>Leicester City-</v>
      </c>
      <c r="S218" t="str">
        <f>IF(Team_Level[[#This Row],[Result]]="","",COUNTIFS(Team_Level[Team],Team_Level[[#This Row],[Team]],Team_Level[Date],"&lt;="&amp;Team_Level[[#This Row],[Date]],Team_Level[Result],"&lt;&gt;"))</f>
        <v/>
      </c>
      <c r="T218" t="str">
        <f>Team_Level[[#This Row],[Team]]&amp;"-"&amp;Team_Level[[#This Row],[Chrono Rank]]</f>
        <v>Leicester City-</v>
      </c>
    </row>
    <row r="219" spans="1:20" x14ac:dyDescent="0.25">
      <c r="A219" t="s">
        <v>296</v>
      </c>
      <c r="B219" s="6">
        <v>46368</v>
      </c>
      <c r="C219" t="s">
        <v>3</v>
      </c>
      <c r="D219" t="s">
        <v>0</v>
      </c>
      <c r="K219">
        <v>1</v>
      </c>
      <c r="L219" t="s">
        <v>34</v>
      </c>
      <c r="Q219" t="str">
        <f>IF(Team_Level[[#This Row],[Result]]="","",COUNTIFS(Team_Level[Team],Team_Level[[#This Row],[Team]],Team_Level[Date],"&gt;="&amp;Team_Level[[#This Row],[Date]],Team_Level[Result],"&lt;&gt;"))</f>
        <v/>
      </c>
      <c r="R219" t="str">
        <f>Team_Level[[#This Row],[Team]]&amp;"-"&amp;Team_Level[[#This Row],[Recency Rank]]</f>
        <v>Bradford City-</v>
      </c>
      <c r="S219" t="str">
        <f>IF(Team_Level[[#This Row],[Result]]="","",COUNTIFS(Team_Level[Team],Team_Level[[#This Row],[Team]],Team_Level[Date],"&lt;="&amp;Team_Level[[#This Row],[Date]],Team_Level[Result],"&lt;&gt;"))</f>
        <v/>
      </c>
      <c r="T219" t="str">
        <f>Team_Level[[#This Row],[Team]]&amp;"-"&amp;Team_Level[[#This Row],[Chrono Rank]]</f>
        <v>Bradford City-</v>
      </c>
    </row>
    <row r="220" spans="1:20" x14ac:dyDescent="0.25">
      <c r="A220" t="s">
        <v>297</v>
      </c>
      <c r="B220" s="6">
        <v>46368</v>
      </c>
      <c r="C220" t="s">
        <v>5</v>
      </c>
      <c r="D220" t="s">
        <v>17</v>
      </c>
      <c r="K220">
        <v>1</v>
      </c>
      <c r="L220" t="s">
        <v>34</v>
      </c>
      <c r="Q220" t="str">
        <f>IF(Team_Level[[#This Row],[Result]]="","",COUNTIFS(Team_Level[Team],Team_Level[[#This Row],[Team]],Team_Level[Date],"&gt;="&amp;Team_Level[[#This Row],[Date]],Team_Level[Result],"&lt;&gt;"))</f>
        <v/>
      </c>
      <c r="R220" t="str">
        <f>Team_Level[[#This Row],[Team]]&amp;"-"&amp;Team_Level[[#This Row],[Recency Rank]]</f>
        <v>Burton Albion-</v>
      </c>
      <c r="S220" t="str">
        <f>IF(Team_Level[[#This Row],[Result]]="","",COUNTIFS(Team_Level[Team],Team_Level[[#This Row],[Team]],Team_Level[Date],"&lt;="&amp;Team_Level[[#This Row],[Date]],Team_Level[Result],"&lt;&gt;"))</f>
        <v/>
      </c>
      <c r="T220" t="str">
        <f>Team_Level[[#This Row],[Team]]&amp;"-"&amp;Team_Level[[#This Row],[Chrono Rank]]</f>
        <v>Burton Albion-</v>
      </c>
    </row>
    <row r="221" spans="1:20" x14ac:dyDescent="0.25">
      <c r="A221" t="s">
        <v>298</v>
      </c>
      <c r="B221" s="6">
        <v>46368</v>
      </c>
      <c r="C221" t="s">
        <v>7</v>
      </c>
      <c r="D221" t="s">
        <v>4</v>
      </c>
      <c r="K221">
        <v>1</v>
      </c>
      <c r="L221" t="s">
        <v>34</v>
      </c>
      <c r="Q221" t="str">
        <f>IF(Team_Level[[#This Row],[Result]]="","",COUNTIFS(Team_Level[Team],Team_Level[[#This Row],[Team]],Team_Level[Date],"&gt;="&amp;Team_Level[[#This Row],[Date]],Team_Level[Result],"&lt;&gt;"))</f>
        <v/>
      </c>
      <c r="R221" t="str">
        <f>Team_Level[[#This Row],[Team]]&amp;"-"&amp;Team_Level[[#This Row],[Recency Rank]]</f>
        <v>Doncaster Rovers-</v>
      </c>
      <c r="S221" t="str">
        <f>IF(Team_Level[[#This Row],[Result]]="","",COUNTIFS(Team_Level[Team],Team_Level[[#This Row],[Team]],Team_Level[Date],"&lt;="&amp;Team_Level[[#This Row],[Date]],Team_Level[Result],"&lt;&gt;"))</f>
        <v/>
      </c>
      <c r="T221" t="str">
        <f>Team_Level[[#This Row],[Team]]&amp;"-"&amp;Team_Level[[#This Row],[Chrono Rank]]</f>
        <v>Doncaster Rovers-</v>
      </c>
    </row>
    <row r="222" spans="1:20" x14ac:dyDescent="0.25">
      <c r="A222" t="s">
        <v>299</v>
      </c>
      <c r="B222" s="6">
        <v>46368</v>
      </c>
      <c r="C222" t="s">
        <v>8</v>
      </c>
      <c r="D222" t="s">
        <v>10</v>
      </c>
      <c r="K222">
        <v>1</v>
      </c>
      <c r="L222" t="s">
        <v>34</v>
      </c>
      <c r="Q222" t="str">
        <f>IF(Team_Level[[#This Row],[Result]]="","",COUNTIFS(Team_Level[Team],Team_Level[[#This Row],[Team]],Team_Level[Date],"&gt;="&amp;Team_Level[[#This Row],[Date]],Team_Level[Result],"&lt;&gt;"))</f>
        <v/>
      </c>
      <c r="R222" t="str">
        <f>Team_Level[[#This Row],[Team]]&amp;"-"&amp;Team_Level[[#This Row],[Recency Rank]]</f>
        <v>Huddersfield Town-</v>
      </c>
      <c r="S222" t="str">
        <f>IF(Team_Level[[#This Row],[Result]]="","",COUNTIFS(Team_Level[Team],Team_Level[[#This Row],[Team]],Team_Level[Date],"&lt;="&amp;Team_Level[[#This Row],[Date]],Team_Level[Result],"&lt;&gt;"))</f>
        <v/>
      </c>
      <c r="T222" t="str">
        <f>Team_Level[[#This Row],[Team]]&amp;"-"&amp;Team_Level[[#This Row],[Chrono Rank]]</f>
        <v>Huddersfield Town-</v>
      </c>
    </row>
    <row r="223" spans="1:20" x14ac:dyDescent="0.25">
      <c r="A223" t="s">
        <v>300</v>
      </c>
      <c r="B223" s="6">
        <v>46368</v>
      </c>
      <c r="C223" t="s">
        <v>11</v>
      </c>
      <c r="D223" t="s">
        <v>21</v>
      </c>
      <c r="K223">
        <v>1</v>
      </c>
      <c r="L223" t="s">
        <v>34</v>
      </c>
      <c r="Q223" t="str">
        <f>IF(Team_Level[[#This Row],[Result]]="","",COUNTIFS(Team_Level[Team],Team_Level[[#This Row],[Team]],Team_Level[Date],"&gt;="&amp;Team_Level[[#This Row],[Date]],Team_Level[Result],"&lt;&gt;"))</f>
        <v/>
      </c>
      <c r="R223" t="str">
        <f>Team_Level[[#This Row],[Team]]&amp;"-"&amp;Team_Level[[#This Row],[Recency Rank]]</f>
        <v>Luton Town-</v>
      </c>
      <c r="S223" t="str">
        <f>IF(Team_Level[[#This Row],[Result]]="","",COUNTIFS(Team_Level[Team],Team_Level[[#This Row],[Team]],Team_Level[Date],"&lt;="&amp;Team_Level[[#This Row],[Date]],Team_Level[Result],"&lt;&gt;"))</f>
        <v/>
      </c>
      <c r="T223" t="str">
        <f>Team_Level[[#This Row],[Team]]&amp;"-"&amp;Team_Level[[#This Row],[Chrono Rank]]</f>
        <v>Luton Town-</v>
      </c>
    </row>
    <row r="224" spans="1:20" x14ac:dyDescent="0.25">
      <c r="A224" t="s">
        <v>301</v>
      </c>
      <c r="B224" s="6">
        <v>46368</v>
      </c>
      <c r="C224" t="s">
        <v>12</v>
      </c>
      <c r="D224" t="s">
        <v>22</v>
      </c>
      <c r="K224">
        <v>1</v>
      </c>
      <c r="L224" t="s">
        <v>34</v>
      </c>
      <c r="Q224" t="str">
        <f>IF(Team_Level[[#This Row],[Result]]="","",COUNTIFS(Team_Level[Team],Team_Level[[#This Row],[Team]],Team_Level[Date],"&gt;="&amp;Team_Level[[#This Row],[Date]],Team_Level[Result],"&lt;&gt;"))</f>
        <v/>
      </c>
      <c r="R224" t="str">
        <f>Team_Level[[#This Row],[Team]]&amp;"-"&amp;Team_Level[[#This Row],[Recency Rank]]</f>
        <v>Mansfield Town-</v>
      </c>
      <c r="S224" t="str">
        <f>IF(Team_Level[[#This Row],[Result]]="","",COUNTIFS(Team_Level[Team],Team_Level[[#This Row],[Team]],Team_Level[Date],"&lt;="&amp;Team_Level[[#This Row],[Date]],Team_Level[Result],"&lt;&gt;"))</f>
        <v/>
      </c>
      <c r="T224" t="str">
        <f>Team_Level[[#This Row],[Team]]&amp;"-"&amp;Team_Level[[#This Row],[Chrono Rank]]</f>
        <v>Mansfield Town-</v>
      </c>
    </row>
    <row r="225" spans="1:20" x14ac:dyDescent="0.25">
      <c r="A225" t="s">
        <v>302</v>
      </c>
      <c r="B225" s="6">
        <v>46368</v>
      </c>
      <c r="C225" t="s">
        <v>33</v>
      </c>
      <c r="D225" t="s">
        <v>6</v>
      </c>
      <c r="K225">
        <v>1</v>
      </c>
      <c r="L225" t="s">
        <v>34</v>
      </c>
      <c r="Q225" t="str">
        <f>IF(Team_Level[[#This Row],[Result]]="","",COUNTIFS(Team_Level[Team],Team_Level[[#This Row],[Team]],Team_Level[Date],"&gt;="&amp;Team_Level[[#This Row],[Date]],Team_Level[Result],"&lt;&gt;"))</f>
        <v/>
      </c>
      <c r="R225" t="str">
        <f>Team_Level[[#This Row],[Team]]&amp;"-"&amp;Team_Level[[#This Row],[Recency Rank]]</f>
        <v>Milton Keynes Dons-</v>
      </c>
      <c r="S225" t="str">
        <f>IF(Team_Level[[#This Row],[Result]]="","",COUNTIFS(Team_Level[Team],Team_Level[[#This Row],[Team]],Team_Level[Date],"&lt;="&amp;Team_Level[[#This Row],[Date]],Team_Level[Result],"&lt;&gt;"))</f>
        <v/>
      </c>
      <c r="T225" t="str">
        <f>Team_Level[[#This Row],[Team]]&amp;"-"&amp;Team_Level[[#This Row],[Chrono Rank]]</f>
        <v>Milton Keynes Dons-</v>
      </c>
    </row>
    <row r="226" spans="1:20" x14ac:dyDescent="0.25">
      <c r="A226" t="s">
        <v>303</v>
      </c>
      <c r="B226" s="6">
        <v>46368</v>
      </c>
      <c r="C226" t="s">
        <v>13</v>
      </c>
      <c r="D226" t="s">
        <v>16</v>
      </c>
      <c r="K226">
        <v>1</v>
      </c>
      <c r="L226" t="s">
        <v>34</v>
      </c>
      <c r="Q226" t="str">
        <f>IF(Team_Level[[#This Row],[Result]]="","",COUNTIFS(Team_Level[Team],Team_Level[[#This Row],[Team]],Team_Level[Date],"&gt;="&amp;Team_Level[[#This Row],[Date]],Team_Level[Result],"&lt;&gt;"))</f>
        <v/>
      </c>
      <c r="R226" t="str">
        <f>Team_Level[[#This Row],[Team]]&amp;"-"&amp;Team_Level[[#This Row],[Recency Rank]]</f>
        <v>Notts County-</v>
      </c>
      <c r="S226" t="str">
        <f>IF(Team_Level[[#This Row],[Result]]="","",COUNTIFS(Team_Level[Team],Team_Level[[#This Row],[Team]],Team_Level[Date],"&lt;="&amp;Team_Level[[#This Row],[Date]],Team_Level[Result],"&lt;&gt;"))</f>
        <v/>
      </c>
      <c r="T226" t="str">
        <f>Team_Level[[#This Row],[Team]]&amp;"-"&amp;Team_Level[[#This Row],[Chrono Rank]]</f>
        <v>Notts County-</v>
      </c>
    </row>
    <row r="227" spans="1:20" x14ac:dyDescent="0.25">
      <c r="A227" t="s">
        <v>304</v>
      </c>
      <c r="B227" s="6">
        <v>46368</v>
      </c>
      <c r="C227" t="s">
        <v>14</v>
      </c>
      <c r="D227" t="s">
        <v>2</v>
      </c>
      <c r="K227">
        <v>1</v>
      </c>
      <c r="L227" t="s">
        <v>34</v>
      </c>
      <c r="Q227" t="str">
        <f>IF(Team_Level[[#This Row],[Result]]="","",COUNTIFS(Team_Level[Team],Team_Level[[#This Row],[Team]],Team_Level[Date],"&gt;="&amp;Team_Level[[#This Row],[Date]],Team_Level[Result],"&lt;&gt;"))</f>
        <v/>
      </c>
      <c r="R227" t="str">
        <f>Team_Level[[#This Row],[Team]]&amp;"-"&amp;Team_Level[[#This Row],[Recency Rank]]</f>
        <v>Oxford United-</v>
      </c>
      <c r="S227" t="str">
        <f>IF(Team_Level[[#This Row],[Result]]="","",COUNTIFS(Team_Level[Team],Team_Level[[#This Row],[Team]],Team_Level[Date],"&lt;="&amp;Team_Level[[#This Row],[Date]],Team_Level[Result],"&lt;&gt;"))</f>
        <v/>
      </c>
      <c r="T227" t="str">
        <f>Team_Level[[#This Row],[Team]]&amp;"-"&amp;Team_Level[[#This Row],[Chrono Rank]]</f>
        <v>Oxford United-</v>
      </c>
    </row>
    <row r="228" spans="1:20" x14ac:dyDescent="0.25">
      <c r="A228" t="s">
        <v>305</v>
      </c>
      <c r="B228" s="6">
        <v>46368</v>
      </c>
      <c r="C228" t="s">
        <v>15</v>
      </c>
      <c r="D228" t="s">
        <v>1</v>
      </c>
      <c r="K228">
        <v>1</v>
      </c>
      <c r="L228" t="s">
        <v>34</v>
      </c>
      <c r="Q228" t="str">
        <f>IF(Team_Level[[#This Row],[Result]]="","",COUNTIFS(Team_Level[Team],Team_Level[[#This Row],[Team]],Team_Level[Date],"&gt;="&amp;Team_Level[[#This Row],[Date]],Team_Level[Result],"&lt;&gt;"))</f>
        <v/>
      </c>
      <c r="R228" t="str">
        <f>Team_Level[[#This Row],[Team]]&amp;"-"&amp;Team_Level[[#This Row],[Recency Rank]]</f>
        <v>Peterborough United-</v>
      </c>
      <c r="S228" t="str">
        <f>IF(Team_Level[[#This Row],[Result]]="","",COUNTIFS(Team_Level[Team],Team_Level[[#This Row],[Team]],Team_Level[Date],"&lt;="&amp;Team_Level[[#This Row],[Date]],Team_Level[Result],"&lt;&gt;"))</f>
        <v/>
      </c>
      <c r="T228" t="str">
        <f>Team_Level[[#This Row],[Team]]&amp;"-"&amp;Team_Level[[#This Row],[Chrono Rank]]</f>
        <v>Peterborough United-</v>
      </c>
    </row>
    <row r="229" spans="1:20" x14ac:dyDescent="0.25">
      <c r="A229" t="s">
        <v>306</v>
      </c>
      <c r="B229" s="6">
        <v>46368</v>
      </c>
      <c r="C229" t="s">
        <v>19</v>
      </c>
      <c r="D229" t="s">
        <v>20</v>
      </c>
      <c r="K229">
        <v>1</v>
      </c>
      <c r="L229" t="s">
        <v>34</v>
      </c>
      <c r="Q229" t="str">
        <f>IF(Team_Level[[#This Row],[Result]]="","",COUNTIFS(Team_Level[Team],Team_Level[[#This Row],[Team]],Team_Level[Date],"&gt;="&amp;Team_Level[[#This Row],[Date]],Team_Level[Result],"&lt;&gt;"))</f>
        <v/>
      </c>
      <c r="R229" t="str">
        <f>Team_Level[[#This Row],[Team]]&amp;"-"&amp;Team_Level[[#This Row],[Recency Rank]]</f>
        <v>Stevenage-</v>
      </c>
      <c r="S229" t="str">
        <f>IF(Team_Level[[#This Row],[Result]]="","",COUNTIFS(Team_Level[Team],Team_Level[[#This Row],[Team]],Team_Level[Date],"&lt;="&amp;Team_Level[[#This Row],[Date]],Team_Level[Result],"&lt;&gt;"))</f>
        <v/>
      </c>
      <c r="T229" t="str">
        <f>Team_Level[[#This Row],[Team]]&amp;"-"&amp;Team_Level[[#This Row],[Chrono Rank]]</f>
        <v>Stevenage-</v>
      </c>
    </row>
    <row r="230" spans="1:20" x14ac:dyDescent="0.25">
      <c r="A230" t="s">
        <v>307</v>
      </c>
      <c r="B230" s="6">
        <v>46374</v>
      </c>
      <c r="C230" t="s">
        <v>6</v>
      </c>
      <c r="D230" t="s">
        <v>19</v>
      </c>
      <c r="K230">
        <v>1</v>
      </c>
      <c r="L230" t="s">
        <v>34</v>
      </c>
      <c r="Q230" t="str">
        <f>IF(Team_Level[[#This Row],[Result]]="","",COUNTIFS(Team_Level[Team],Team_Level[[#This Row],[Team]],Team_Level[Date],"&gt;="&amp;Team_Level[[#This Row],[Date]],Team_Level[Result],"&lt;&gt;"))</f>
        <v/>
      </c>
      <c r="R230" t="str">
        <f>Team_Level[[#This Row],[Team]]&amp;"-"&amp;Team_Level[[#This Row],[Recency Rank]]</f>
        <v>Cambridge United-</v>
      </c>
      <c r="S230" t="str">
        <f>IF(Team_Level[[#This Row],[Result]]="","",COUNTIFS(Team_Level[Team],Team_Level[[#This Row],[Team]],Team_Level[Date],"&lt;="&amp;Team_Level[[#This Row],[Date]],Team_Level[Result],"&lt;&gt;"))</f>
        <v/>
      </c>
      <c r="T230" t="str">
        <f>Team_Level[[#This Row],[Team]]&amp;"-"&amp;Team_Level[[#This Row],[Chrono Rank]]</f>
        <v>Cambridge United-</v>
      </c>
    </row>
    <row r="231" spans="1:20" x14ac:dyDescent="0.25">
      <c r="A231" t="s">
        <v>308</v>
      </c>
      <c r="B231" s="6">
        <v>46375</v>
      </c>
      <c r="C231" t="s">
        <v>0</v>
      </c>
      <c r="D231" t="s">
        <v>14</v>
      </c>
      <c r="K231">
        <v>1</v>
      </c>
      <c r="L231" t="s">
        <v>34</v>
      </c>
      <c r="Q231" t="str">
        <f>IF(Team_Level[[#This Row],[Result]]="","",COUNTIFS(Team_Level[Team],Team_Level[[#This Row],[Team]],Team_Level[Date],"&gt;="&amp;Team_Level[[#This Row],[Date]],Team_Level[Result],"&lt;&gt;"))</f>
        <v/>
      </c>
      <c r="R231" t="str">
        <f>Team_Level[[#This Row],[Team]]&amp;"-"&amp;Team_Level[[#This Row],[Recency Rank]]</f>
        <v>AFC Wimbledon-</v>
      </c>
      <c r="S231" t="str">
        <f>IF(Team_Level[[#This Row],[Result]]="","",COUNTIFS(Team_Level[Team],Team_Level[[#This Row],[Team]],Team_Level[Date],"&lt;="&amp;Team_Level[[#This Row],[Date]],Team_Level[Result],"&lt;&gt;"))</f>
        <v/>
      </c>
      <c r="T231" t="str">
        <f>Team_Level[[#This Row],[Team]]&amp;"-"&amp;Team_Level[[#This Row],[Chrono Rank]]</f>
        <v>AFC Wimbledon-</v>
      </c>
    </row>
    <row r="232" spans="1:20" x14ac:dyDescent="0.25">
      <c r="A232" t="s">
        <v>309</v>
      </c>
      <c r="B232" s="6">
        <v>46375</v>
      </c>
      <c r="C232" t="s">
        <v>1</v>
      </c>
      <c r="D232" t="s">
        <v>8</v>
      </c>
      <c r="K232">
        <v>1</v>
      </c>
      <c r="L232" t="s">
        <v>34</v>
      </c>
      <c r="Q232" t="str">
        <f>IF(Team_Level[[#This Row],[Result]]="","",COUNTIFS(Team_Level[Team],Team_Level[[#This Row],[Team]],Team_Level[Date],"&gt;="&amp;Team_Level[[#This Row],[Date]],Team_Level[Result],"&lt;&gt;"))</f>
        <v/>
      </c>
      <c r="R232" t="str">
        <f>Team_Level[[#This Row],[Team]]&amp;"-"&amp;Team_Level[[#This Row],[Recency Rank]]</f>
        <v>Barnsley-</v>
      </c>
      <c r="S232" t="str">
        <f>IF(Team_Level[[#This Row],[Result]]="","",COUNTIFS(Team_Level[Team],Team_Level[[#This Row],[Team]],Team_Level[Date],"&lt;="&amp;Team_Level[[#This Row],[Date]],Team_Level[Result],"&lt;&gt;"))</f>
        <v/>
      </c>
      <c r="T232" t="str">
        <f>Team_Level[[#This Row],[Team]]&amp;"-"&amp;Team_Level[[#This Row],[Chrono Rank]]</f>
        <v>Barnsley-</v>
      </c>
    </row>
    <row r="233" spans="1:20" x14ac:dyDescent="0.25">
      <c r="A233" t="s">
        <v>310</v>
      </c>
      <c r="B233" s="6">
        <v>46375</v>
      </c>
      <c r="C233" t="s">
        <v>2</v>
      </c>
      <c r="D233" t="s">
        <v>5</v>
      </c>
      <c r="K233">
        <v>1</v>
      </c>
      <c r="L233" t="s">
        <v>34</v>
      </c>
      <c r="Q233" t="str">
        <f>IF(Team_Level[[#This Row],[Result]]="","",COUNTIFS(Team_Level[Team],Team_Level[[#This Row],[Team]],Team_Level[Date],"&gt;="&amp;Team_Level[[#This Row],[Date]],Team_Level[Result],"&lt;&gt;"))</f>
        <v/>
      </c>
      <c r="R233" t="str">
        <f>Team_Level[[#This Row],[Team]]&amp;"-"&amp;Team_Level[[#This Row],[Recency Rank]]</f>
        <v>Blackpool-</v>
      </c>
      <c r="S233" t="str">
        <f>IF(Team_Level[[#This Row],[Result]]="","",COUNTIFS(Team_Level[Team],Team_Level[[#This Row],[Team]],Team_Level[Date],"&lt;="&amp;Team_Level[[#This Row],[Date]],Team_Level[Result],"&lt;&gt;"))</f>
        <v/>
      </c>
      <c r="T233" t="str">
        <f>Team_Level[[#This Row],[Team]]&amp;"-"&amp;Team_Level[[#This Row],[Chrono Rank]]</f>
        <v>Blackpool-</v>
      </c>
    </row>
    <row r="234" spans="1:20" x14ac:dyDescent="0.25">
      <c r="A234" t="s">
        <v>311</v>
      </c>
      <c r="B234" s="6">
        <v>46375</v>
      </c>
      <c r="C234" t="s">
        <v>4</v>
      </c>
      <c r="D234" t="s">
        <v>3</v>
      </c>
      <c r="K234">
        <v>1</v>
      </c>
      <c r="L234" t="s">
        <v>34</v>
      </c>
      <c r="Q234" t="str">
        <f>IF(Team_Level[[#This Row],[Result]]="","",COUNTIFS(Team_Level[Team],Team_Level[[#This Row],[Team]],Team_Level[Date],"&gt;="&amp;Team_Level[[#This Row],[Date]],Team_Level[Result],"&lt;&gt;"))</f>
        <v/>
      </c>
      <c r="R234" t="str">
        <f>Team_Level[[#This Row],[Team]]&amp;"-"&amp;Team_Level[[#This Row],[Recency Rank]]</f>
        <v>Bromley-</v>
      </c>
      <c r="S234" t="str">
        <f>IF(Team_Level[[#This Row],[Result]]="","",COUNTIFS(Team_Level[Team],Team_Level[[#This Row],[Team]],Team_Level[Date],"&lt;="&amp;Team_Level[[#This Row],[Date]],Team_Level[Result],"&lt;&gt;"))</f>
        <v/>
      </c>
      <c r="T234" t="str">
        <f>Team_Level[[#This Row],[Team]]&amp;"-"&amp;Team_Level[[#This Row],[Chrono Rank]]</f>
        <v>Bromley-</v>
      </c>
    </row>
    <row r="235" spans="1:20" x14ac:dyDescent="0.25">
      <c r="A235" t="s">
        <v>312</v>
      </c>
      <c r="B235" s="6">
        <v>46375</v>
      </c>
      <c r="C235" t="s">
        <v>10</v>
      </c>
      <c r="D235" t="s">
        <v>13</v>
      </c>
      <c r="K235">
        <v>1</v>
      </c>
      <c r="L235" t="s">
        <v>34</v>
      </c>
      <c r="Q235" t="str">
        <f>IF(Team_Level[[#This Row],[Result]]="","",COUNTIFS(Team_Level[Team],Team_Level[[#This Row],[Team]],Team_Level[Date],"&gt;="&amp;Team_Level[[#This Row],[Date]],Team_Level[Result],"&lt;&gt;"))</f>
        <v/>
      </c>
      <c r="R235" t="str">
        <f>Team_Level[[#This Row],[Team]]&amp;"-"&amp;Team_Level[[#This Row],[Recency Rank]]</f>
        <v>Leyton Orient-</v>
      </c>
      <c r="S235" t="str">
        <f>IF(Team_Level[[#This Row],[Result]]="","",COUNTIFS(Team_Level[Team],Team_Level[[#This Row],[Team]],Team_Level[Date],"&lt;="&amp;Team_Level[[#This Row],[Date]],Team_Level[Result],"&lt;&gt;"))</f>
        <v/>
      </c>
      <c r="T235" t="str">
        <f>Team_Level[[#This Row],[Team]]&amp;"-"&amp;Team_Level[[#This Row],[Chrono Rank]]</f>
        <v>Leyton Orient-</v>
      </c>
    </row>
    <row r="236" spans="1:20" x14ac:dyDescent="0.25">
      <c r="A236" t="s">
        <v>313</v>
      </c>
      <c r="B236" s="6">
        <v>46375</v>
      </c>
      <c r="C236" t="s">
        <v>16</v>
      </c>
      <c r="D236" t="s">
        <v>12</v>
      </c>
      <c r="K236">
        <v>1</v>
      </c>
      <c r="L236" t="s">
        <v>34</v>
      </c>
      <c r="Q236" t="str">
        <f>IF(Team_Level[[#This Row],[Result]]="","",COUNTIFS(Team_Level[Team],Team_Level[[#This Row],[Team]],Team_Level[Date],"&gt;="&amp;Team_Level[[#This Row],[Date]],Team_Level[Result],"&lt;&gt;"))</f>
        <v/>
      </c>
      <c r="R236" t="str">
        <f>Team_Level[[#This Row],[Team]]&amp;"-"&amp;Team_Level[[#This Row],[Recency Rank]]</f>
        <v>Plymouth Argyle-</v>
      </c>
      <c r="S236" t="str">
        <f>IF(Team_Level[[#This Row],[Result]]="","",COUNTIFS(Team_Level[Team],Team_Level[[#This Row],[Team]],Team_Level[Date],"&lt;="&amp;Team_Level[[#This Row],[Date]],Team_Level[Result],"&lt;&gt;"))</f>
        <v/>
      </c>
      <c r="T236" t="str">
        <f>Team_Level[[#This Row],[Team]]&amp;"-"&amp;Team_Level[[#This Row],[Chrono Rank]]</f>
        <v>Plymouth Argyle-</v>
      </c>
    </row>
    <row r="237" spans="1:20" x14ac:dyDescent="0.25">
      <c r="A237" t="s">
        <v>314</v>
      </c>
      <c r="B237" s="6">
        <v>46375</v>
      </c>
      <c r="C237" t="s">
        <v>17</v>
      </c>
      <c r="D237" t="s">
        <v>9</v>
      </c>
      <c r="K237">
        <v>1</v>
      </c>
      <c r="L237" t="s">
        <v>34</v>
      </c>
      <c r="Q237" t="str">
        <f>IF(Team_Level[[#This Row],[Result]]="","",COUNTIFS(Team_Level[Team],Team_Level[[#This Row],[Team]],Team_Level[Date],"&gt;="&amp;Team_Level[[#This Row],[Date]],Team_Level[Result],"&lt;&gt;"))</f>
        <v/>
      </c>
      <c r="R237" t="str">
        <f>Team_Level[[#This Row],[Team]]&amp;"-"&amp;Team_Level[[#This Row],[Recency Rank]]</f>
        <v>Reading-</v>
      </c>
      <c r="S237" t="str">
        <f>IF(Team_Level[[#This Row],[Result]]="","",COUNTIFS(Team_Level[Team],Team_Level[[#This Row],[Team]],Team_Level[Date],"&lt;="&amp;Team_Level[[#This Row],[Date]],Team_Level[Result],"&lt;&gt;"))</f>
        <v/>
      </c>
      <c r="T237" t="str">
        <f>Team_Level[[#This Row],[Team]]&amp;"-"&amp;Team_Level[[#This Row],[Chrono Rank]]</f>
        <v>Reading-</v>
      </c>
    </row>
    <row r="238" spans="1:20" x14ac:dyDescent="0.25">
      <c r="A238" t="s">
        <v>315</v>
      </c>
      <c r="B238" s="6">
        <v>46375</v>
      </c>
      <c r="C238" t="s">
        <v>18</v>
      </c>
      <c r="D238" t="s">
        <v>11</v>
      </c>
      <c r="K238">
        <v>1</v>
      </c>
      <c r="L238" t="s">
        <v>34</v>
      </c>
      <c r="Q238" t="str">
        <f>IF(Team_Level[[#This Row],[Result]]="","",COUNTIFS(Team_Level[Team],Team_Level[[#This Row],[Team]],Team_Level[Date],"&gt;="&amp;Team_Level[[#This Row],[Date]],Team_Level[Result],"&lt;&gt;"))</f>
        <v/>
      </c>
      <c r="R238" t="str">
        <f>Team_Level[[#This Row],[Team]]&amp;"-"&amp;Team_Level[[#This Row],[Recency Rank]]</f>
        <v>Sheffield Wednesday-</v>
      </c>
      <c r="S238" t="str">
        <f>IF(Team_Level[[#This Row],[Result]]="","",COUNTIFS(Team_Level[Team],Team_Level[[#This Row],[Team]],Team_Level[Date],"&lt;="&amp;Team_Level[[#This Row],[Date]],Team_Level[Result],"&lt;&gt;"))</f>
        <v/>
      </c>
      <c r="T238" t="str">
        <f>Team_Level[[#This Row],[Team]]&amp;"-"&amp;Team_Level[[#This Row],[Chrono Rank]]</f>
        <v>Sheffield Wednesday-</v>
      </c>
    </row>
    <row r="239" spans="1:20" x14ac:dyDescent="0.25">
      <c r="A239" t="s">
        <v>316</v>
      </c>
      <c r="B239" s="6">
        <v>46375</v>
      </c>
      <c r="C239" t="s">
        <v>20</v>
      </c>
      <c r="D239" t="s">
        <v>33</v>
      </c>
      <c r="K239">
        <v>1</v>
      </c>
      <c r="L239" t="s">
        <v>34</v>
      </c>
      <c r="Q239" t="str">
        <f>IF(Team_Level[[#This Row],[Result]]="","",COUNTIFS(Team_Level[Team],Team_Level[[#This Row],[Team]],Team_Level[Date],"&gt;="&amp;Team_Level[[#This Row],[Date]],Team_Level[Result],"&lt;&gt;"))</f>
        <v/>
      </c>
      <c r="R239" t="str">
        <f>Team_Level[[#This Row],[Team]]&amp;"-"&amp;Team_Level[[#This Row],[Recency Rank]]</f>
        <v>Stockport County-</v>
      </c>
      <c r="S239" t="str">
        <f>IF(Team_Level[[#This Row],[Result]]="","",COUNTIFS(Team_Level[Team],Team_Level[[#This Row],[Team]],Team_Level[Date],"&lt;="&amp;Team_Level[[#This Row],[Date]],Team_Level[Result],"&lt;&gt;"))</f>
        <v/>
      </c>
      <c r="T239" t="str">
        <f>Team_Level[[#This Row],[Team]]&amp;"-"&amp;Team_Level[[#This Row],[Chrono Rank]]</f>
        <v>Stockport County-</v>
      </c>
    </row>
    <row r="240" spans="1:20" x14ac:dyDescent="0.25">
      <c r="A240" t="s">
        <v>317</v>
      </c>
      <c r="B240" s="6">
        <v>46375</v>
      </c>
      <c r="C240" t="s">
        <v>21</v>
      </c>
      <c r="D240" t="s">
        <v>15</v>
      </c>
      <c r="K240">
        <v>1</v>
      </c>
      <c r="L240" t="s">
        <v>34</v>
      </c>
      <c r="Q240" t="str">
        <f>IF(Team_Level[[#This Row],[Result]]="","",COUNTIFS(Team_Level[Team],Team_Level[[#This Row],[Team]],Team_Level[Date],"&gt;="&amp;Team_Level[[#This Row],[Date]],Team_Level[Result],"&lt;&gt;"))</f>
        <v/>
      </c>
      <c r="R240" t="str">
        <f>Team_Level[[#This Row],[Team]]&amp;"-"&amp;Team_Level[[#This Row],[Recency Rank]]</f>
        <v>Wigan Athletic-</v>
      </c>
      <c r="S240" t="str">
        <f>IF(Team_Level[[#This Row],[Result]]="","",COUNTIFS(Team_Level[Team],Team_Level[[#This Row],[Team]],Team_Level[Date],"&lt;="&amp;Team_Level[[#This Row],[Date]],Team_Level[Result],"&lt;&gt;"))</f>
        <v/>
      </c>
      <c r="T240" t="str">
        <f>Team_Level[[#This Row],[Team]]&amp;"-"&amp;Team_Level[[#This Row],[Chrono Rank]]</f>
        <v>Wigan Athletic-</v>
      </c>
    </row>
    <row r="241" spans="1:20" x14ac:dyDescent="0.25">
      <c r="A241" t="s">
        <v>318</v>
      </c>
      <c r="B241" s="6">
        <v>46375</v>
      </c>
      <c r="C241" t="s">
        <v>22</v>
      </c>
      <c r="D241" t="s">
        <v>7</v>
      </c>
      <c r="K241">
        <v>1</v>
      </c>
      <c r="L241" t="s">
        <v>34</v>
      </c>
      <c r="Q241" t="str">
        <f>IF(Team_Level[[#This Row],[Result]]="","",COUNTIFS(Team_Level[Team],Team_Level[[#This Row],[Team]],Team_Level[Date],"&gt;="&amp;Team_Level[[#This Row],[Date]],Team_Level[Result],"&lt;&gt;"))</f>
        <v/>
      </c>
      <c r="R241" t="str">
        <f>Team_Level[[#This Row],[Team]]&amp;"-"&amp;Team_Level[[#This Row],[Recency Rank]]</f>
        <v>Wycombe Wanderers-</v>
      </c>
      <c r="S241" t="str">
        <f>IF(Team_Level[[#This Row],[Result]]="","",COUNTIFS(Team_Level[Team],Team_Level[[#This Row],[Team]],Team_Level[Date],"&lt;="&amp;Team_Level[[#This Row],[Date]],Team_Level[Result],"&lt;&gt;"))</f>
        <v/>
      </c>
      <c r="T241" t="str">
        <f>Team_Level[[#This Row],[Team]]&amp;"-"&amp;Team_Level[[#This Row],[Chrono Rank]]</f>
        <v>Wycombe Wanderers-</v>
      </c>
    </row>
    <row r="242" spans="1:20" x14ac:dyDescent="0.25">
      <c r="A242" t="s">
        <v>319</v>
      </c>
      <c r="B242" s="6">
        <v>46382</v>
      </c>
      <c r="C242" t="s">
        <v>3</v>
      </c>
      <c r="D242" t="s">
        <v>20</v>
      </c>
      <c r="K242">
        <v>1</v>
      </c>
      <c r="L242" t="s">
        <v>34</v>
      </c>
      <c r="Q242" t="str">
        <f>IF(Team_Level[[#This Row],[Result]]="","",COUNTIFS(Team_Level[Team],Team_Level[[#This Row],[Team]],Team_Level[Date],"&gt;="&amp;Team_Level[[#This Row],[Date]],Team_Level[Result],"&lt;&gt;"))</f>
        <v/>
      </c>
      <c r="R242" t="str">
        <f>Team_Level[[#This Row],[Team]]&amp;"-"&amp;Team_Level[[#This Row],[Recency Rank]]</f>
        <v>Bradford City-</v>
      </c>
      <c r="S242" t="str">
        <f>IF(Team_Level[[#This Row],[Result]]="","",COUNTIFS(Team_Level[Team],Team_Level[[#This Row],[Team]],Team_Level[Date],"&lt;="&amp;Team_Level[[#This Row],[Date]],Team_Level[Result],"&lt;&gt;"))</f>
        <v/>
      </c>
      <c r="T242" t="str">
        <f>Team_Level[[#This Row],[Team]]&amp;"-"&amp;Team_Level[[#This Row],[Chrono Rank]]</f>
        <v>Bradford City-</v>
      </c>
    </row>
    <row r="243" spans="1:20" x14ac:dyDescent="0.25">
      <c r="A243" t="s">
        <v>320</v>
      </c>
      <c r="B243" s="6">
        <v>46382</v>
      </c>
      <c r="C243" t="s">
        <v>5</v>
      </c>
      <c r="D243" t="s">
        <v>18</v>
      </c>
      <c r="K243">
        <v>1</v>
      </c>
      <c r="L243" t="s">
        <v>34</v>
      </c>
      <c r="Q243" t="str">
        <f>IF(Team_Level[[#This Row],[Result]]="","",COUNTIFS(Team_Level[Team],Team_Level[[#This Row],[Team]],Team_Level[Date],"&gt;="&amp;Team_Level[[#This Row],[Date]],Team_Level[Result],"&lt;&gt;"))</f>
        <v/>
      </c>
      <c r="R243" t="str">
        <f>Team_Level[[#This Row],[Team]]&amp;"-"&amp;Team_Level[[#This Row],[Recency Rank]]</f>
        <v>Burton Albion-</v>
      </c>
      <c r="S243" t="str">
        <f>IF(Team_Level[[#This Row],[Result]]="","",COUNTIFS(Team_Level[Team],Team_Level[[#This Row],[Team]],Team_Level[Date],"&lt;="&amp;Team_Level[[#This Row],[Date]],Team_Level[Result],"&lt;&gt;"))</f>
        <v/>
      </c>
      <c r="T243" t="str">
        <f>Team_Level[[#This Row],[Team]]&amp;"-"&amp;Team_Level[[#This Row],[Chrono Rank]]</f>
        <v>Burton Albion-</v>
      </c>
    </row>
    <row r="244" spans="1:20" x14ac:dyDescent="0.25">
      <c r="A244" t="s">
        <v>321</v>
      </c>
      <c r="B244" s="6">
        <v>46382</v>
      </c>
      <c r="C244" t="s">
        <v>7</v>
      </c>
      <c r="D244" t="s">
        <v>21</v>
      </c>
      <c r="K244">
        <v>1</v>
      </c>
      <c r="L244" t="s">
        <v>34</v>
      </c>
      <c r="Q244" t="str">
        <f>IF(Team_Level[[#This Row],[Result]]="","",COUNTIFS(Team_Level[Team],Team_Level[[#This Row],[Team]],Team_Level[Date],"&gt;="&amp;Team_Level[[#This Row],[Date]],Team_Level[Result],"&lt;&gt;"))</f>
        <v/>
      </c>
      <c r="R244" t="str">
        <f>Team_Level[[#This Row],[Team]]&amp;"-"&amp;Team_Level[[#This Row],[Recency Rank]]</f>
        <v>Doncaster Rovers-</v>
      </c>
      <c r="S244" t="str">
        <f>IF(Team_Level[[#This Row],[Result]]="","",COUNTIFS(Team_Level[Team],Team_Level[[#This Row],[Team]],Team_Level[Date],"&lt;="&amp;Team_Level[[#This Row],[Date]],Team_Level[Result],"&lt;&gt;"))</f>
        <v/>
      </c>
      <c r="T244" t="str">
        <f>Team_Level[[#This Row],[Team]]&amp;"-"&amp;Team_Level[[#This Row],[Chrono Rank]]</f>
        <v>Doncaster Rovers-</v>
      </c>
    </row>
    <row r="245" spans="1:20" x14ac:dyDescent="0.25">
      <c r="A245" t="s">
        <v>322</v>
      </c>
      <c r="B245" s="6">
        <v>46382</v>
      </c>
      <c r="C245" t="s">
        <v>8</v>
      </c>
      <c r="D245" t="s">
        <v>2</v>
      </c>
      <c r="K245">
        <v>1</v>
      </c>
      <c r="L245" t="s">
        <v>34</v>
      </c>
      <c r="Q245" t="str">
        <f>IF(Team_Level[[#This Row],[Result]]="","",COUNTIFS(Team_Level[Team],Team_Level[[#This Row],[Team]],Team_Level[Date],"&gt;="&amp;Team_Level[[#This Row],[Date]],Team_Level[Result],"&lt;&gt;"))</f>
        <v/>
      </c>
      <c r="R245" t="str">
        <f>Team_Level[[#This Row],[Team]]&amp;"-"&amp;Team_Level[[#This Row],[Recency Rank]]</f>
        <v>Huddersfield Town-</v>
      </c>
      <c r="S245" t="str">
        <f>IF(Team_Level[[#This Row],[Result]]="","",COUNTIFS(Team_Level[Team],Team_Level[[#This Row],[Team]],Team_Level[Date],"&lt;="&amp;Team_Level[[#This Row],[Date]],Team_Level[Result],"&lt;&gt;"))</f>
        <v/>
      </c>
      <c r="T245" t="str">
        <f>Team_Level[[#This Row],[Team]]&amp;"-"&amp;Team_Level[[#This Row],[Chrono Rank]]</f>
        <v>Huddersfield Town-</v>
      </c>
    </row>
    <row r="246" spans="1:20" x14ac:dyDescent="0.25">
      <c r="A246" t="s">
        <v>323</v>
      </c>
      <c r="B246" s="6">
        <v>46382</v>
      </c>
      <c r="C246" t="s">
        <v>9</v>
      </c>
      <c r="D246" t="s">
        <v>0</v>
      </c>
      <c r="K246">
        <v>1</v>
      </c>
      <c r="L246" t="s">
        <v>34</v>
      </c>
      <c r="Q246" t="str">
        <f>IF(Team_Level[[#This Row],[Result]]="","",COUNTIFS(Team_Level[Team],Team_Level[[#This Row],[Team]],Team_Level[Date],"&gt;="&amp;Team_Level[[#This Row],[Date]],Team_Level[Result],"&lt;&gt;"))</f>
        <v/>
      </c>
      <c r="R246" t="str">
        <f>Team_Level[[#This Row],[Team]]&amp;"-"&amp;Team_Level[[#This Row],[Recency Rank]]</f>
        <v>Leicester City-</v>
      </c>
      <c r="S246" t="str">
        <f>IF(Team_Level[[#This Row],[Result]]="","",COUNTIFS(Team_Level[Team],Team_Level[[#This Row],[Team]],Team_Level[Date],"&lt;="&amp;Team_Level[[#This Row],[Date]],Team_Level[Result],"&lt;&gt;"))</f>
        <v/>
      </c>
      <c r="T246" t="str">
        <f>Team_Level[[#This Row],[Team]]&amp;"-"&amp;Team_Level[[#This Row],[Chrono Rank]]</f>
        <v>Leicester City-</v>
      </c>
    </row>
    <row r="247" spans="1:20" x14ac:dyDescent="0.25">
      <c r="A247" t="s">
        <v>324</v>
      </c>
      <c r="B247" s="6">
        <v>46382</v>
      </c>
      <c r="C247" t="s">
        <v>11</v>
      </c>
      <c r="D247" t="s">
        <v>4</v>
      </c>
      <c r="K247">
        <v>1</v>
      </c>
      <c r="L247" t="s">
        <v>34</v>
      </c>
      <c r="Q247" t="str">
        <f>IF(Team_Level[[#This Row],[Result]]="","",COUNTIFS(Team_Level[Team],Team_Level[[#This Row],[Team]],Team_Level[Date],"&gt;="&amp;Team_Level[[#This Row],[Date]],Team_Level[Result],"&lt;&gt;"))</f>
        <v/>
      </c>
      <c r="R247" t="str">
        <f>Team_Level[[#This Row],[Team]]&amp;"-"&amp;Team_Level[[#This Row],[Recency Rank]]</f>
        <v>Luton Town-</v>
      </c>
      <c r="S247" t="str">
        <f>IF(Team_Level[[#This Row],[Result]]="","",COUNTIFS(Team_Level[Team],Team_Level[[#This Row],[Team]],Team_Level[Date],"&lt;="&amp;Team_Level[[#This Row],[Date]],Team_Level[Result],"&lt;&gt;"))</f>
        <v/>
      </c>
      <c r="T247" t="str">
        <f>Team_Level[[#This Row],[Team]]&amp;"-"&amp;Team_Level[[#This Row],[Chrono Rank]]</f>
        <v>Luton Town-</v>
      </c>
    </row>
    <row r="248" spans="1:20" x14ac:dyDescent="0.25">
      <c r="A248" t="s">
        <v>325</v>
      </c>
      <c r="B248" s="6">
        <v>46382</v>
      </c>
      <c r="C248" t="s">
        <v>12</v>
      </c>
      <c r="D248" t="s">
        <v>1</v>
      </c>
      <c r="K248">
        <v>1</v>
      </c>
      <c r="L248" t="s">
        <v>34</v>
      </c>
      <c r="Q248" t="str">
        <f>IF(Team_Level[[#This Row],[Result]]="","",COUNTIFS(Team_Level[Team],Team_Level[[#This Row],[Team]],Team_Level[Date],"&gt;="&amp;Team_Level[[#This Row],[Date]],Team_Level[Result],"&lt;&gt;"))</f>
        <v/>
      </c>
      <c r="R248" t="str">
        <f>Team_Level[[#This Row],[Team]]&amp;"-"&amp;Team_Level[[#This Row],[Recency Rank]]</f>
        <v>Mansfield Town-</v>
      </c>
      <c r="S248" t="str">
        <f>IF(Team_Level[[#This Row],[Result]]="","",COUNTIFS(Team_Level[Team],Team_Level[[#This Row],[Team]],Team_Level[Date],"&lt;="&amp;Team_Level[[#This Row],[Date]],Team_Level[Result],"&lt;&gt;"))</f>
        <v/>
      </c>
      <c r="T248" t="str">
        <f>Team_Level[[#This Row],[Team]]&amp;"-"&amp;Team_Level[[#This Row],[Chrono Rank]]</f>
        <v>Mansfield Town-</v>
      </c>
    </row>
    <row r="249" spans="1:20" x14ac:dyDescent="0.25">
      <c r="A249" t="s">
        <v>326</v>
      </c>
      <c r="B249" s="6">
        <v>46382</v>
      </c>
      <c r="C249" t="s">
        <v>33</v>
      </c>
      <c r="D249" t="s">
        <v>10</v>
      </c>
      <c r="K249">
        <v>1</v>
      </c>
      <c r="L249" t="s">
        <v>34</v>
      </c>
      <c r="Q249" t="str">
        <f>IF(Team_Level[[#This Row],[Result]]="","",COUNTIFS(Team_Level[Team],Team_Level[[#This Row],[Team]],Team_Level[Date],"&gt;="&amp;Team_Level[[#This Row],[Date]],Team_Level[Result],"&lt;&gt;"))</f>
        <v/>
      </c>
      <c r="R249" t="str">
        <f>Team_Level[[#This Row],[Team]]&amp;"-"&amp;Team_Level[[#This Row],[Recency Rank]]</f>
        <v>Milton Keynes Dons-</v>
      </c>
      <c r="S249" t="str">
        <f>IF(Team_Level[[#This Row],[Result]]="","",COUNTIFS(Team_Level[Team],Team_Level[[#This Row],[Team]],Team_Level[Date],"&lt;="&amp;Team_Level[[#This Row],[Date]],Team_Level[Result],"&lt;&gt;"))</f>
        <v/>
      </c>
      <c r="T249" t="str">
        <f>Team_Level[[#This Row],[Team]]&amp;"-"&amp;Team_Level[[#This Row],[Chrono Rank]]</f>
        <v>Milton Keynes Dons-</v>
      </c>
    </row>
    <row r="250" spans="1:20" x14ac:dyDescent="0.25">
      <c r="A250" t="s">
        <v>327</v>
      </c>
      <c r="B250" s="6">
        <v>46382</v>
      </c>
      <c r="C250" t="s">
        <v>13</v>
      </c>
      <c r="D250" t="s">
        <v>6</v>
      </c>
      <c r="K250">
        <v>1</v>
      </c>
      <c r="L250" t="s">
        <v>34</v>
      </c>
      <c r="Q250" t="str">
        <f>IF(Team_Level[[#This Row],[Result]]="","",COUNTIFS(Team_Level[Team],Team_Level[[#This Row],[Team]],Team_Level[Date],"&gt;="&amp;Team_Level[[#This Row],[Date]],Team_Level[Result],"&lt;&gt;"))</f>
        <v/>
      </c>
      <c r="R250" t="str">
        <f>Team_Level[[#This Row],[Team]]&amp;"-"&amp;Team_Level[[#This Row],[Recency Rank]]</f>
        <v>Notts County-</v>
      </c>
      <c r="S250" t="str">
        <f>IF(Team_Level[[#This Row],[Result]]="","",COUNTIFS(Team_Level[Team],Team_Level[[#This Row],[Team]],Team_Level[Date],"&lt;="&amp;Team_Level[[#This Row],[Date]],Team_Level[Result],"&lt;&gt;"))</f>
        <v/>
      </c>
      <c r="T250" t="str">
        <f>Team_Level[[#This Row],[Team]]&amp;"-"&amp;Team_Level[[#This Row],[Chrono Rank]]</f>
        <v>Notts County-</v>
      </c>
    </row>
    <row r="251" spans="1:20" x14ac:dyDescent="0.25">
      <c r="A251" t="s">
        <v>328</v>
      </c>
      <c r="B251" s="6">
        <v>46382</v>
      </c>
      <c r="C251" t="s">
        <v>14</v>
      </c>
      <c r="D251" t="s">
        <v>16</v>
      </c>
      <c r="K251">
        <v>1</v>
      </c>
      <c r="L251" t="s">
        <v>34</v>
      </c>
      <c r="Q251" t="str">
        <f>IF(Team_Level[[#This Row],[Result]]="","",COUNTIFS(Team_Level[Team],Team_Level[[#This Row],[Team]],Team_Level[Date],"&gt;="&amp;Team_Level[[#This Row],[Date]],Team_Level[Result],"&lt;&gt;"))</f>
        <v/>
      </c>
      <c r="R251" t="str">
        <f>Team_Level[[#This Row],[Team]]&amp;"-"&amp;Team_Level[[#This Row],[Recency Rank]]</f>
        <v>Oxford United-</v>
      </c>
      <c r="S251" t="str">
        <f>IF(Team_Level[[#This Row],[Result]]="","",COUNTIFS(Team_Level[Team],Team_Level[[#This Row],[Team]],Team_Level[Date],"&lt;="&amp;Team_Level[[#This Row],[Date]],Team_Level[Result],"&lt;&gt;"))</f>
        <v/>
      </c>
      <c r="T251" t="str">
        <f>Team_Level[[#This Row],[Team]]&amp;"-"&amp;Team_Level[[#This Row],[Chrono Rank]]</f>
        <v>Oxford United-</v>
      </c>
    </row>
    <row r="252" spans="1:20" x14ac:dyDescent="0.25">
      <c r="A252" t="s">
        <v>329</v>
      </c>
      <c r="B252" s="6">
        <v>46382</v>
      </c>
      <c r="C252" t="s">
        <v>15</v>
      </c>
      <c r="D252" t="s">
        <v>22</v>
      </c>
      <c r="K252">
        <v>1</v>
      </c>
      <c r="L252" t="s">
        <v>34</v>
      </c>
      <c r="Q252" t="str">
        <f>IF(Team_Level[[#This Row],[Result]]="","",COUNTIFS(Team_Level[Team],Team_Level[[#This Row],[Team]],Team_Level[Date],"&gt;="&amp;Team_Level[[#This Row],[Date]],Team_Level[Result],"&lt;&gt;"))</f>
        <v/>
      </c>
      <c r="R252" t="str">
        <f>Team_Level[[#This Row],[Team]]&amp;"-"&amp;Team_Level[[#This Row],[Recency Rank]]</f>
        <v>Peterborough United-</v>
      </c>
      <c r="S252" t="str">
        <f>IF(Team_Level[[#This Row],[Result]]="","",COUNTIFS(Team_Level[Team],Team_Level[[#This Row],[Team]],Team_Level[Date],"&lt;="&amp;Team_Level[[#This Row],[Date]],Team_Level[Result],"&lt;&gt;"))</f>
        <v/>
      </c>
      <c r="T252" t="str">
        <f>Team_Level[[#This Row],[Team]]&amp;"-"&amp;Team_Level[[#This Row],[Chrono Rank]]</f>
        <v>Peterborough United-</v>
      </c>
    </row>
    <row r="253" spans="1:20" x14ac:dyDescent="0.25">
      <c r="A253" t="s">
        <v>330</v>
      </c>
      <c r="B253" s="6">
        <v>46382</v>
      </c>
      <c r="C253" t="s">
        <v>19</v>
      </c>
      <c r="D253" t="s">
        <v>17</v>
      </c>
      <c r="K253">
        <v>1</v>
      </c>
      <c r="L253" t="s">
        <v>34</v>
      </c>
      <c r="Q253" t="str">
        <f>IF(Team_Level[[#This Row],[Result]]="","",COUNTIFS(Team_Level[Team],Team_Level[[#This Row],[Team]],Team_Level[Date],"&gt;="&amp;Team_Level[[#This Row],[Date]],Team_Level[Result],"&lt;&gt;"))</f>
        <v/>
      </c>
      <c r="R253" t="str">
        <f>Team_Level[[#This Row],[Team]]&amp;"-"&amp;Team_Level[[#This Row],[Recency Rank]]</f>
        <v>Stevenage-</v>
      </c>
      <c r="S253" t="str">
        <f>IF(Team_Level[[#This Row],[Result]]="","",COUNTIFS(Team_Level[Team],Team_Level[[#This Row],[Team]],Team_Level[Date],"&lt;="&amp;Team_Level[[#This Row],[Date]],Team_Level[Result],"&lt;&gt;"))</f>
        <v/>
      </c>
      <c r="T253" t="str">
        <f>Team_Level[[#This Row],[Team]]&amp;"-"&amp;Team_Level[[#This Row],[Chrono Rank]]</f>
        <v>Stevenage-</v>
      </c>
    </row>
    <row r="254" spans="1:20" x14ac:dyDescent="0.25">
      <c r="A254" t="s">
        <v>331</v>
      </c>
      <c r="B254" s="6">
        <v>46385</v>
      </c>
      <c r="C254" t="s">
        <v>0</v>
      </c>
      <c r="D254" t="s">
        <v>11</v>
      </c>
      <c r="K254">
        <v>1</v>
      </c>
      <c r="L254" t="s">
        <v>34</v>
      </c>
      <c r="Q254" t="str">
        <f>IF(Team_Level[[#This Row],[Result]]="","",COUNTIFS(Team_Level[Team],Team_Level[[#This Row],[Team]],Team_Level[Date],"&gt;="&amp;Team_Level[[#This Row],[Date]],Team_Level[Result],"&lt;&gt;"))</f>
        <v/>
      </c>
      <c r="R254" t="str">
        <f>Team_Level[[#This Row],[Team]]&amp;"-"&amp;Team_Level[[#This Row],[Recency Rank]]</f>
        <v>AFC Wimbledon-</v>
      </c>
      <c r="S254" t="str">
        <f>IF(Team_Level[[#This Row],[Result]]="","",COUNTIFS(Team_Level[Team],Team_Level[[#This Row],[Team]],Team_Level[Date],"&lt;="&amp;Team_Level[[#This Row],[Date]],Team_Level[Result],"&lt;&gt;"))</f>
        <v/>
      </c>
      <c r="T254" t="str">
        <f>Team_Level[[#This Row],[Team]]&amp;"-"&amp;Team_Level[[#This Row],[Chrono Rank]]</f>
        <v>AFC Wimbledon-</v>
      </c>
    </row>
    <row r="255" spans="1:20" x14ac:dyDescent="0.25">
      <c r="A255" t="s">
        <v>332</v>
      </c>
      <c r="B255" s="6">
        <v>46385</v>
      </c>
      <c r="C255" t="s">
        <v>1</v>
      </c>
      <c r="D255" t="s">
        <v>5</v>
      </c>
      <c r="K255">
        <v>1</v>
      </c>
      <c r="L255" t="s">
        <v>34</v>
      </c>
      <c r="Q255" t="str">
        <f>IF(Team_Level[[#This Row],[Result]]="","",COUNTIFS(Team_Level[Team],Team_Level[[#This Row],[Team]],Team_Level[Date],"&gt;="&amp;Team_Level[[#This Row],[Date]],Team_Level[Result],"&lt;&gt;"))</f>
        <v/>
      </c>
      <c r="R255" t="str">
        <f>Team_Level[[#This Row],[Team]]&amp;"-"&amp;Team_Level[[#This Row],[Recency Rank]]</f>
        <v>Barnsley-</v>
      </c>
      <c r="S255" t="str">
        <f>IF(Team_Level[[#This Row],[Result]]="","",COUNTIFS(Team_Level[Team],Team_Level[[#This Row],[Team]],Team_Level[Date],"&lt;="&amp;Team_Level[[#This Row],[Date]],Team_Level[Result],"&lt;&gt;"))</f>
        <v/>
      </c>
      <c r="T255" t="str">
        <f>Team_Level[[#This Row],[Team]]&amp;"-"&amp;Team_Level[[#This Row],[Chrono Rank]]</f>
        <v>Barnsley-</v>
      </c>
    </row>
    <row r="256" spans="1:20" x14ac:dyDescent="0.25">
      <c r="A256" t="s">
        <v>333</v>
      </c>
      <c r="B256" s="6">
        <v>46385</v>
      </c>
      <c r="C256" t="s">
        <v>2</v>
      </c>
      <c r="D256" t="s">
        <v>3</v>
      </c>
      <c r="K256">
        <v>1</v>
      </c>
      <c r="L256" t="s">
        <v>34</v>
      </c>
      <c r="Q256" t="str">
        <f>IF(Team_Level[[#This Row],[Result]]="","",COUNTIFS(Team_Level[Team],Team_Level[[#This Row],[Team]],Team_Level[Date],"&gt;="&amp;Team_Level[[#This Row],[Date]],Team_Level[Result],"&lt;&gt;"))</f>
        <v/>
      </c>
      <c r="R256" t="str">
        <f>Team_Level[[#This Row],[Team]]&amp;"-"&amp;Team_Level[[#This Row],[Recency Rank]]</f>
        <v>Blackpool-</v>
      </c>
      <c r="S256" t="str">
        <f>IF(Team_Level[[#This Row],[Result]]="","",COUNTIFS(Team_Level[Team],Team_Level[[#This Row],[Team]],Team_Level[Date],"&lt;="&amp;Team_Level[[#This Row],[Date]],Team_Level[Result],"&lt;&gt;"))</f>
        <v/>
      </c>
      <c r="T256" t="str">
        <f>Team_Level[[#This Row],[Team]]&amp;"-"&amp;Team_Level[[#This Row],[Chrono Rank]]</f>
        <v>Blackpool-</v>
      </c>
    </row>
    <row r="257" spans="1:20" x14ac:dyDescent="0.25">
      <c r="A257" t="s">
        <v>334</v>
      </c>
      <c r="B257" s="6">
        <v>46385</v>
      </c>
      <c r="C257" t="s">
        <v>4</v>
      </c>
      <c r="D257" t="s">
        <v>14</v>
      </c>
      <c r="K257">
        <v>1</v>
      </c>
      <c r="L257" t="s">
        <v>34</v>
      </c>
      <c r="Q257" t="str">
        <f>IF(Team_Level[[#This Row],[Result]]="","",COUNTIFS(Team_Level[Team],Team_Level[[#This Row],[Team]],Team_Level[Date],"&gt;="&amp;Team_Level[[#This Row],[Date]],Team_Level[Result],"&lt;&gt;"))</f>
        <v/>
      </c>
      <c r="R257" t="str">
        <f>Team_Level[[#This Row],[Team]]&amp;"-"&amp;Team_Level[[#This Row],[Recency Rank]]</f>
        <v>Bromley-</v>
      </c>
      <c r="S257" t="str">
        <f>IF(Team_Level[[#This Row],[Result]]="","",COUNTIFS(Team_Level[Team],Team_Level[[#This Row],[Team]],Team_Level[Date],"&lt;="&amp;Team_Level[[#This Row],[Date]],Team_Level[Result],"&lt;&gt;"))</f>
        <v/>
      </c>
      <c r="T257" t="str">
        <f>Team_Level[[#This Row],[Team]]&amp;"-"&amp;Team_Level[[#This Row],[Chrono Rank]]</f>
        <v>Bromley-</v>
      </c>
    </row>
    <row r="258" spans="1:20" x14ac:dyDescent="0.25">
      <c r="A258" t="s">
        <v>335</v>
      </c>
      <c r="B258" s="6">
        <v>46385</v>
      </c>
      <c r="C258" t="s">
        <v>6</v>
      </c>
      <c r="D258" t="s">
        <v>7</v>
      </c>
      <c r="K258">
        <v>1</v>
      </c>
      <c r="L258" t="s">
        <v>34</v>
      </c>
      <c r="Q258" t="str">
        <f>IF(Team_Level[[#This Row],[Result]]="","",COUNTIFS(Team_Level[Team],Team_Level[[#This Row],[Team]],Team_Level[Date],"&gt;="&amp;Team_Level[[#This Row],[Date]],Team_Level[Result],"&lt;&gt;"))</f>
        <v/>
      </c>
      <c r="R258" t="str">
        <f>Team_Level[[#This Row],[Team]]&amp;"-"&amp;Team_Level[[#This Row],[Recency Rank]]</f>
        <v>Cambridge United-</v>
      </c>
      <c r="S258" t="str">
        <f>IF(Team_Level[[#This Row],[Result]]="","",COUNTIFS(Team_Level[Team],Team_Level[[#This Row],[Team]],Team_Level[Date],"&lt;="&amp;Team_Level[[#This Row],[Date]],Team_Level[Result],"&lt;&gt;"))</f>
        <v/>
      </c>
      <c r="T258" t="str">
        <f>Team_Level[[#This Row],[Team]]&amp;"-"&amp;Team_Level[[#This Row],[Chrono Rank]]</f>
        <v>Cambridge United-</v>
      </c>
    </row>
    <row r="259" spans="1:20" x14ac:dyDescent="0.25">
      <c r="A259" t="s">
        <v>336</v>
      </c>
      <c r="B259" s="6">
        <v>46385</v>
      </c>
      <c r="C259" t="s">
        <v>10</v>
      </c>
      <c r="D259" t="s">
        <v>9</v>
      </c>
      <c r="K259">
        <v>1</v>
      </c>
      <c r="L259" t="s">
        <v>34</v>
      </c>
      <c r="Q259" t="str">
        <f>IF(Team_Level[[#This Row],[Result]]="","",COUNTIFS(Team_Level[Team],Team_Level[[#This Row],[Team]],Team_Level[Date],"&gt;="&amp;Team_Level[[#This Row],[Date]],Team_Level[Result],"&lt;&gt;"))</f>
        <v/>
      </c>
      <c r="R259" t="str">
        <f>Team_Level[[#This Row],[Team]]&amp;"-"&amp;Team_Level[[#This Row],[Recency Rank]]</f>
        <v>Leyton Orient-</v>
      </c>
      <c r="S259" t="str">
        <f>IF(Team_Level[[#This Row],[Result]]="","",COUNTIFS(Team_Level[Team],Team_Level[[#This Row],[Team]],Team_Level[Date],"&lt;="&amp;Team_Level[[#This Row],[Date]],Team_Level[Result],"&lt;&gt;"))</f>
        <v/>
      </c>
      <c r="T259" t="str">
        <f>Team_Level[[#This Row],[Team]]&amp;"-"&amp;Team_Level[[#This Row],[Chrono Rank]]</f>
        <v>Leyton Orient-</v>
      </c>
    </row>
    <row r="260" spans="1:20" x14ac:dyDescent="0.25">
      <c r="A260" t="s">
        <v>337</v>
      </c>
      <c r="B260" s="6">
        <v>46385</v>
      </c>
      <c r="C260" t="s">
        <v>16</v>
      </c>
      <c r="D260" t="s">
        <v>33</v>
      </c>
      <c r="K260">
        <v>1</v>
      </c>
      <c r="L260" t="s">
        <v>34</v>
      </c>
      <c r="Q260" t="str">
        <f>IF(Team_Level[[#This Row],[Result]]="","",COUNTIFS(Team_Level[Team],Team_Level[[#This Row],[Team]],Team_Level[Date],"&gt;="&amp;Team_Level[[#This Row],[Date]],Team_Level[Result],"&lt;&gt;"))</f>
        <v/>
      </c>
      <c r="R260" t="str">
        <f>Team_Level[[#This Row],[Team]]&amp;"-"&amp;Team_Level[[#This Row],[Recency Rank]]</f>
        <v>Plymouth Argyle-</v>
      </c>
      <c r="S260" t="str">
        <f>IF(Team_Level[[#This Row],[Result]]="","",COUNTIFS(Team_Level[Team],Team_Level[[#This Row],[Team]],Team_Level[Date],"&lt;="&amp;Team_Level[[#This Row],[Date]],Team_Level[Result],"&lt;&gt;"))</f>
        <v/>
      </c>
      <c r="T260" t="str">
        <f>Team_Level[[#This Row],[Team]]&amp;"-"&amp;Team_Level[[#This Row],[Chrono Rank]]</f>
        <v>Plymouth Argyle-</v>
      </c>
    </row>
    <row r="261" spans="1:20" x14ac:dyDescent="0.25">
      <c r="A261" t="s">
        <v>338</v>
      </c>
      <c r="B261" s="6">
        <v>46385</v>
      </c>
      <c r="C261" t="s">
        <v>17</v>
      </c>
      <c r="D261" t="s">
        <v>15</v>
      </c>
      <c r="K261">
        <v>1</v>
      </c>
      <c r="L261" t="s">
        <v>34</v>
      </c>
      <c r="Q261" t="str">
        <f>IF(Team_Level[[#This Row],[Result]]="","",COUNTIFS(Team_Level[Team],Team_Level[[#This Row],[Team]],Team_Level[Date],"&gt;="&amp;Team_Level[[#This Row],[Date]],Team_Level[Result],"&lt;&gt;"))</f>
        <v/>
      </c>
      <c r="R261" t="str">
        <f>Team_Level[[#This Row],[Team]]&amp;"-"&amp;Team_Level[[#This Row],[Recency Rank]]</f>
        <v>Reading-</v>
      </c>
      <c r="S261" t="str">
        <f>IF(Team_Level[[#This Row],[Result]]="","",COUNTIFS(Team_Level[Team],Team_Level[[#This Row],[Team]],Team_Level[Date],"&lt;="&amp;Team_Level[[#This Row],[Date]],Team_Level[Result],"&lt;&gt;"))</f>
        <v/>
      </c>
      <c r="T261" t="str">
        <f>Team_Level[[#This Row],[Team]]&amp;"-"&amp;Team_Level[[#This Row],[Chrono Rank]]</f>
        <v>Reading-</v>
      </c>
    </row>
    <row r="262" spans="1:20" x14ac:dyDescent="0.25">
      <c r="A262" t="s">
        <v>339</v>
      </c>
      <c r="B262" s="6">
        <v>46385</v>
      </c>
      <c r="C262" t="s">
        <v>18</v>
      </c>
      <c r="D262" t="s">
        <v>12</v>
      </c>
      <c r="K262">
        <v>1</v>
      </c>
      <c r="L262" t="s">
        <v>34</v>
      </c>
      <c r="Q262" t="str">
        <f>IF(Team_Level[[#This Row],[Result]]="","",COUNTIFS(Team_Level[Team],Team_Level[[#This Row],[Team]],Team_Level[Date],"&gt;="&amp;Team_Level[[#This Row],[Date]],Team_Level[Result],"&lt;&gt;"))</f>
        <v/>
      </c>
      <c r="R262" t="str">
        <f>Team_Level[[#This Row],[Team]]&amp;"-"&amp;Team_Level[[#This Row],[Recency Rank]]</f>
        <v>Sheffield Wednesday-</v>
      </c>
      <c r="S262" t="str">
        <f>IF(Team_Level[[#This Row],[Result]]="","",COUNTIFS(Team_Level[Team],Team_Level[[#This Row],[Team]],Team_Level[Date],"&lt;="&amp;Team_Level[[#This Row],[Date]],Team_Level[Result],"&lt;&gt;"))</f>
        <v/>
      </c>
      <c r="T262" t="str">
        <f>Team_Level[[#This Row],[Team]]&amp;"-"&amp;Team_Level[[#This Row],[Chrono Rank]]</f>
        <v>Sheffield Wednesday-</v>
      </c>
    </row>
    <row r="263" spans="1:20" x14ac:dyDescent="0.25">
      <c r="A263" t="s">
        <v>340</v>
      </c>
      <c r="B263" s="6">
        <v>46385</v>
      </c>
      <c r="C263" t="s">
        <v>20</v>
      </c>
      <c r="D263" t="s">
        <v>8</v>
      </c>
      <c r="K263">
        <v>1</v>
      </c>
      <c r="L263" t="s">
        <v>34</v>
      </c>
      <c r="Q263" t="str">
        <f>IF(Team_Level[[#This Row],[Result]]="","",COUNTIFS(Team_Level[Team],Team_Level[[#This Row],[Team]],Team_Level[Date],"&gt;="&amp;Team_Level[[#This Row],[Date]],Team_Level[Result],"&lt;&gt;"))</f>
        <v/>
      </c>
      <c r="R263" t="str">
        <f>Team_Level[[#This Row],[Team]]&amp;"-"&amp;Team_Level[[#This Row],[Recency Rank]]</f>
        <v>Stockport County-</v>
      </c>
      <c r="S263" t="str">
        <f>IF(Team_Level[[#This Row],[Result]]="","",COUNTIFS(Team_Level[Team],Team_Level[[#This Row],[Team]],Team_Level[Date],"&lt;="&amp;Team_Level[[#This Row],[Date]],Team_Level[Result],"&lt;&gt;"))</f>
        <v/>
      </c>
      <c r="T263" t="str">
        <f>Team_Level[[#This Row],[Team]]&amp;"-"&amp;Team_Level[[#This Row],[Chrono Rank]]</f>
        <v>Stockport County-</v>
      </c>
    </row>
    <row r="264" spans="1:20" x14ac:dyDescent="0.25">
      <c r="A264" t="s">
        <v>341</v>
      </c>
      <c r="B264" s="6">
        <v>46385</v>
      </c>
      <c r="C264" t="s">
        <v>21</v>
      </c>
      <c r="D264" t="s">
        <v>13</v>
      </c>
      <c r="K264">
        <v>1</v>
      </c>
      <c r="L264" t="s">
        <v>34</v>
      </c>
      <c r="Q264" t="str">
        <f>IF(Team_Level[[#This Row],[Result]]="","",COUNTIFS(Team_Level[Team],Team_Level[[#This Row],[Team]],Team_Level[Date],"&gt;="&amp;Team_Level[[#This Row],[Date]],Team_Level[Result],"&lt;&gt;"))</f>
        <v/>
      </c>
      <c r="R264" t="str">
        <f>Team_Level[[#This Row],[Team]]&amp;"-"&amp;Team_Level[[#This Row],[Recency Rank]]</f>
        <v>Wigan Athletic-</v>
      </c>
      <c r="S264" t="str">
        <f>IF(Team_Level[[#This Row],[Result]]="","",COUNTIFS(Team_Level[Team],Team_Level[[#This Row],[Team]],Team_Level[Date],"&lt;="&amp;Team_Level[[#This Row],[Date]],Team_Level[Result],"&lt;&gt;"))</f>
        <v/>
      </c>
      <c r="T264" t="str">
        <f>Team_Level[[#This Row],[Team]]&amp;"-"&amp;Team_Level[[#This Row],[Chrono Rank]]</f>
        <v>Wigan Athletic-</v>
      </c>
    </row>
    <row r="265" spans="1:20" x14ac:dyDescent="0.25">
      <c r="A265" t="s">
        <v>342</v>
      </c>
      <c r="B265" s="6">
        <v>46385</v>
      </c>
      <c r="C265" t="s">
        <v>22</v>
      </c>
      <c r="D265" t="s">
        <v>19</v>
      </c>
      <c r="K265">
        <v>1</v>
      </c>
      <c r="L265" t="s">
        <v>34</v>
      </c>
      <c r="Q265" t="str">
        <f>IF(Team_Level[[#This Row],[Result]]="","",COUNTIFS(Team_Level[Team],Team_Level[[#This Row],[Team]],Team_Level[Date],"&gt;="&amp;Team_Level[[#This Row],[Date]],Team_Level[Result],"&lt;&gt;"))</f>
        <v/>
      </c>
      <c r="R265" t="str">
        <f>Team_Level[[#This Row],[Team]]&amp;"-"&amp;Team_Level[[#This Row],[Recency Rank]]</f>
        <v>Wycombe Wanderers-</v>
      </c>
      <c r="S265" t="str">
        <f>IF(Team_Level[[#This Row],[Result]]="","",COUNTIFS(Team_Level[Team],Team_Level[[#This Row],[Team]],Team_Level[Date],"&lt;="&amp;Team_Level[[#This Row],[Date]],Team_Level[Result],"&lt;&gt;"))</f>
        <v/>
      </c>
      <c r="T265" t="str">
        <f>Team_Level[[#This Row],[Team]]&amp;"-"&amp;Team_Level[[#This Row],[Chrono Rank]]</f>
        <v>Wycombe Wanderers-</v>
      </c>
    </row>
    <row r="266" spans="1:20" x14ac:dyDescent="0.25">
      <c r="A266" t="s">
        <v>343</v>
      </c>
      <c r="B266" s="6">
        <v>46388</v>
      </c>
      <c r="C266" t="s">
        <v>0</v>
      </c>
      <c r="D266" t="s">
        <v>15</v>
      </c>
      <c r="K266">
        <v>1</v>
      </c>
      <c r="L266" t="s">
        <v>34</v>
      </c>
      <c r="Q266" t="str">
        <f>IF(Team_Level[[#This Row],[Result]]="","",COUNTIFS(Team_Level[Team],Team_Level[[#This Row],[Team]],Team_Level[Date],"&gt;="&amp;Team_Level[[#This Row],[Date]],Team_Level[Result],"&lt;&gt;"))</f>
        <v/>
      </c>
      <c r="R266" t="str">
        <f>Team_Level[[#This Row],[Team]]&amp;"-"&amp;Team_Level[[#This Row],[Recency Rank]]</f>
        <v>AFC Wimbledon-</v>
      </c>
      <c r="S266" t="str">
        <f>IF(Team_Level[[#This Row],[Result]]="","",COUNTIFS(Team_Level[Team],Team_Level[[#This Row],[Team]],Team_Level[Date],"&lt;="&amp;Team_Level[[#This Row],[Date]],Team_Level[Result],"&lt;&gt;"))</f>
        <v/>
      </c>
      <c r="T266" t="str">
        <f>Team_Level[[#This Row],[Team]]&amp;"-"&amp;Team_Level[[#This Row],[Chrono Rank]]</f>
        <v>AFC Wimbledon-</v>
      </c>
    </row>
    <row r="267" spans="1:20" x14ac:dyDescent="0.25">
      <c r="A267" t="s">
        <v>344</v>
      </c>
      <c r="B267" s="6">
        <v>46388</v>
      </c>
      <c r="C267" t="s">
        <v>1</v>
      </c>
      <c r="D267" t="s">
        <v>13</v>
      </c>
      <c r="K267">
        <v>1</v>
      </c>
      <c r="L267" t="s">
        <v>34</v>
      </c>
      <c r="Q267" t="str">
        <f>IF(Team_Level[[#This Row],[Result]]="","",COUNTIFS(Team_Level[Team],Team_Level[[#This Row],[Team]],Team_Level[Date],"&gt;="&amp;Team_Level[[#This Row],[Date]],Team_Level[Result],"&lt;&gt;"))</f>
        <v/>
      </c>
      <c r="R267" t="str">
        <f>Team_Level[[#This Row],[Team]]&amp;"-"&amp;Team_Level[[#This Row],[Recency Rank]]</f>
        <v>Barnsley-</v>
      </c>
      <c r="S267" t="str">
        <f>IF(Team_Level[[#This Row],[Result]]="","",COUNTIFS(Team_Level[Team],Team_Level[[#This Row],[Team]],Team_Level[Date],"&lt;="&amp;Team_Level[[#This Row],[Date]],Team_Level[Result],"&lt;&gt;"))</f>
        <v/>
      </c>
      <c r="T267" t="str">
        <f>Team_Level[[#This Row],[Team]]&amp;"-"&amp;Team_Level[[#This Row],[Chrono Rank]]</f>
        <v>Barnsley-</v>
      </c>
    </row>
    <row r="268" spans="1:20" x14ac:dyDescent="0.25">
      <c r="A268" t="s">
        <v>345</v>
      </c>
      <c r="B268" s="6">
        <v>46388</v>
      </c>
      <c r="C268" t="s">
        <v>2</v>
      </c>
      <c r="D268" t="s">
        <v>7</v>
      </c>
      <c r="K268">
        <v>1</v>
      </c>
      <c r="L268" t="s">
        <v>34</v>
      </c>
      <c r="Q268" t="str">
        <f>IF(Team_Level[[#This Row],[Result]]="","",COUNTIFS(Team_Level[Team],Team_Level[[#This Row],[Team]],Team_Level[Date],"&gt;="&amp;Team_Level[[#This Row],[Date]],Team_Level[Result],"&lt;&gt;"))</f>
        <v/>
      </c>
      <c r="R268" t="str">
        <f>Team_Level[[#This Row],[Team]]&amp;"-"&amp;Team_Level[[#This Row],[Recency Rank]]</f>
        <v>Blackpool-</v>
      </c>
      <c r="S268" t="str">
        <f>IF(Team_Level[[#This Row],[Result]]="","",COUNTIFS(Team_Level[Team],Team_Level[[#This Row],[Team]],Team_Level[Date],"&lt;="&amp;Team_Level[[#This Row],[Date]],Team_Level[Result],"&lt;&gt;"))</f>
        <v/>
      </c>
      <c r="T268" t="str">
        <f>Team_Level[[#This Row],[Team]]&amp;"-"&amp;Team_Level[[#This Row],[Chrono Rank]]</f>
        <v>Blackpool-</v>
      </c>
    </row>
    <row r="269" spans="1:20" x14ac:dyDescent="0.25">
      <c r="A269" t="s">
        <v>346</v>
      </c>
      <c r="B269" s="6">
        <v>46388</v>
      </c>
      <c r="C269" t="s">
        <v>4</v>
      </c>
      <c r="D269" t="s">
        <v>19</v>
      </c>
      <c r="K269">
        <v>1</v>
      </c>
      <c r="L269" t="s">
        <v>34</v>
      </c>
      <c r="Q269" t="str">
        <f>IF(Team_Level[[#This Row],[Result]]="","",COUNTIFS(Team_Level[Team],Team_Level[[#This Row],[Team]],Team_Level[Date],"&gt;="&amp;Team_Level[[#This Row],[Date]],Team_Level[Result],"&lt;&gt;"))</f>
        <v/>
      </c>
      <c r="R269" t="str">
        <f>Team_Level[[#This Row],[Team]]&amp;"-"&amp;Team_Level[[#This Row],[Recency Rank]]</f>
        <v>Bromley-</v>
      </c>
      <c r="S269" t="str">
        <f>IF(Team_Level[[#This Row],[Result]]="","",COUNTIFS(Team_Level[Team],Team_Level[[#This Row],[Team]],Team_Level[Date],"&lt;="&amp;Team_Level[[#This Row],[Date]],Team_Level[Result],"&lt;&gt;"))</f>
        <v/>
      </c>
      <c r="T269" t="str">
        <f>Team_Level[[#This Row],[Team]]&amp;"-"&amp;Team_Level[[#This Row],[Chrono Rank]]</f>
        <v>Bromley-</v>
      </c>
    </row>
    <row r="270" spans="1:20" x14ac:dyDescent="0.25">
      <c r="A270" t="s">
        <v>347</v>
      </c>
      <c r="B270" s="6">
        <v>46388</v>
      </c>
      <c r="C270" t="s">
        <v>10</v>
      </c>
      <c r="D270" t="s">
        <v>14</v>
      </c>
      <c r="K270">
        <v>1</v>
      </c>
      <c r="L270" t="s">
        <v>34</v>
      </c>
      <c r="Q270" t="str">
        <f>IF(Team_Level[[#This Row],[Result]]="","",COUNTIFS(Team_Level[Team],Team_Level[[#This Row],[Team]],Team_Level[Date],"&gt;="&amp;Team_Level[[#This Row],[Date]],Team_Level[Result],"&lt;&gt;"))</f>
        <v/>
      </c>
      <c r="R270" t="str">
        <f>Team_Level[[#This Row],[Team]]&amp;"-"&amp;Team_Level[[#This Row],[Recency Rank]]</f>
        <v>Leyton Orient-</v>
      </c>
      <c r="S270" t="str">
        <f>IF(Team_Level[[#This Row],[Result]]="","",COUNTIFS(Team_Level[Team],Team_Level[[#This Row],[Team]],Team_Level[Date],"&lt;="&amp;Team_Level[[#This Row],[Date]],Team_Level[Result],"&lt;&gt;"))</f>
        <v/>
      </c>
      <c r="T270" t="str">
        <f>Team_Level[[#This Row],[Team]]&amp;"-"&amp;Team_Level[[#This Row],[Chrono Rank]]</f>
        <v>Leyton Orient-</v>
      </c>
    </row>
    <row r="271" spans="1:20" x14ac:dyDescent="0.25">
      <c r="A271" t="s">
        <v>348</v>
      </c>
      <c r="B271" s="6">
        <v>46388</v>
      </c>
      <c r="C271" t="s">
        <v>17</v>
      </c>
      <c r="D271" t="s">
        <v>33</v>
      </c>
      <c r="K271">
        <v>1</v>
      </c>
      <c r="L271" t="s">
        <v>34</v>
      </c>
      <c r="Q271" t="str">
        <f>IF(Team_Level[[#This Row],[Result]]="","",COUNTIFS(Team_Level[Team],Team_Level[[#This Row],[Team]],Team_Level[Date],"&gt;="&amp;Team_Level[[#This Row],[Date]],Team_Level[Result],"&lt;&gt;"))</f>
        <v/>
      </c>
      <c r="R271" t="str">
        <f>Team_Level[[#This Row],[Team]]&amp;"-"&amp;Team_Level[[#This Row],[Recency Rank]]</f>
        <v>Reading-</v>
      </c>
      <c r="S271" t="str">
        <f>IF(Team_Level[[#This Row],[Result]]="","",COUNTIFS(Team_Level[Team],Team_Level[[#This Row],[Team]],Team_Level[Date],"&lt;="&amp;Team_Level[[#This Row],[Date]],Team_Level[Result],"&lt;&gt;"))</f>
        <v/>
      </c>
      <c r="T271" t="str">
        <f>Team_Level[[#This Row],[Team]]&amp;"-"&amp;Team_Level[[#This Row],[Chrono Rank]]</f>
        <v>Reading-</v>
      </c>
    </row>
    <row r="272" spans="1:20" x14ac:dyDescent="0.25">
      <c r="A272" t="s">
        <v>349</v>
      </c>
      <c r="B272" s="6">
        <v>46388</v>
      </c>
      <c r="C272" t="s">
        <v>18</v>
      </c>
      <c r="D272" t="s">
        <v>8</v>
      </c>
      <c r="K272">
        <v>1</v>
      </c>
      <c r="L272" t="s">
        <v>34</v>
      </c>
      <c r="Q272" t="str">
        <f>IF(Team_Level[[#This Row],[Result]]="","",COUNTIFS(Team_Level[Team],Team_Level[[#This Row],[Team]],Team_Level[Date],"&gt;="&amp;Team_Level[[#This Row],[Date]],Team_Level[Result],"&lt;&gt;"))</f>
        <v/>
      </c>
      <c r="R272" t="str">
        <f>Team_Level[[#This Row],[Team]]&amp;"-"&amp;Team_Level[[#This Row],[Recency Rank]]</f>
        <v>Sheffield Wednesday-</v>
      </c>
      <c r="S272" t="str">
        <f>IF(Team_Level[[#This Row],[Result]]="","",COUNTIFS(Team_Level[Team],Team_Level[[#This Row],[Team]],Team_Level[Date],"&lt;="&amp;Team_Level[[#This Row],[Date]],Team_Level[Result],"&lt;&gt;"))</f>
        <v/>
      </c>
      <c r="T272" t="str">
        <f>Team_Level[[#This Row],[Team]]&amp;"-"&amp;Team_Level[[#This Row],[Chrono Rank]]</f>
        <v>Sheffield Wednesday-</v>
      </c>
    </row>
    <row r="273" spans="1:20" x14ac:dyDescent="0.25">
      <c r="A273" t="s">
        <v>350</v>
      </c>
      <c r="B273" s="6">
        <v>46388</v>
      </c>
      <c r="C273" t="s">
        <v>21</v>
      </c>
      <c r="D273" t="s">
        <v>3</v>
      </c>
      <c r="K273">
        <v>1</v>
      </c>
      <c r="L273" t="s">
        <v>34</v>
      </c>
      <c r="Q273" t="str">
        <f>IF(Team_Level[[#This Row],[Result]]="","",COUNTIFS(Team_Level[Team],Team_Level[[#This Row],[Team]],Team_Level[Date],"&gt;="&amp;Team_Level[[#This Row],[Date]],Team_Level[Result],"&lt;&gt;"))</f>
        <v/>
      </c>
      <c r="R273" t="str">
        <f>Team_Level[[#This Row],[Team]]&amp;"-"&amp;Team_Level[[#This Row],[Recency Rank]]</f>
        <v>Wigan Athletic-</v>
      </c>
      <c r="S273" t="str">
        <f>IF(Team_Level[[#This Row],[Result]]="","",COUNTIFS(Team_Level[Team],Team_Level[[#This Row],[Team]],Team_Level[Date],"&lt;="&amp;Team_Level[[#This Row],[Date]],Team_Level[Result],"&lt;&gt;"))</f>
        <v/>
      </c>
      <c r="T273" t="str">
        <f>Team_Level[[#This Row],[Team]]&amp;"-"&amp;Team_Level[[#This Row],[Chrono Rank]]</f>
        <v>Wigan Athletic-</v>
      </c>
    </row>
    <row r="274" spans="1:20" x14ac:dyDescent="0.25">
      <c r="A274" t="s">
        <v>351</v>
      </c>
      <c r="B274" s="6">
        <v>46388</v>
      </c>
      <c r="C274" t="s">
        <v>22</v>
      </c>
      <c r="D274" t="s">
        <v>9</v>
      </c>
      <c r="K274">
        <v>1</v>
      </c>
      <c r="L274" t="s">
        <v>34</v>
      </c>
      <c r="Q274" t="str">
        <f>IF(Team_Level[[#This Row],[Result]]="","",COUNTIFS(Team_Level[Team],Team_Level[[#This Row],[Team]],Team_Level[Date],"&gt;="&amp;Team_Level[[#This Row],[Date]],Team_Level[Result],"&lt;&gt;"))</f>
        <v/>
      </c>
      <c r="R274" t="str">
        <f>Team_Level[[#This Row],[Team]]&amp;"-"&amp;Team_Level[[#This Row],[Recency Rank]]</f>
        <v>Wycombe Wanderers-</v>
      </c>
      <c r="S274" t="str">
        <f>IF(Team_Level[[#This Row],[Result]]="","",COUNTIFS(Team_Level[Team],Team_Level[[#This Row],[Team]],Team_Level[Date],"&lt;="&amp;Team_Level[[#This Row],[Date]],Team_Level[Result],"&lt;&gt;"))</f>
        <v/>
      </c>
      <c r="T274" t="str">
        <f>Team_Level[[#This Row],[Team]]&amp;"-"&amp;Team_Level[[#This Row],[Chrono Rank]]</f>
        <v>Wycombe Wanderers-</v>
      </c>
    </row>
    <row r="275" spans="1:20" x14ac:dyDescent="0.25">
      <c r="A275" t="s">
        <v>352</v>
      </c>
      <c r="B275" s="6">
        <v>46389</v>
      </c>
      <c r="C275" t="s">
        <v>6</v>
      </c>
      <c r="D275" t="s">
        <v>12</v>
      </c>
      <c r="K275">
        <v>1</v>
      </c>
      <c r="L275" t="s">
        <v>34</v>
      </c>
      <c r="Q275" t="str">
        <f>IF(Team_Level[[#This Row],[Result]]="","",COUNTIFS(Team_Level[Team],Team_Level[[#This Row],[Team]],Team_Level[Date],"&gt;="&amp;Team_Level[[#This Row],[Date]],Team_Level[Result],"&lt;&gt;"))</f>
        <v/>
      </c>
      <c r="R275" t="str">
        <f>Team_Level[[#This Row],[Team]]&amp;"-"&amp;Team_Level[[#This Row],[Recency Rank]]</f>
        <v>Cambridge United-</v>
      </c>
      <c r="S275" t="str">
        <f>IF(Team_Level[[#This Row],[Result]]="","",COUNTIFS(Team_Level[Team],Team_Level[[#This Row],[Team]],Team_Level[Date],"&lt;="&amp;Team_Level[[#This Row],[Date]],Team_Level[Result],"&lt;&gt;"))</f>
        <v/>
      </c>
      <c r="T275" t="str">
        <f>Team_Level[[#This Row],[Team]]&amp;"-"&amp;Team_Level[[#This Row],[Chrono Rank]]</f>
        <v>Cambridge United-</v>
      </c>
    </row>
    <row r="276" spans="1:20" x14ac:dyDescent="0.25">
      <c r="A276" t="s">
        <v>353</v>
      </c>
      <c r="B276" s="6">
        <v>46389</v>
      </c>
      <c r="C276" t="s">
        <v>16</v>
      </c>
      <c r="D276" t="s">
        <v>11</v>
      </c>
      <c r="K276">
        <v>1</v>
      </c>
      <c r="L276" t="s">
        <v>34</v>
      </c>
      <c r="Q276" t="str">
        <f>IF(Team_Level[[#This Row],[Result]]="","",COUNTIFS(Team_Level[Team],Team_Level[[#This Row],[Team]],Team_Level[Date],"&gt;="&amp;Team_Level[[#This Row],[Date]],Team_Level[Result],"&lt;&gt;"))</f>
        <v/>
      </c>
      <c r="R276" t="str">
        <f>Team_Level[[#This Row],[Team]]&amp;"-"&amp;Team_Level[[#This Row],[Recency Rank]]</f>
        <v>Plymouth Argyle-</v>
      </c>
      <c r="S276" t="str">
        <f>IF(Team_Level[[#This Row],[Result]]="","",COUNTIFS(Team_Level[Team],Team_Level[[#This Row],[Team]],Team_Level[Date],"&lt;="&amp;Team_Level[[#This Row],[Date]],Team_Level[Result],"&lt;&gt;"))</f>
        <v/>
      </c>
      <c r="T276" t="str">
        <f>Team_Level[[#This Row],[Team]]&amp;"-"&amp;Team_Level[[#This Row],[Chrono Rank]]</f>
        <v>Plymouth Argyle-</v>
      </c>
    </row>
    <row r="277" spans="1:20" x14ac:dyDescent="0.25">
      <c r="A277" t="s">
        <v>354</v>
      </c>
      <c r="B277" s="6">
        <v>46389</v>
      </c>
      <c r="C277" t="s">
        <v>20</v>
      </c>
      <c r="D277" t="s">
        <v>5</v>
      </c>
      <c r="K277">
        <v>1</v>
      </c>
      <c r="L277" t="s">
        <v>34</v>
      </c>
      <c r="Q277" t="str">
        <f>IF(Team_Level[[#This Row],[Result]]="","",COUNTIFS(Team_Level[Team],Team_Level[[#This Row],[Team]],Team_Level[Date],"&gt;="&amp;Team_Level[[#This Row],[Date]],Team_Level[Result],"&lt;&gt;"))</f>
        <v/>
      </c>
      <c r="R277" t="str">
        <f>Team_Level[[#This Row],[Team]]&amp;"-"&amp;Team_Level[[#This Row],[Recency Rank]]</f>
        <v>Stockport County-</v>
      </c>
      <c r="S277" t="str">
        <f>IF(Team_Level[[#This Row],[Result]]="","",COUNTIFS(Team_Level[Team],Team_Level[[#This Row],[Team]],Team_Level[Date],"&lt;="&amp;Team_Level[[#This Row],[Date]],Team_Level[Result],"&lt;&gt;"))</f>
        <v/>
      </c>
      <c r="T277" t="str">
        <f>Team_Level[[#This Row],[Team]]&amp;"-"&amp;Team_Level[[#This Row],[Chrono Rank]]</f>
        <v>Stockport County-</v>
      </c>
    </row>
    <row r="278" spans="1:20" x14ac:dyDescent="0.25">
      <c r="A278" t="s">
        <v>355</v>
      </c>
      <c r="B278" s="6">
        <v>46395</v>
      </c>
      <c r="C278" t="s">
        <v>5</v>
      </c>
      <c r="D278" t="s">
        <v>2</v>
      </c>
      <c r="K278">
        <v>1</v>
      </c>
      <c r="L278" t="s">
        <v>34</v>
      </c>
      <c r="Q278" t="str">
        <f>IF(Team_Level[[#This Row],[Result]]="","",COUNTIFS(Team_Level[Team],Team_Level[[#This Row],[Team]],Team_Level[Date],"&gt;="&amp;Team_Level[[#This Row],[Date]],Team_Level[Result],"&lt;&gt;"))</f>
        <v/>
      </c>
      <c r="R278" t="str">
        <f>Team_Level[[#This Row],[Team]]&amp;"-"&amp;Team_Level[[#This Row],[Recency Rank]]</f>
        <v>Burton Albion-</v>
      </c>
      <c r="S278" t="str">
        <f>IF(Team_Level[[#This Row],[Result]]="","",COUNTIFS(Team_Level[Team],Team_Level[[#This Row],[Team]],Team_Level[Date],"&lt;="&amp;Team_Level[[#This Row],[Date]],Team_Level[Result],"&lt;&gt;"))</f>
        <v/>
      </c>
      <c r="T278" t="str">
        <f>Team_Level[[#This Row],[Team]]&amp;"-"&amp;Team_Level[[#This Row],[Chrono Rank]]</f>
        <v>Burton Albion-</v>
      </c>
    </row>
    <row r="279" spans="1:20" x14ac:dyDescent="0.25">
      <c r="A279" t="s">
        <v>356</v>
      </c>
      <c r="B279" s="6">
        <v>46396</v>
      </c>
      <c r="C279" t="s">
        <v>3</v>
      </c>
      <c r="D279" t="s">
        <v>4</v>
      </c>
      <c r="K279">
        <v>1</v>
      </c>
      <c r="L279" t="s">
        <v>34</v>
      </c>
      <c r="Q279" t="str">
        <f>IF(Team_Level[[#This Row],[Result]]="","",COUNTIFS(Team_Level[Team],Team_Level[[#This Row],[Team]],Team_Level[Date],"&gt;="&amp;Team_Level[[#This Row],[Date]],Team_Level[Result],"&lt;&gt;"))</f>
        <v/>
      </c>
      <c r="R279" t="str">
        <f>Team_Level[[#This Row],[Team]]&amp;"-"&amp;Team_Level[[#This Row],[Recency Rank]]</f>
        <v>Bradford City-</v>
      </c>
      <c r="S279" t="str">
        <f>IF(Team_Level[[#This Row],[Result]]="","",COUNTIFS(Team_Level[Team],Team_Level[[#This Row],[Team]],Team_Level[Date],"&lt;="&amp;Team_Level[[#This Row],[Date]],Team_Level[Result],"&lt;&gt;"))</f>
        <v/>
      </c>
      <c r="T279" t="str">
        <f>Team_Level[[#This Row],[Team]]&amp;"-"&amp;Team_Level[[#This Row],[Chrono Rank]]</f>
        <v>Bradford City-</v>
      </c>
    </row>
    <row r="280" spans="1:20" x14ac:dyDescent="0.25">
      <c r="A280" t="s">
        <v>357</v>
      </c>
      <c r="B280" s="6">
        <v>46396</v>
      </c>
      <c r="C280" t="s">
        <v>7</v>
      </c>
      <c r="D280" t="s">
        <v>22</v>
      </c>
      <c r="K280">
        <v>1</v>
      </c>
      <c r="L280" t="s">
        <v>34</v>
      </c>
      <c r="Q280" t="str">
        <f>IF(Team_Level[[#This Row],[Result]]="","",COUNTIFS(Team_Level[Team],Team_Level[[#This Row],[Team]],Team_Level[Date],"&gt;="&amp;Team_Level[[#This Row],[Date]],Team_Level[Result],"&lt;&gt;"))</f>
        <v/>
      </c>
      <c r="R280" t="str">
        <f>Team_Level[[#This Row],[Team]]&amp;"-"&amp;Team_Level[[#This Row],[Recency Rank]]</f>
        <v>Doncaster Rovers-</v>
      </c>
      <c r="S280" t="str">
        <f>IF(Team_Level[[#This Row],[Result]]="","",COUNTIFS(Team_Level[Team],Team_Level[[#This Row],[Team]],Team_Level[Date],"&lt;="&amp;Team_Level[[#This Row],[Date]],Team_Level[Result],"&lt;&gt;"))</f>
        <v/>
      </c>
      <c r="T280" t="str">
        <f>Team_Level[[#This Row],[Team]]&amp;"-"&amp;Team_Level[[#This Row],[Chrono Rank]]</f>
        <v>Doncaster Rovers-</v>
      </c>
    </row>
    <row r="281" spans="1:20" x14ac:dyDescent="0.25">
      <c r="A281" t="s">
        <v>358</v>
      </c>
      <c r="B281" s="6">
        <v>46396</v>
      </c>
      <c r="C281" t="s">
        <v>8</v>
      </c>
      <c r="D281" t="s">
        <v>1</v>
      </c>
      <c r="K281">
        <v>1</v>
      </c>
      <c r="L281" t="s">
        <v>34</v>
      </c>
      <c r="Q281" t="str">
        <f>IF(Team_Level[[#This Row],[Result]]="","",COUNTIFS(Team_Level[Team],Team_Level[[#This Row],[Team]],Team_Level[Date],"&gt;="&amp;Team_Level[[#This Row],[Date]],Team_Level[Result],"&lt;&gt;"))</f>
        <v/>
      </c>
      <c r="R281" t="str">
        <f>Team_Level[[#This Row],[Team]]&amp;"-"&amp;Team_Level[[#This Row],[Recency Rank]]</f>
        <v>Huddersfield Town-</v>
      </c>
      <c r="S281" t="str">
        <f>IF(Team_Level[[#This Row],[Result]]="","",COUNTIFS(Team_Level[Team],Team_Level[[#This Row],[Team]],Team_Level[Date],"&lt;="&amp;Team_Level[[#This Row],[Date]],Team_Level[Result],"&lt;&gt;"))</f>
        <v/>
      </c>
      <c r="T281" t="str">
        <f>Team_Level[[#This Row],[Team]]&amp;"-"&amp;Team_Level[[#This Row],[Chrono Rank]]</f>
        <v>Huddersfield Town-</v>
      </c>
    </row>
    <row r="282" spans="1:20" x14ac:dyDescent="0.25">
      <c r="A282" t="s">
        <v>359</v>
      </c>
      <c r="B282" s="6">
        <v>46396</v>
      </c>
      <c r="C282" t="s">
        <v>9</v>
      </c>
      <c r="D282" t="s">
        <v>17</v>
      </c>
      <c r="K282">
        <v>1</v>
      </c>
      <c r="L282" t="s">
        <v>34</v>
      </c>
      <c r="Q282" t="str">
        <f>IF(Team_Level[[#This Row],[Result]]="","",COUNTIFS(Team_Level[Team],Team_Level[[#This Row],[Team]],Team_Level[Date],"&gt;="&amp;Team_Level[[#This Row],[Date]],Team_Level[Result],"&lt;&gt;"))</f>
        <v/>
      </c>
      <c r="R282" t="str">
        <f>Team_Level[[#This Row],[Team]]&amp;"-"&amp;Team_Level[[#This Row],[Recency Rank]]</f>
        <v>Leicester City-</v>
      </c>
      <c r="S282" t="str">
        <f>IF(Team_Level[[#This Row],[Result]]="","",COUNTIFS(Team_Level[Team],Team_Level[[#This Row],[Team]],Team_Level[Date],"&lt;="&amp;Team_Level[[#This Row],[Date]],Team_Level[Result],"&lt;&gt;"))</f>
        <v/>
      </c>
      <c r="T282" t="str">
        <f>Team_Level[[#This Row],[Team]]&amp;"-"&amp;Team_Level[[#This Row],[Chrono Rank]]</f>
        <v>Leicester City-</v>
      </c>
    </row>
    <row r="283" spans="1:20" x14ac:dyDescent="0.25">
      <c r="A283" t="s">
        <v>360</v>
      </c>
      <c r="B283" s="6">
        <v>46396</v>
      </c>
      <c r="C283" t="s">
        <v>11</v>
      </c>
      <c r="D283" t="s">
        <v>18</v>
      </c>
      <c r="K283">
        <v>1</v>
      </c>
      <c r="L283" t="s">
        <v>34</v>
      </c>
      <c r="Q283" t="str">
        <f>IF(Team_Level[[#This Row],[Result]]="","",COUNTIFS(Team_Level[Team],Team_Level[[#This Row],[Team]],Team_Level[Date],"&gt;="&amp;Team_Level[[#This Row],[Date]],Team_Level[Result],"&lt;&gt;"))</f>
        <v/>
      </c>
      <c r="R283" t="str">
        <f>Team_Level[[#This Row],[Team]]&amp;"-"&amp;Team_Level[[#This Row],[Recency Rank]]</f>
        <v>Luton Town-</v>
      </c>
      <c r="S283" t="str">
        <f>IF(Team_Level[[#This Row],[Result]]="","",COUNTIFS(Team_Level[Team],Team_Level[[#This Row],[Team]],Team_Level[Date],"&lt;="&amp;Team_Level[[#This Row],[Date]],Team_Level[Result],"&lt;&gt;"))</f>
        <v/>
      </c>
      <c r="T283" t="str">
        <f>Team_Level[[#This Row],[Team]]&amp;"-"&amp;Team_Level[[#This Row],[Chrono Rank]]</f>
        <v>Luton Town-</v>
      </c>
    </row>
    <row r="284" spans="1:20" x14ac:dyDescent="0.25">
      <c r="A284" t="s">
        <v>361</v>
      </c>
      <c r="B284" s="6">
        <v>46396</v>
      </c>
      <c r="C284" t="s">
        <v>12</v>
      </c>
      <c r="D284" t="s">
        <v>16</v>
      </c>
      <c r="K284">
        <v>1</v>
      </c>
      <c r="L284" t="s">
        <v>34</v>
      </c>
      <c r="Q284" t="str">
        <f>IF(Team_Level[[#This Row],[Result]]="","",COUNTIFS(Team_Level[Team],Team_Level[[#This Row],[Team]],Team_Level[Date],"&gt;="&amp;Team_Level[[#This Row],[Date]],Team_Level[Result],"&lt;&gt;"))</f>
        <v/>
      </c>
      <c r="R284" t="str">
        <f>Team_Level[[#This Row],[Team]]&amp;"-"&amp;Team_Level[[#This Row],[Recency Rank]]</f>
        <v>Mansfield Town-</v>
      </c>
      <c r="S284" t="str">
        <f>IF(Team_Level[[#This Row],[Result]]="","",COUNTIFS(Team_Level[Team],Team_Level[[#This Row],[Team]],Team_Level[Date],"&lt;="&amp;Team_Level[[#This Row],[Date]],Team_Level[Result],"&lt;&gt;"))</f>
        <v/>
      </c>
      <c r="T284" t="str">
        <f>Team_Level[[#This Row],[Team]]&amp;"-"&amp;Team_Level[[#This Row],[Chrono Rank]]</f>
        <v>Mansfield Town-</v>
      </c>
    </row>
    <row r="285" spans="1:20" x14ac:dyDescent="0.25">
      <c r="A285" t="s">
        <v>362</v>
      </c>
      <c r="B285" s="6">
        <v>46396</v>
      </c>
      <c r="C285" t="s">
        <v>33</v>
      </c>
      <c r="D285" t="s">
        <v>20</v>
      </c>
      <c r="K285">
        <v>1</v>
      </c>
      <c r="L285" t="s">
        <v>34</v>
      </c>
      <c r="Q285" t="str">
        <f>IF(Team_Level[[#This Row],[Result]]="","",COUNTIFS(Team_Level[Team],Team_Level[[#This Row],[Team]],Team_Level[Date],"&gt;="&amp;Team_Level[[#This Row],[Date]],Team_Level[Result],"&lt;&gt;"))</f>
        <v/>
      </c>
      <c r="R285" t="str">
        <f>Team_Level[[#This Row],[Team]]&amp;"-"&amp;Team_Level[[#This Row],[Recency Rank]]</f>
        <v>Milton Keynes Dons-</v>
      </c>
      <c r="S285" t="str">
        <f>IF(Team_Level[[#This Row],[Result]]="","",COUNTIFS(Team_Level[Team],Team_Level[[#This Row],[Team]],Team_Level[Date],"&lt;="&amp;Team_Level[[#This Row],[Date]],Team_Level[Result],"&lt;&gt;"))</f>
        <v/>
      </c>
      <c r="T285" t="str">
        <f>Team_Level[[#This Row],[Team]]&amp;"-"&amp;Team_Level[[#This Row],[Chrono Rank]]</f>
        <v>Milton Keynes Dons-</v>
      </c>
    </row>
    <row r="286" spans="1:20" x14ac:dyDescent="0.25">
      <c r="A286" t="s">
        <v>363</v>
      </c>
      <c r="B286" s="6">
        <v>46396</v>
      </c>
      <c r="C286" t="s">
        <v>13</v>
      </c>
      <c r="D286" t="s">
        <v>10</v>
      </c>
      <c r="K286">
        <v>1</v>
      </c>
      <c r="L286" t="s">
        <v>34</v>
      </c>
      <c r="Q286" t="str">
        <f>IF(Team_Level[[#This Row],[Result]]="","",COUNTIFS(Team_Level[Team],Team_Level[[#This Row],[Team]],Team_Level[Date],"&gt;="&amp;Team_Level[[#This Row],[Date]],Team_Level[Result],"&lt;&gt;"))</f>
        <v/>
      </c>
      <c r="R286" t="str">
        <f>Team_Level[[#This Row],[Team]]&amp;"-"&amp;Team_Level[[#This Row],[Recency Rank]]</f>
        <v>Notts County-</v>
      </c>
      <c r="S286" t="str">
        <f>IF(Team_Level[[#This Row],[Result]]="","",COUNTIFS(Team_Level[Team],Team_Level[[#This Row],[Team]],Team_Level[Date],"&lt;="&amp;Team_Level[[#This Row],[Date]],Team_Level[Result],"&lt;&gt;"))</f>
        <v/>
      </c>
      <c r="T286" t="str">
        <f>Team_Level[[#This Row],[Team]]&amp;"-"&amp;Team_Level[[#This Row],[Chrono Rank]]</f>
        <v>Notts County-</v>
      </c>
    </row>
    <row r="287" spans="1:20" x14ac:dyDescent="0.25">
      <c r="A287" t="s">
        <v>364</v>
      </c>
      <c r="B287" s="6">
        <v>46396</v>
      </c>
      <c r="C287" t="s">
        <v>14</v>
      </c>
      <c r="D287" t="s">
        <v>0</v>
      </c>
      <c r="K287">
        <v>1</v>
      </c>
      <c r="L287" t="s">
        <v>34</v>
      </c>
      <c r="Q287" t="str">
        <f>IF(Team_Level[[#This Row],[Result]]="","",COUNTIFS(Team_Level[Team],Team_Level[[#This Row],[Team]],Team_Level[Date],"&gt;="&amp;Team_Level[[#This Row],[Date]],Team_Level[Result],"&lt;&gt;"))</f>
        <v/>
      </c>
      <c r="R287" t="str">
        <f>Team_Level[[#This Row],[Team]]&amp;"-"&amp;Team_Level[[#This Row],[Recency Rank]]</f>
        <v>Oxford United-</v>
      </c>
      <c r="S287" t="str">
        <f>IF(Team_Level[[#This Row],[Result]]="","",COUNTIFS(Team_Level[Team],Team_Level[[#This Row],[Team]],Team_Level[Date],"&lt;="&amp;Team_Level[[#This Row],[Date]],Team_Level[Result],"&lt;&gt;"))</f>
        <v/>
      </c>
      <c r="T287" t="str">
        <f>Team_Level[[#This Row],[Team]]&amp;"-"&amp;Team_Level[[#This Row],[Chrono Rank]]</f>
        <v>Oxford United-</v>
      </c>
    </row>
    <row r="288" spans="1:20" x14ac:dyDescent="0.25">
      <c r="A288" t="s">
        <v>365</v>
      </c>
      <c r="B288" s="6">
        <v>46396</v>
      </c>
      <c r="C288" t="s">
        <v>15</v>
      </c>
      <c r="D288" t="s">
        <v>21</v>
      </c>
      <c r="K288">
        <v>1</v>
      </c>
      <c r="L288" t="s">
        <v>34</v>
      </c>
      <c r="Q288" t="str">
        <f>IF(Team_Level[[#This Row],[Result]]="","",COUNTIFS(Team_Level[Team],Team_Level[[#This Row],[Team]],Team_Level[Date],"&gt;="&amp;Team_Level[[#This Row],[Date]],Team_Level[Result],"&lt;&gt;"))</f>
        <v/>
      </c>
      <c r="R288" t="str">
        <f>Team_Level[[#This Row],[Team]]&amp;"-"&amp;Team_Level[[#This Row],[Recency Rank]]</f>
        <v>Peterborough United-</v>
      </c>
      <c r="S288" t="str">
        <f>IF(Team_Level[[#This Row],[Result]]="","",COUNTIFS(Team_Level[Team],Team_Level[[#This Row],[Team]],Team_Level[Date],"&lt;="&amp;Team_Level[[#This Row],[Date]],Team_Level[Result],"&lt;&gt;"))</f>
        <v/>
      </c>
      <c r="T288" t="str">
        <f>Team_Level[[#This Row],[Team]]&amp;"-"&amp;Team_Level[[#This Row],[Chrono Rank]]</f>
        <v>Peterborough United-</v>
      </c>
    </row>
    <row r="289" spans="1:20" x14ac:dyDescent="0.25">
      <c r="A289" t="s">
        <v>366</v>
      </c>
      <c r="B289" s="6">
        <v>46396</v>
      </c>
      <c r="C289" t="s">
        <v>19</v>
      </c>
      <c r="D289" t="s">
        <v>6</v>
      </c>
      <c r="K289">
        <v>1</v>
      </c>
      <c r="L289" t="s">
        <v>34</v>
      </c>
      <c r="Q289" t="str">
        <f>IF(Team_Level[[#This Row],[Result]]="","",COUNTIFS(Team_Level[Team],Team_Level[[#This Row],[Team]],Team_Level[Date],"&gt;="&amp;Team_Level[[#This Row],[Date]],Team_Level[Result],"&lt;&gt;"))</f>
        <v/>
      </c>
      <c r="R289" t="str">
        <f>Team_Level[[#This Row],[Team]]&amp;"-"&amp;Team_Level[[#This Row],[Recency Rank]]</f>
        <v>Stevenage-</v>
      </c>
      <c r="S289" t="str">
        <f>IF(Team_Level[[#This Row],[Result]]="","",COUNTIFS(Team_Level[Team],Team_Level[[#This Row],[Team]],Team_Level[Date],"&lt;="&amp;Team_Level[[#This Row],[Date]],Team_Level[Result],"&lt;&gt;"))</f>
        <v/>
      </c>
      <c r="T289" t="str">
        <f>Team_Level[[#This Row],[Team]]&amp;"-"&amp;Team_Level[[#This Row],[Chrono Rank]]</f>
        <v>Stevenage-</v>
      </c>
    </row>
    <row r="290" spans="1:20" x14ac:dyDescent="0.25">
      <c r="A290" t="s">
        <v>367</v>
      </c>
      <c r="B290" s="6">
        <v>46403</v>
      </c>
      <c r="C290" t="s">
        <v>0</v>
      </c>
      <c r="D290" t="s">
        <v>18</v>
      </c>
      <c r="K290">
        <v>1</v>
      </c>
      <c r="L290" t="s">
        <v>34</v>
      </c>
      <c r="Q290" t="str">
        <f>IF(Team_Level[[#This Row],[Result]]="","",COUNTIFS(Team_Level[Team],Team_Level[[#This Row],[Team]],Team_Level[Date],"&gt;="&amp;Team_Level[[#This Row],[Date]],Team_Level[Result],"&lt;&gt;"))</f>
        <v/>
      </c>
      <c r="R290" t="str">
        <f>Team_Level[[#This Row],[Team]]&amp;"-"&amp;Team_Level[[#This Row],[Recency Rank]]</f>
        <v>AFC Wimbledon-</v>
      </c>
      <c r="S290" t="str">
        <f>IF(Team_Level[[#This Row],[Result]]="","",COUNTIFS(Team_Level[Team],Team_Level[[#This Row],[Team]],Team_Level[Date],"&lt;="&amp;Team_Level[[#This Row],[Date]],Team_Level[Result],"&lt;&gt;"))</f>
        <v/>
      </c>
      <c r="T290" t="str">
        <f>Team_Level[[#This Row],[Team]]&amp;"-"&amp;Team_Level[[#This Row],[Chrono Rank]]</f>
        <v>AFC Wimbledon-</v>
      </c>
    </row>
    <row r="291" spans="1:20" x14ac:dyDescent="0.25">
      <c r="A291" t="s">
        <v>368</v>
      </c>
      <c r="B291" s="6">
        <v>46403</v>
      </c>
      <c r="C291" t="s">
        <v>2</v>
      </c>
      <c r="D291" t="s">
        <v>10</v>
      </c>
      <c r="K291">
        <v>1</v>
      </c>
      <c r="L291" t="s">
        <v>34</v>
      </c>
      <c r="Q291" t="str">
        <f>IF(Team_Level[[#This Row],[Result]]="","",COUNTIFS(Team_Level[Team],Team_Level[[#This Row],[Team]],Team_Level[Date],"&gt;="&amp;Team_Level[[#This Row],[Date]],Team_Level[Result],"&lt;&gt;"))</f>
        <v/>
      </c>
      <c r="R291" t="str">
        <f>Team_Level[[#This Row],[Team]]&amp;"-"&amp;Team_Level[[#This Row],[Recency Rank]]</f>
        <v>Blackpool-</v>
      </c>
      <c r="S291" t="str">
        <f>IF(Team_Level[[#This Row],[Result]]="","",COUNTIFS(Team_Level[Team],Team_Level[[#This Row],[Team]],Team_Level[Date],"&lt;="&amp;Team_Level[[#This Row],[Date]],Team_Level[Result],"&lt;&gt;"))</f>
        <v/>
      </c>
      <c r="T291" t="str">
        <f>Team_Level[[#This Row],[Team]]&amp;"-"&amp;Team_Level[[#This Row],[Chrono Rank]]</f>
        <v>Blackpool-</v>
      </c>
    </row>
    <row r="292" spans="1:20" x14ac:dyDescent="0.25">
      <c r="A292" t="s">
        <v>369</v>
      </c>
      <c r="B292" s="6">
        <v>46403</v>
      </c>
      <c r="C292" t="s">
        <v>4</v>
      </c>
      <c r="D292" t="s">
        <v>20</v>
      </c>
      <c r="K292">
        <v>1</v>
      </c>
      <c r="L292" t="s">
        <v>34</v>
      </c>
      <c r="Q292" t="str">
        <f>IF(Team_Level[[#This Row],[Result]]="","",COUNTIFS(Team_Level[Team],Team_Level[[#This Row],[Team]],Team_Level[Date],"&gt;="&amp;Team_Level[[#This Row],[Date]],Team_Level[Result],"&lt;&gt;"))</f>
        <v/>
      </c>
      <c r="R292" t="str">
        <f>Team_Level[[#This Row],[Team]]&amp;"-"&amp;Team_Level[[#This Row],[Recency Rank]]</f>
        <v>Bromley-</v>
      </c>
      <c r="S292" t="str">
        <f>IF(Team_Level[[#This Row],[Result]]="","",COUNTIFS(Team_Level[Team],Team_Level[[#This Row],[Team]],Team_Level[Date],"&lt;="&amp;Team_Level[[#This Row],[Date]],Team_Level[Result],"&lt;&gt;"))</f>
        <v/>
      </c>
      <c r="T292" t="str">
        <f>Team_Level[[#This Row],[Team]]&amp;"-"&amp;Team_Level[[#This Row],[Chrono Rank]]</f>
        <v>Bromley-</v>
      </c>
    </row>
    <row r="293" spans="1:20" x14ac:dyDescent="0.25">
      <c r="A293" t="s">
        <v>370</v>
      </c>
      <c r="B293" s="6">
        <v>46403</v>
      </c>
      <c r="C293" t="s">
        <v>5</v>
      </c>
      <c r="D293" t="s">
        <v>15</v>
      </c>
      <c r="K293">
        <v>1</v>
      </c>
      <c r="L293" t="s">
        <v>34</v>
      </c>
      <c r="Q293" t="str">
        <f>IF(Team_Level[[#This Row],[Result]]="","",COUNTIFS(Team_Level[Team],Team_Level[[#This Row],[Team]],Team_Level[Date],"&gt;="&amp;Team_Level[[#This Row],[Date]],Team_Level[Result],"&lt;&gt;"))</f>
        <v/>
      </c>
      <c r="R293" t="str">
        <f>Team_Level[[#This Row],[Team]]&amp;"-"&amp;Team_Level[[#This Row],[Recency Rank]]</f>
        <v>Burton Albion-</v>
      </c>
      <c r="S293" t="str">
        <f>IF(Team_Level[[#This Row],[Result]]="","",COUNTIFS(Team_Level[Team],Team_Level[[#This Row],[Team]],Team_Level[Date],"&lt;="&amp;Team_Level[[#This Row],[Date]],Team_Level[Result],"&lt;&gt;"))</f>
        <v/>
      </c>
      <c r="T293" t="str">
        <f>Team_Level[[#This Row],[Team]]&amp;"-"&amp;Team_Level[[#This Row],[Chrono Rank]]</f>
        <v>Burton Albion-</v>
      </c>
    </row>
    <row r="294" spans="1:20" x14ac:dyDescent="0.25">
      <c r="A294" t="s">
        <v>371</v>
      </c>
      <c r="B294" s="6">
        <v>46403</v>
      </c>
      <c r="C294" t="s">
        <v>6</v>
      </c>
      <c r="D294" t="s">
        <v>1</v>
      </c>
      <c r="K294">
        <v>1</v>
      </c>
      <c r="L294" t="s">
        <v>34</v>
      </c>
      <c r="Q294" t="str">
        <f>IF(Team_Level[[#This Row],[Result]]="","",COUNTIFS(Team_Level[Team],Team_Level[[#This Row],[Team]],Team_Level[Date],"&gt;="&amp;Team_Level[[#This Row],[Date]],Team_Level[Result],"&lt;&gt;"))</f>
        <v/>
      </c>
      <c r="R294" t="str">
        <f>Team_Level[[#This Row],[Team]]&amp;"-"&amp;Team_Level[[#This Row],[Recency Rank]]</f>
        <v>Cambridge United-</v>
      </c>
      <c r="S294" t="str">
        <f>IF(Team_Level[[#This Row],[Result]]="","",COUNTIFS(Team_Level[Team],Team_Level[[#This Row],[Team]],Team_Level[Date],"&lt;="&amp;Team_Level[[#This Row],[Date]],Team_Level[Result],"&lt;&gt;"))</f>
        <v/>
      </c>
      <c r="T294" t="str">
        <f>Team_Level[[#This Row],[Team]]&amp;"-"&amp;Team_Level[[#This Row],[Chrono Rank]]</f>
        <v>Cambridge United-</v>
      </c>
    </row>
    <row r="295" spans="1:20" x14ac:dyDescent="0.25">
      <c r="A295" t="s">
        <v>372</v>
      </c>
      <c r="B295" s="6">
        <v>46403</v>
      </c>
      <c r="C295" t="s">
        <v>7</v>
      </c>
      <c r="D295" t="s">
        <v>9</v>
      </c>
      <c r="K295">
        <v>1</v>
      </c>
      <c r="L295" t="s">
        <v>34</v>
      </c>
      <c r="Q295" t="str">
        <f>IF(Team_Level[[#This Row],[Result]]="","",COUNTIFS(Team_Level[Team],Team_Level[[#This Row],[Team]],Team_Level[Date],"&gt;="&amp;Team_Level[[#This Row],[Date]],Team_Level[Result],"&lt;&gt;"))</f>
        <v/>
      </c>
      <c r="R295" t="str">
        <f>Team_Level[[#This Row],[Team]]&amp;"-"&amp;Team_Level[[#This Row],[Recency Rank]]</f>
        <v>Doncaster Rovers-</v>
      </c>
      <c r="S295" t="str">
        <f>IF(Team_Level[[#This Row],[Result]]="","",COUNTIFS(Team_Level[Team],Team_Level[[#This Row],[Team]],Team_Level[Date],"&lt;="&amp;Team_Level[[#This Row],[Date]],Team_Level[Result],"&lt;&gt;"))</f>
        <v/>
      </c>
      <c r="T295" t="str">
        <f>Team_Level[[#This Row],[Team]]&amp;"-"&amp;Team_Level[[#This Row],[Chrono Rank]]</f>
        <v>Doncaster Rovers-</v>
      </c>
    </row>
    <row r="296" spans="1:20" x14ac:dyDescent="0.25">
      <c r="A296" t="s">
        <v>373</v>
      </c>
      <c r="B296" s="6">
        <v>46403</v>
      </c>
      <c r="C296" t="s">
        <v>8</v>
      </c>
      <c r="D296" t="s">
        <v>16</v>
      </c>
      <c r="K296">
        <v>1</v>
      </c>
      <c r="L296" t="s">
        <v>34</v>
      </c>
      <c r="Q296" t="str">
        <f>IF(Team_Level[[#This Row],[Result]]="","",COUNTIFS(Team_Level[Team],Team_Level[[#This Row],[Team]],Team_Level[Date],"&gt;="&amp;Team_Level[[#This Row],[Date]],Team_Level[Result],"&lt;&gt;"))</f>
        <v/>
      </c>
      <c r="R296" t="str">
        <f>Team_Level[[#This Row],[Team]]&amp;"-"&amp;Team_Level[[#This Row],[Recency Rank]]</f>
        <v>Huddersfield Town-</v>
      </c>
      <c r="S296" t="str">
        <f>IF(Team_Level[[#This Row],[Result]]="","",COUNTIFS(Team_Level[Team],Team_Level[[#This Row],[Team]],Team_Level[Date],"&lt;="&amp;Team_Level[[#This Row],[Date]],Team_Level[Result],"&lt;&gt;"))</f>
        <v/>
      </c>
      <c r="T296" t="str">
        <f>Team_Level[[#This Row],[Team]]&amp;"-"&amp;Team_Level[[#This Row],[Chrono Rank]]</f>
        <v>Huddersfield Town-</v>
      </c>
    </row>
    <row r="297" spans="1:20" x14ac:dyDescent="0.25">
      <c r="A297" t="s">
        <v>374</v>
      </c>
      <c r="B297" s="6">
        <v>46403</v>
      </c>
      <c r="C297" t="s">
        <v>11</v>
      </c>
      <c r="D297" t="s">
        <v>33</v>
      </c>
      <c r="K297">
        <v>1</v>
      </c>
      <c r="L297" t="s">
        <v>34</v>
      </c>
      <c r="Q297" t="str">
        <f>IF(Team_Level[[#This Row],[Result]]="","",COUNTIFS(Team_Level[Team],Team_Level[[#This Row],[Team]],Team_Level[Date],"&gt;="&amp;Team_Level[[#This Row],[Date]],Team_Level[Result],"&lt;&gt;"))</f>
        <v/>
      </c>
      <c r="R297" t="str">
        <f>Team_Level[[#This Row],[Team]]&amp;"-"&amp;Team_Level[[#This Row],[Recency Rank]]</f>
        <v>Luton Town-</v>
      </c>
      <c r="S297" t="str">
        <f>IF(Team_Level[[#This Row],[Result]]="","",COUNTIFS(Team_Level[Team],Team_Level[[#This Row],[Team]],Team_Level[Date],"&lt;="&amp;Team_Level[[#This Row],[Date]],Team_Level[Result],"&lt;&gt;"))</f>
        <v/>
      </c>
      <c r="T297" t="str">
        <f>Team_Level[[#This Row],[Team]]&amp;"-"&amp;Team_Level[[#This Row],[Chrono Rank]]</f>
        <v>Luton Town-</v>
      </c>
    </row>
    <row r="298" spans="1:20" x14ac:dyDescent="0.25">
      <c r="A298" t="s">
        <v>375</v>
      </c>
      <c r="B298" s="6">
        <v>46403</v>
      </c>
      <c r="C298" t="s">
        <v>13</v>
      </c>
      <c r="D298" t="s">
        <v>22</v>
      </c>
      <c r="K298">
        <v>1</v>
      </c>
      <c r="L298" t="s">
        <v>34</v>
      </c>
      <c r="Q298" t="str">
        <f>IF(Team_Level[[#This Row],[Result]]="","",COUNTIFS(Team_Level[Team],Team_Level[[#This Row],[Team]],Team_Level[Date],"&gt;="&amp;Team_Level[[#This Row],[Date]],Team_Level[Result],"&lt;&gt;"))</f>
        <v/>
      </c>
      <c r="R298" t="str">
        <f>Team_Level[[#This Row],[Team]]&amp;"-"&amp;Team_Level[[#This Row],[Recency Rank]]</f>
        <v>Notts County-</v>
      </c>
      <c r="S298" t="str">
        <f>IF(Team_Level[[#This Row],[Result]]="","",COUNTIFS(Team_Level[Team],Team_Level[[#This Row],[Team]],Team_Level[Date],"&lt;="&amp;Team_Level[[#This Row],[Date]],Team_Level[Result],"&lt;&gt;"))</f>
        <v/>
      </c>
      <c r="T298" t="str">
        <f>Team_Level[[#This Row],[Team]]&amp;"-"&amp;Team_Level[[#This Row],[Chrono Rank]]</f>
        <v>Notts County-</v>
      </c>
    </row>
    <row r="299" spans="1:20" x14ac:dyDescent="0.25">
      <c r="A299" t="s">
        <v>376</v>
      </c>
      <c r="B299" s="6">
        <v>46403</v>
      </c>
      <c r="C299" t="s">
        <v>14</v>
      </c>
      <c r="D299" t="s">
        <v>12</v>
      </c>
      <c r="K299">
        <v>1</v>
      </c>
      <c r="L299" t="s">
        <v>34</v>
      </c>
      <c r="Q299" t="str">
        <f>IF(Team_Level[[#This Row],[Result]]="","",COUNTIFS(Team_Level[Team],Team_Level[[#This Row],[Team]],Team_Level[Date],"&gt;="&amp;Team_Level[[#This Row],[Date]],Team_Level[Result],"&lt;&gt;"))</f>
        <v/>
      </c>
      <c r="R299" t="str">
        <f>Team_Level[[#This Row],[Team]]&amp;"-"&amp;Team_Level[[#This Row],[Recency Rank]]</f>
        <v>Oxford United-</v>
      </c>
      <c r="S299" t="str">
        <f>IF(Team_Level[[#This Row],[Result]]="","",COUNTIFS(Team_Level[Team],Team_Level[[#This Row],[Team]],Team_Level[Date],"&lt;="&amp;Team_Level[[#This Row],[Date]],Team_Level[Result],"&lt;&gt;"))</f>
        <v/>
      </c>
      <c r="T299" t="str">
        <f>Team_Level[[#This Row],[Team]]&amp;"-"&amp;Team_Level[[#This Row],[Chrono Rank]]</f>
        <v>Oxford United-</v>
      </c>
    </row>
    <row r="300" spans="1:20" x14ac:dyDescent="0.25">
      <c r="A300" t="s">
        <v>377</v>
      </c>
      <c r="B300" s="6">
        <v>46403</v>
      </c>
      <c r="C300" t="s">
        <v>17</v>
      </c>
      <c r="D300" t="s">
        <v>21</v>
      </c>
      <c r="K300">
        <v>1</v>
      </c>
      <c r="L300" t="s">
        <v>34</v>
      </c>
      <c r="Q300" t="str">
        <f>IF(Team_Level[[#This Row],[Result]]="","",COUNTIFS(Team_Level[Team],Team_Level[[#This Row],[Team]],Team_Level[Date],"&gt;="&amp;Team_Level[[#This Row],[Date]],Team_Level[Result],"&lt;&gt;"))</f>
        <v/>
      </c>
      <c r="R300" t="str">
        <f>Team_Level[[#This Row],[Team]]&amp;"-"&amp;Team_Level[[#This Row],[Recency Rank]]</f>
        <v>Reading-</v>
      </c>
      <c r="S300" t="str">
        <f>IF(Team_Level[[#This Row],[Result]]="","",COUNTIFS(Team_Level[Team],Team_Level[[#This Row],[Team]],Team_Level[Date],"&lt;="&amp;Team_Level[[#This Row],[Date]],Team_Level[Result],"&lt;&gt;"))</f>
        <v/>
      </c>
      <c r="T300" t="str">
        <f>Team_Level[[#This Row],[Team]]&amp;"-"&amp;Team_Level[[#This Row],[Chrono Rank]]</f>
        <v>Reading-</v>
      </c>
    </row>
    <row r="301" spans="1:20" x14ac:dyDescent="0.25">
      <c r="A301" t="s">
        <v>378</v>
      </c>
      <c r="B301" s="6">
        <v>46403</v>
      </c>
      <c r="C301" t="s">
        <v>19</v>
      </c>
      <c r="D301" t="s">
        <v>3</v>
      </c>
      <c r="K301">
        <v>1</v>
      </c>
      <c r="L301" t="s">
        <v>34</v>
      </c>
      <c r="Q301" t="str">
        <f>IF(Team_Level[[#This Row],[Result]]="","",COUNTIFS(Team_Level[Team],Team_Level[[#This Row],[Team]],Team_Level[Date],"&gt;="&amp;Team_Level[[#This Row],[Date]],Team_Level[Result],"&lt;&gt;"))</f>
        <v/>
      </c>
      <c r="R301" t="str">
        <f>Team_Level[[#This Row],[Team]]&amp;"-"&amp;Team_Level[[#This Row],[Recency Rank]]</f>
        <v>Stevenage-</v>
      </c>
      <c r="S301" t="str">
        <f>IF(Team_Level[[#This Row],[Result]]="","",COUNTIFS(Team_Level[Team],Team_Level[[#This Row],[Team]],Team_Level[Date],"&lt;="&amp;Team_Level[[#This Row],[Date]],Team_Level[Result],"&lt;&gt;"))</f>
        <v/>
      </c>
      <c r="T301" t="str">
        <f>Team_Level[[#This Row],[Team]]&amp;"-"&amp;Team_Level[[#This Row],[Chrono Rank]]</f>
        <v>Stevenage-</v>
      </c>
    </row>
    <row r="302" spans="1:20" x14ac:dyDescent="0.25">
      <c r="A302" t="s">
        <v>379</v>
      </c>
      <c r="B302" s="6">
        <v>46406</v>
      </c>
      <c r="C302" t="s">
        <v>1</v>
      </c>
      <c r="D302" t="s">
        <v>11</v>
      </c>
      <c r="K302">
        <v>1</v>
      </c>
      <c r="L302" t="s">
        <v>34</v>
      </c>
      <c r="Q302" t="str">
        <f>IF(Team_Level[[#This Row],[Result]]="","",COUNTIFS(Team_Level[Team],Team_Level[[#This Row],[Team]],Team_Level[Date],"&gt;="&amp;Team_Level[[#This Row],[Date]],Team_Level[Result],"&lt;&gt;"))</f>
        <v/>
      </c>
      <c r="R302" t="str">
        <f>Team_Level[[#This Row],[Team]]&amp;"-"&amp;Team_Level[[#This Row],[Recency Rank]]</f>
        <v>Barnsley-</v>
      </c>
      <c r="S302" t="str">
        <f>IF(Team_Level[[#This Row],[Result]]="","",COUNTIFS(Team_Level[Team],Team_Level[[#This Row],[Team]],Team_Level[Date],"&lt;="&amp;Team_Level[[#This Row],[Date]],Team_Level[Result],"&lt;&gt;"))</f>
        <v/>
      </c>
      <c r="T302" t="str">
        <f>Team_Level[[#This Row],[Team]]&amp;"-"&amp;Team_Level[[#This Row],[Chrono Rank]]</f>
        <v>Barnsley-</v>
      </c>
    </row>
    <row r="303" spans="1:20" x14ac:dyDescent="0.25">
      <c r="A303" t="s">
        <v>380</v>
      </c>
      <c r="B303" s="6">
        <v>46406</v>
      </c>
      <c r="C303" t="s">
        <v>3</v>
      </c>
      <c r="D303" t="s">
        <v>5</v>
      </c>
      <c r="K303">
        <v>1</v>
      </c>
      <c r="L303" t="s">
        <v>34</v>
      </c>
      <c r="Q303" t="str">
        <f>IF(Team_Level[[#This Row],[Result]]="","",COUNTIFS(Team_Level[Team],Team_Level[[#This Row],[Team]],Team_Level[Date],"&gt;="&amp;Team_Level[[#This Row],[Date]],Team_Level[Result],"&lt;&gt;"))</f>
        <v/>
      </c>
      <c r="R303" t="str">
        <f>Team_Level[[#This Row],[Team]]&amp;"-"&amp;Team_Level[[#This Row],[Recency Rank]]</f>
        <v>Bradford City-</v>
      </c>
      <c r="S303" t="str">
        <f>IF(Team_Level[[#This Row],[Result]]="","",COUNTIFS(Team_Level[Team],Team_Level[[#This Row],[Team]],Team_Level[Date],"&lt;="&amp;Team_Level[[#This Row],[Date]],Team_Level[Result],"&lt;&gt;"))</f>
        <v/>
      </c>
      <c r="T303" t="str">
        <f>Team_Level[[#This Row],[Team]]&amp;"-"&amp;Team_Level[[#This Row],[Chrono Rank]]</f>
        <v>Bradford City-</v>
      </c>
    </row>
    <row r="304" spans="1:20" x14ac:dyDescent="0.25">
      <c r="A304" t="s">
        <v>381</v>
      </c>
      <c r="B304" s="6">
        <v>46406</v>
      </c>
      <c r="C304" t="s">
        <v>9</v>
      </c>
      <c r="D304" t="s">
        <v>4</v>
      </c>
      <c r="K304">
        <v>1</v>
      </c>
      <c r="L304" t="s">
        <v>34</v>
      </c>
      <c r="Q304" t="str">
        <f>IF(Team_Level[[#This Row],[Result]]="","",COUNTIFS(Team_Level[Team],Team_Level[[#This Row],[Team]],Team_Level[Date],"&gt;="&amp;Team_Level[[#This Row],[Date]],Team_Level[Result],"&lt;&gt;"))</f>
        <v/>
      </c>
      <c r="R304" t="str">
        <f>Team_Level[[#This Row],[Team]]&amp;"-"&amp;Team_Level[[#This Row],[Recency Rank]]</f>
        <v>Leicester City-</v>
      </c>
      <c r="S304" t="str">
        <f>IF(Team_Level[[#This Row],[Result]]="","",COUNTIFS(Team_Level[Team],Team_Level[[#This Row],[Team]],Team_Level[Date],"&lt;="&amp;Team_Level[[#This Row],[Date]],Team_Level[Result],"&lt;&gt;"))</f>
        <v/>
      </c>
      <c r="T304" t="str">
        <f>Team_Level[[#This Row],[Team]]&amp;"-"&amp;Team_Level[[#This Row],[Chrono Rank]]</f>
        <v>Leicester City-</v>
      </c>
    </row>
    <row r="305" spans="1:20" x14ac:dyDescent="0.25">
      <c r="A305" t="s">
        <v>382</v>
      </c>
      <c r="B305" s="6">
        <v>46406</v>
      </c>
      <c r="C305" t="s">
        <v>10</v>
      </c>
      <c r="D305" t="s">
        <v>17</v>
      </c>
      <c r="K305">
        <v>1</v>
      </c>
      <c r="L305" t="s">
        <v>34</v>
      </c>
      <c r="Q305" t="str">
        <f>IF(Team_Level[[#This Row],[Result]]="","",COUNTIFS(Team_Level[Team],Team_Level[[#This Row],[Team]],Team_Level[Date],"&gt;="&amp;Team_Level[[#This Row],[Date]],Team_Level[Result],"&lt;&gt;"))</f>
        <v/>
      </c>
      <c r="R305" t="str">
        <f>Team_Level[[#This Row],[Team]]&amp;"-"&amp;Team_Level[[#This Row],[Recency Rank]]</f>
        <v>Leyton Orient-</v>
      </c>
      <c r="S305" t="str">
        <f>IF(Team_Level[[#This Row],[Result]]="","",COUNTIFS(Team_Level[Team],Team_Level[[#This Row],[Team]],Team_Level[Date],"&lt;="&amp;Team_Level[[#This Row],[Date]],Team_Level[Result],"&lt;&gt;"))</f>
        <v/>
      </c>
      <c r="T305" t="str">
        <f>Team_Level[[#This Row],[Team]]&amp;"-"&amp;Team_Level[[#This Row],[Chrono Rank]]</f>
        <v>Leyton Orient-</v>
      </c>
    </row>
    <row r="306" spans="1:20" x14ac:dyDescent="0.25">
      <c r="A306" t="s">
        <v>383</v>
      </c>
      <c r="B306" s="6">
        <v>46406</v>
      </c>
      <c r="C306" t="s">
        <v>12</v>
      </c>
      <c r="D306" t="s">
        <v>0</v>
      </c>
      <c r="K306">
        <v>1</v>
      </c>
      <c r="L306" t="s">
        <v>34</v>
      </c>
      <c r="Q306" t="str">
        <f>IF(Team_Level[[#This Row],[Result]]="","",COUNTIFS(Team_Level[Team],Team_Level[[#This Row],[Team]],Team_Level[Date],"&gt;="&amp;Team_Level[[#This Row],[Date]],Team_Level[Result],"&lt;&gt;"))</f>
        <v/>
      </c>
      <c r="R306" t="str">
        <f>Team_Level[[#This Row],[Team]]&amp;"-"&amp;Team_Level[[#This Row],[Recency Rank]]</f>
        <v>Mansfield Town-</v>
      </c>
      <c r="S306" t="str">
        <f>IF(Team_Level[[#This Row],[Result]]="","",COUNTIFS(Team_Level[Team],Team_Level[[#This Row],[Team]],Team_Level[Date],"&lt;="&amp;Team_Level[[#This Row],[Date]],Team_Level[Result],"&lt;&gt;"))</f>
        <v/>
      </c>
      <c r="T306" t="str">
        <f>Team_Level[[#This Row],[Team]]&amp;"-"&amp;Team_Level[[#This Row],[Chrono Rank]]</f>
        <v>Mansfield Town-</v>
      </c>
    </row>
    <row r="307" spans="1:20" x14ac:dyDescent="0.25">
      <c r="A307" t="s">
        <v>384</v>
      </c>
      <c r="B307" s="6">
        <v>46406</v>
      </c>
      <c r="C307" t="s">
        <v>33</v>
      </c>
      <c r="D307" t="s">
        <v>2</v>
      </c>
      <c r="K307">
        <v>1</v>
      </c>
      <c r="L307" t="s">
        <v>34</v>
      </c>
      <c r="Q307" t="str">
        <f>IF(Team_Level[[#This Row],[Result]]="","",COUNTIFS(Team_Level[Team],Team_Level[[#This Row],[Team]],Team_Level[Date],"&gt;="&amp;Team_Level[[#This Row],[Date]],Team_Level[Result],"&lt;&gt;"))</f>
        <v/>
      </c>
      <c r="R307" t="str">
        <f>Team_Level[[#This Row],[Team]]&amp;"-"&amp;Team_Level[[#This Row],[Recency Rank]]</f>
        <v>Milton Keynes Dons-</v>
      </c>
      <c r="S307" t="str">
        <f>IF(Team_Level[[#This Row],[Result]]="","",COUNTIFS(Team_Level[Team],Team_Level[[#This Row],[Team]],Team_Level[Date],"&lt;="&amp;Team_Level[[#This Row],[Date]],Team_Level[Result],"&lt;&gt;"))</f>
        <v/>
      </c>
      <c r="T307" t="str">
        <f>Team_Level[[#This Row],[Team]]&amp;"-"&amp;Team_Level[[#This Row],[Chrono Rank]]</f>
        <v>Milton Keynes Dons-</v>
      </c>
    </row>
    <row r="308" spans="1:20" x14ac:dyDescent="0.25">
      <c r="A308" t="s">
        <v>385</v>
      </c>
      <c r="B308" s="6">
        <v>46406</v>
      </c>
      <c r="C308" t="s">
        <v>15</v>
      </c>
      <c r="D308" t="s">
        <v>8</v>
      </c>
      <c r="K308">
        <v>1</v>
      </c>
      <c r="L308" t="s">
        <v>34</v>
      </c>
      <c r="Q308" t="str">
        <f>IF(Team_Level[[#This Row],[Result]]="","",COUNTIFS(Team_Level[Team],Team_Level[[#This Row],[Team]],Team_Level[Date],"&gt;="&amp;Team_Level[[#This Row],[Date]],Team_Level[Result],"&lt;&gt;"))</f>
        <v/>
      </c>
      <c r="R308" t="str">
        <f>Team_Level[[#This Row],[Team]]&amp;"-"&amp;Team_Level[[#This Row],[Recency Rank]]</f>
        <v>Peterborough United-</v>
      </c>
      <c r="S308" t="str">
        <f>IF(Team_Level[[#This Row],[Result]]="","",COUNTIFS(Team_Level[Team],Team_Level[[#This Row],[Team]],Team_Level[Date],"&lt;="&amp;Team_Level[[#This Row],[Date]],Team_Level[Result],"&lt;&gt;"))</f>
        <v/>
      </c>
      <c r="T308" t="str">
        <f>Team_Level[[#This Row],[Team]]&amp;"-"&amp;Team_Level[[#This Row],[Chrono Rank]]</f>
        <v>Peterborough United-</v>
      </c>
    </row>
    <row r="309" spans="1:20" x14ac:dyDescent="0.25">
      <c r="A309" t="s">
        <v>386</v>
      </c>
      <c r="B309" s="6">
        <v>46406</v>
      </c>
      <c r="C309" t="s">
        <v>16</v>
      </c>
      <c r="D309" t="s">
        <v>19</v>
      </c>
      <c r="K309">
        <v>1</v>
      </c>
      <c r="L309" t="s">
        <v>34</v>
      </c>
      <c r="Q309" t="str">
        <f>IF(Team_Level[[#This Row],[Result]]="","",COUNTIFS(Team_Level[Team],Team_Level[[#This Row],[Team]],Team_Level[Date],"&gt;="&amp;Team_Level[[#This Row],[Date]],Team_Level[Result],"&lt;&gt;"))</f>
        <v/>
      </c>
      <c r="R309" t="str">
        <f>Team_Level[[#This Row],[Team]]&amp;"-"&amp;Team_Level[[#This Row],[Recency Rank]]</f>
        <v>Plymouth Argyle-</v>
      </c>
      <c r="S309" t="str">
        <f>IF(Team_Level[[#This Row],[Result]]="","",COUNTIFS(Team_Level[Team],Team_Level[[#This Row],[Team]],Team_Level[Date],"&lt;="&amp;Team_Level[[#This Row],[Date]],Team_Level[Result],"&lt;&gt;"))</f>
        <v/>
      </c>
      <c r="T309" t="str">
        <f>Team_Level[[#This Row],[Team]]&amp;"-"&amp;Team_Level[[#This Row],[Chrono Rank]]</f>
        <v>Plymouth Argyle-</v>
      </c>
    </row>
    <row r="310" spans="1:20" x14ac:dyDescent="0.25">
      <c r="A310" t="s">
        <v>387</v>
      </c>
      <c r="B310" s="6">
        <v>46406</v>
      </c>
      <c r="C310" t="s">
        <v>18</v>
      </c>
      <c r="D310" t="s">
        <v>13</v>
      </c>
      <c r="K310">
        <v>1</v>
      </c>
      <c r="L310" t="s">
        <v>34</v>
      </c>
      <c r="Q310" t="str">
        <f>IF(Team_Level[[#This Row],[Result]]="","",COUNTIFS(Team_Level[Team],Team_Level[[#This Row],[Team]],Team_Level[Date],"&gt;="&amp;Team_Level[[#This Row],[Date]],Team_Level[Result],"&lt;&gt;"))</f>
        <v/>
      </c>
      <c r="R310" t="str">
        <f>Team_Level[[#This Row],[Team]]&amp;"-"&amp;Team_Level[[#This Row],[Recency Rank]]</f>
        <v>Sheffield Wednesday-</v>
      </c>
      <c r="S310" t="str">
        <f>IF(Team_Level[[#This Row],[Result]]="","",COUNTIFS(Team_Level[Team],Team_Level[[#This Row],[Team]],Team_Level[Date],"&lt;="&amp;Team_Level[[#This Row],[Date]],Team_Level[Result],"&lt;&gt;"))</f>
        <v/>
      </c>
      <c r="T310" t="str">
        <f>Team_Level[[#This Row],[Team]]&amp;"-"&amp;Team_Level[[#This Row],[Chrono Rank]]</f>
        <v>Sheffield Wednesday-</v>
      </c>
    </row>
    <row r="311" spans="1:20" x14ac:dyDescent="0.25">
      <c r="A311" t="s">
        <v>388</v>
      </c>
      <c r="B311" s="6">
        <v>46406</v>
      </c>
      <c r="C311" t="s">
        <v>20</v>
      </c>
      <c r="D311" t="s">
        <v>7</v>
      </c>
      <c r="K311">
        <v>1</v>
      </c>
      <c r="L311" t="s">
        <v>34</v>
      </c>
      <c r="Q311" t="str">
        <f>IF(Team_Level[[#This Row],[Result]]="","",COUNTIFS(Team_Level[Team],Team_Level[[#This Row],[Team]],Team_Level[Date],"&gt;="&amp;Team_Level[[#This Row],[Date]],Team_Level[Result],"&lt;&gt;"))</f>
        <v/>
      </c>
      <c r="R311" t="str">
        <f>Team_Level[[#This Row],[Team]]&amp;"-"&amp;Team_Level[[#This Row],[Recency Rank]]</f>
        <v>Stockport County-</v>
      </c>
      <c r="S311" t="str">
        <f>IF(Team_Level[[#This Row],[Result]]="","",COUNTIFS(Team_Level[Team],Team_Level[[#This Row],[Team]],Team_Level[Date],"&lt;="&amp;Team_Level[[#This Row],[Date]],Team_Level[Result],"&lt;&gt;"))</f>
        <v/>
      </c>
      <c r="T311" t="str">
        <f>Team_Level[[#This Row],[Team]]&amp;"-"&amp;Team_Level[[#This Row],[Chrono Rank]]</f>
        <v>Stockport County-</v>
      </c>
    </row>
    <row r="312" spans="1:20" x14ac:dyDescent="0.25">
      <c r="A312" t="s">
        <v>389</v>
      </c>
      <c r="B312" s="6">
        <v>46406</v>
      </c>
      <c r="C312" t="s">
        <v>21</v>
      </c>
      <c r="D312" t="s">
        <v>14</v>
      </c>
      <c r="K312">
        <v>1</v>
      </c>
      <c r="L312" t="s">
        <v>34</v>
      </c>
      <c r="Q312" t="str">
        <f>IF(Team_Level[[#This Row],[Result]]="","",COUNTIFS(Team_Level[Team],Team_Level[[#This Row],[Team]],Team_Level[Date],"&gt;="&amp;Team_Level[[#This Row],[Date]],Team_Level[Result],"&lt;&gt;"))</f>
        <v/>
      </c>
      <c r="R312" t="str">
        <f>Team_Level[[#This Row],[Team]]&amp;"-"&amp;Team_Level[[#This Row],[Recency Rank]]</f>
        <v>Wigan Athletic-</v>
      </c>
      <c r="S312" t="str">
        <f>IF(Team_Level[[#This Row],[Result]]="","",COUNTIFS(Team_Level[Team],Team_Level[[#This Row],[Team]],Team_Level[Date],"&lt;="&amp;Team_Level[[#This Row],[Date]],Team_Level[Result],"&lt;&gt;"))</f>
        <v/>
      </c>
      <c r="T312" t="str">
        <f>Team_Level[[#This Row],[Team]]&amp;"-"&amp;Team_Level[[#This Row],[Chrono Rank]]</f>
        <v>Wigan Athletic-</v>
      </c>
    </row>
    <row r="313" spans="1:20" x14ac:dyDescent="0.25">
      <c r="A313" t="s">
        <v>390</v>
      </c>
      <c r="B313" s="6">
        <v>46406</v>
      </c>
      <c r="C313" t="s">
        <v>22</v>
      </c>
      <c r="D313" t="s">
        <v>6</v>
      </c>
      <c r="K313">
        <v>1</v>
      </c>
      <c r="L313" t="s">
        <v>34</v>
      </c>
      <c r="Q313" t="str">
        <f>IF(Team_Level[[#This Row],[Result]]="","",COUNTIFS(Team_Level[Team],Team_Level[[#This Row],[Team]],Team_Level[Date],"&gt;="&amp;Team_Level[[#This Row],[Date]],Team_Level[Result],"&lt;&gt;"))</f>
        <v/>
      </c>
      <c r="R313" t="str">
        <f>Team_Level[[#This Row],[Team]]&amp;"-"&amp;Team_Level[[#This Row],[Recency Rank]]</f>
        <v>Wycombe Wanderers-</v>
      </c>
      <c r="S313" t="str">
        <f>IF(Team_Level[[#This Row],[Result]]="","",COUNTIFS(Team_Level[Team],Team_Level[[#This Row],[Team]],Team_Level[Date],"&lt;="&amp;Team_Level[[#This Row],[Date]],Team_Level[Result],"&lt;&gt;"))</f>
        <v/>
      </c>
      <c r="T313" t="str">
        <f>Team_Level[[#This Row],[Team]]&amp;"-"&amp;Team_Level[[#This Row],[Chrono Rank]]</f>
        <v>Wycombe Wanderers-</v>
      </c>
    </row>
    <row r="314" spans="1:20" x14ac:dyDescent="0.25">
      <c r="A314" t="s">
        <v>391</v>
      </c>
      <c r="B314" s="6">
        <v>46410</v>
      </c>
      <c r="C314" t="s">
        <v>1</v>
      </c>
      <c r="D314" t="s">
        <v>17</v>
      </c>
      <c r="K314">
        <v>1</v>
      </c>
      <c r="L314" t="s">
        <v>34</v>
      </c>
      <c r="Q314" t="str">
        <f>IF(Team_Level[[#This Row],[Result]]="","",COUNTIFS(Team_Level[Team],Team_Level[[#This Row],[Team]],Team_Level[Date],"&gt;="&amp;Team_Level[[#This Row],[Date]],Team_Level[Result],"&lt;&gt;"))</f>
        <v/>
      </c>
      <c r="R314" t="str">
        <f>Team_Level[[#This Row],[Team]]&amp;"-"&amp;Team_Level[[#This Row],[Recency Rank]]</f>
        <v>Barnsley-</v>
      </c>
      <c r="S314" t="str">
        <f>IF(Team_Level[[#This Row],[Result]]="","",COUNTIFS(Team_Level[Team],Team_Level[[#This Row],[Team]],Team_Level[Date],"&lt;="&amp;Team_Level[[#This Row],[Date]],Team_Level[Result],"&lt;&gt;"))</f>
        <v/>
      </c>
      <c r="T314" t="str">
        <f>Team_Level[[#This Row],[Team]]&amp;"-"&amp;Team_Level[[#This Row],[Chrono Rank]]</f>
        <v>Barnsley-</v>
      </c>
    </row>
    <row r="315" spans="1:20" x14ac:dyDescent="0.25">
      <c r="A315" t="s">
        <v>392</v>
      </c>
      <c r="B315" s="6">
        <v>46410</v>
      </c>
      <c r="C315" t="s">
        <v>3</v>
      </c>
      <c r="D315" t="s">
        <v>14</v>
      </c>
      <c r="K315">
        <v>1</v>
      </c>
      <c r="L315" t="s">
        <v>34</v>
      </c>
      <c r="Q315" t="str">
        <f>IF(Team_Level[[#This Row],[Result]]="","",COUNTIFS(Team_Level[Team],Team_Level[[#This Row],[Team]],Team_Level[Date],"&gt;="&amp;Team_Level[[#This Row],[Date]],Team_Level[Result],"&lt;&gt;"))</f>
        <v/>
      </c>
      <c r="R315" t="str">
        <f>Team_Level[[#This Row],[Team]]&amp;"-"&amp;Team_Level[[#This Row],[Recency Rank]]</f>
        <v>Bradford City-</v>
      </c>
      <c r="S315" t="str">
        <f>IF(Team_Level[[#This Row],[Result]]="","",COUNTIFS(Team_Level[Team],Team_Level[[#This Row],[Team]],Team_Level[Date],"&lt;="&amp;Team_Level[[#This Row],[Date]],Team_Level[Result],"&lt;&gt;"))</f>
        <v/>
      </c>
      <c r="T315" t="str">
        <f>Team_Level[[#This Row],[Team]]&amp;"-"&amp;Team_Level[[#This Row],[Chrono Rank]]</f>
        <v>Bradford City-</v>
      </c>
    </row>
    <row r="316" spans="1:20" x14ac:dyDescent="0.25">
      <c r="A316" t="s">
        <v>393</v>
      </c>
      <c r="B316" s="6">
        <v>46410</v>
      </c>
      <c r="C316" t="s">
        <v>9</v>
      </c>
      <c r="D316" t="s">
        <v>11</v>
      </c>
      <c r="K316">
        <v>1</v>
      </c>
      <c r="L316" t="s">
        <v>34</v>
      </c>
      <c r="Q316" t="str">
        <f>IF(Team_Level[[#This Row],[Result]]="","",COUNTIFS(Team_Level[Team],Team_Level[[#This Row],[Team]],Team_Level[Date],"&gt;="&amp;Team_Level[[#This Row],[Date]],Team_Level[Result],"&lt;&gt;"))</f>
        <v/>
      </c>
      <c r="R316" t="str">
        <f>Team_Level[[#This Row],[Team]]&amp;"-"&amp;Team_Level[[#This Row],[Recency Rank]]</f>
        <v>Leicester City-</v>
      </c>
      <c r="S316" t="str">
        <f>IF(Team_Level[[#This Row],[Result]]="","",COUNTIFS(Team_Level[Team],Team_Level[[#This Row],[Team]],Team_Level[Date],"&lt;="&amp;Team_Level[[#This Row],[Date]],Team_Level[Result],"&lt;&gt;"))</f>
        <v/>
      </c>
      <c r="T316" t="str">
        <f>Team_Level[[#This Row],[Team]]&amp;"-"&amp;Team_Level[[#This Row],[Chrono Rank]]</f>
        <v>Leicester City-</v>
      </c>
    </row>
    <row r="317" spans="1:20" x14ac:dyDescent="0.25">
      <c r="A317" t="s">
        <v>394</v>
      </c>
      <c r="B317" s="6">
        <v>46410</v>
      </c>
      <c r="C317" t="s">
        <v>10</v>
      </c>
      <c r="D317" t="s">
        <v>5</v>
      </c>
      <c r="K317">
        <v>1</v>
      </c>
      <c r="L317" t="s">
        <v>34</v>
      </c>
      <c r="Q317" t="str">
        <f>IF(Team_Level[[#This Row],[Result]]="","",COUNTIFS(Team_Level[Team],Team_Level[[#This Row],[Team]],Team_Level[Date],"&gt;="&amp;Team_Level[[#This Row],[Date]],Team_Level[Result],"&lt;&gt;"))</f>
        <v/>
      </c>
      <c r="R317" t="str">
        <f>Team_Level[[#This Row],[Team]]&amp;"-"&amp;Team_Level[[#This Row],[Recency Rank]]</f>
        <v>Leyton Orient-</v>
      </c>
      <c r="S317" t="str">
        <f>IF(Team_Level[[#This Row],[Result]]="","",COUNTIFS(Team_Level[Team],Team_Level[[#This Row],[Team]],Team_Level[Date],"&lt;="&amp;Team_Level[[#This Row],[Date]],Team_Level[Result],"&lt;&gt;"))</f>
        <v/>
      </c>
      <c r="T317" t="str">
        <f>Team_Level[[#This Row],[Team]]&amp;"-"&amp;Team_Level[[#This Row],[Chrono Rank]]</f>
        <v>Leyton Orient-</v>
      </c>
    </row>
    <row r="318" spans="1:20" x14ac:dyDescent="0.25">
      <c r="A318" t="s">
        <v>395</v>
      </c>
      <c r="B318" s="6">
        <v>46410</v>
      </c>
      <c r="C318" t="s">
        <v>12</v>
      </c>
      <c r="D318" t="s">
        <v>2</v>
      </c>
      <c r="K318">
        <v>1</v>
      </c>
      <c r="L318" t="s">
        <v>34</v>
      </c>
      <c r="Q318" t="str">
        <f>IF(Team_Level[[#This Row],[Result]]="","",COUNTIFS(Team_Level[Team],Team_Level[[#This Row],[Team]],Team_Level[Date],"&gt;="&amp;Team_Level[[#This Row],[Date]],Team_Level[Result],"&lt;&gt;"))</f>
        <v/>
      </c>
      <c r="R318" t="str">
        <f>Team_Level[[#This Row],[Team]]&amp;"-"&amp;Team_Level[[#This Row],[Recency Rank]]</f>
        <v>Mansfield Town-</v>
      </c>
      <c r="S318" t="str">
        <f>IF(Team_Level[[#This Row],[Result]]="","",COUNTIFS(Team_Level[Team],Team_Level[[#This Row],[Team]],Team_Level[Date],"&lt;="&amp;Team_Level[[#This Row],[Date]],Team_Level[Result],"&lt;&gt;"))</f>
        <v/>
      </c>
      <c r="T318" t="str">
        <f>Team_Level[[#This Row],[Team]]&amp;"-"&amp;Team_Level[[#This Row],[Chrono Rank]]</f>
        <v>Mansfield Town-</v>
      </c>
    </row>
    <row r="319" spans="1:20" x14ac:dyDescent="0.25">
      <c r="A319" t="s">
        <v>396</v>
      </c>
      <c r="B319" s="6">
        <v>46410</v>
      </c>
      <c r="C319" t="s">
        <v>33</v>
      </c>
      <c r="D319" t="s">
        <v>19</v>
      </c>
      <c r="K319">
        <v>1</v>
      </c>
      <c r="L319" t="s">
        <v>34</v>
      </c>
      <c r="Q319" t="str">
        <f>IF(Team_Level[[#This Row],[Result]]="","",COUNTIFS(Team_Level[Team],Team_Level[[#This Row],[Team]],Team_Level[Date],"&gt;="&amp;Team_Level[[#This Row],[Date]],Team_Level[Result],"&lt;&gt;"))</f>
        <v/>
      </c>
      <c r="R319" t="str">
        <f>Team_Level[[#This Row],[Team]]&amp;"-"&amp;Team_Level[[#This Row],[Recency Rank]]</f>
        <v>Milton Keynes Dons-</v>
      </c>
      <c r="S319" t="str">
        <f>IF(Team_Level[[#This Row],[Result]]="","",COUNTIFS(Team_Level[Team],Team_Level[[#This Row],[Team]],Team_Level[Date],"&lt;="&amp;Team_Level[[#This Row],[Date]],Team_Level[Result],"&lt;&gt;"))</f>
        <v/>
      </c>
      <c r="T319" t="str">
        <f>Team_Level[[#This Row],[Team]]&amp;"-"&amp;Team_Level[[#This Row],[Chrono Rank]]</f>
        <v>Milton Keynes Dons-</v>
      </c>
    </row>
    <row r="320" spans="1:20" x14ac:dyDescent="0.25">
      <c r="A320" t="s">
        <v>397</v>
      </c>
      <c r="B320" s="6">
        <v>46410</v>
      </c>
      <c r="C320" t="s">
        <v>15</v>
      </c>
      <c r="D320" t="s">
        <v>4</v>
      </c>
      <c r="K320">
        <v>1</v>
      </c>
      <c r="L320" t="s">
        <v>34</v>
      </c>
      <c r="Q320" t="str">
        <f>IF(Team_Level[[#This Row],[Result]]="","",COUNTIFS(Team_Level[Team],Team_Level[[#This Row],[Team]],Team_Level[Date],"&gt;="&amp;Team_Level[[#This Row],[Date]],Team_Level[Result],"&lt;&gt;"))</f>
        <v/>
      </c>
      <c r="R320" t="str">
        <f>Team_Level[[#This Row],[Team]]&amp;"-"&amp;Team_Level[[#This Row],[Recency Rank]]</f>
        <v>Peterborough United-</v>
      </c>
      <c r="S320" t="str">
        <f>IF(Team_Level[[#This Row],[Result]]="","",COUNTIFS(Team_Level[Team],Team_Level[[#This Row],[Team]],Team_Level[Date],"&lt;="&amp;Team_Level[[#This Row],[Date]],Team_Level[Result],"&lt;&gt;"))</f>
        <v/>
      </c>
      <c r="T320" t="str">
        <f>Team_Level[[#This Row],[Team]]&amp;"-"&amp;Team_Level[[#This Row],[Chrono Rank]]</f>
        <v>Peterborough United-</v>
      </c>
    </row>
    <row r="321" spans="1:20" x14ac:dyDescent="0.25">
      <c r="A321" t="s">
        <v>398</v>
      </c>
      <c r="B321" s="6">
        <v>46410</v>
      </c>
      <c r="C321" t="s">
        <v>16</v>
      </c>
      <c r="D321" t="s">
        <v>6</v>
      </c>
      <c r="K321">
        <v>1</v>
      </c>
      <c r="L321" t="s">
        <v>34</v>
      </c>
      <c r="Q321" t="str">
        <f>IF(Team_Level[[#This Row],[Result]]="","",COUNTIFS(Team_Level[Team],Team_Level[[#This Row],[Team]],Team_Level[Date],"&gt;="&amp;Team_Level[[#This Row],[Date]],Team_Level[Result],"&lt;&gt;"))</f>
        <v/>
      </c>
      <c r="R321" t="str">
        <f>Team_Level[[#This Row],[Team]]&amp;"-"&amp;Team_Level[[#This Row],[Recency Rank]]</f>
        <v>Plymouth Argyle-</v>
      </c>
      <c r="S321" t="str">
        <f>IF(Team_Level[[#This Row],[Result]]="","",COUNTIFS(Team_Level[Team],Team_Level[[#This Row],[Team]],Team_Level[Date],"&lt;="&amp;Team_Level[[#This Row],[Date]],Team_Level[Result],"&lt;&gt;"))</f>
        <v/>
      </c>
      <c r="T321" t="str">
        <f>Team_Level[[#This Row],[Team]]&amp;"-"&amp;Team_Level[[#This Row],[Chrono Rank]]</f>
        <v>Plymouth Argyle-</v>
      </c>
    </row>
    <row r="322" spans="1:20" x14ac:dyDescent="0.25">
      <c r="A322" t="s">
        <v>399</v>
      </c>
      <c r="B322" s="6">
        <v>46410</v>
      </c>
      <c r="C322" t="s">
        <v>18</v>
      </c>
      <c r="D322" t="s">
        <v>7</v>
      </c>
      <c r="K322">
        <v>1</v>
      </c>
      <c r="L322" t="s">
        <v>34</v>
      </c>
      <c r="Q322" t="str">
        <f>IF(Team_Level[[#This Row],[Result]]="","",COUNTIFS(Team_Level[Team],Team_Level[[#This Row],[Team]],Team_Level[Date],"&gt;="&amp;Team_Level[[#This Row],[Date]],Team_Level[Result],"&lt;&gt;"))</f>
        <v/>
      </c>
      <c r="R322" t="str">
        <f>Team_Level[[#This Row],[Team]]&amp;"-"&amp;Team_Level[[#This Row],[Recency Rank]]</f>
        <v>Sheffield Wednesday-</v>
      </c>
      <c r="S322" t="str">
        <f>IF(Team_Level[[#This Row],[Result]]="","",COUNTIFS(Team_Level[Team],Team_Level[[#This Row],[Team]],Team_Level[Date],"&lt;="&amp;Team_Level[[#This Row],[Date]],Team_Level[Result],"&lt;&gt;"))</f>
        <v/>
      </c>
      <c r="T322" t="str">
        <f>Team_Level[[#This Row],[Team]]&amp;"-"&amp;Team_Level[[#This Row],[Chrono Rank]]</f>
        <v>Sheffield Wednesday-</v>
      </c>
    </row>
    <row r="323" spans="1:20" x14ac:dyDescent="0.25">
      <c r="A323" t="s">
        <v>400</v>
      </c>
      <c r="B323" s="6">
        <v>46410</v>
      </c>
      <c r="C323" t="s">
        <v>20</v>
      </c>
      <c r="D323" t="s">
        <v>13</v>
      </c>
      <c r="K323">
        <v>1</v>
      </c>
      <c r="L323" t="s">
        <v>34</v>
      </c>
      <c r="Q323" t="str">
        <f>IF(Team_Level[[#This Row],[Result]]="","",COUNTIFS(Team_Level[Team],Team_Level[[#This Row],[Team]],Team_Level[Date],"&gt;="&amp;Team_Level[[#This Row],[Date]],Team_Level[Result],"&lt;&gt;"))</f>
        <v/>
      </c>
      <c r="R323" t="str">
        <f>Team_Level[[#This Row],[Team]]&amp;"-"&amp;Team_Level[[#This Row],[Recency Rank]]</f>
        <v>Stockport County-</v>
      </c>
      <c r="S323" t="str">
        <f>IF(Team_Level[[#This Row],[Result]]="","",COUNTIFS(Team_Level[Team],Team_Level[[#This Row],[Team]],Team_Level[Date],"&lt;="&amp;Team_Level[[#This Row],[Date]],Team_Level[Result],"&lt;&gt;"))</f>
        <v/>
      </c>
      <c r="T323" t="str">
        <f>Team_Level[[#This Row],[Team]]&amp;"-"&amp;Team_Level[[#This Row],[Chrono Rank]]</f>
        <v>Stockport County-</v>
      </c>
    </row>
    <row r="324" spans="1:20" x14ac:dyDescent="0.25">
      <c r="A324" t="s">
        <v>401</v>
      </c>
      <c r="B324" s="6">
        <v>46410</v>
      </c>
      <c r="C324" t="s">
        <v>21</v>
      </c>
      <c r="D324" t="s">
        <v>8</v>
      </c>
      <c r="K324">
        <v>1</v>
      </c>
      <c r="L324" t="s">
        <v>34</v>
      </c>
      <c r="Q324" t="str">
        <f>IF(Team_Level[[#This Row],[Result]]="","",COUNTIFS(Team_Level[Team],Team_Level[[#This Row],[Team]],Team_Level[Date],"&gt;="&amp;Team_Level[[#This Row],[Date]],Team_Level[Result],"&lt;&gt;"))</f>
        <v/>
      </c>
      <c r="R324" t="str">
        <f>Team_Level[[#This Row],[Team]]&amp;"-"&amp;Team_Level[[#This Row],[Recency Rank]]</f>
        <v>Wigan Athletic-</v>
      </c>
      <c r="S324" t="str">
        <f>IF(Team_Level[[#This Row],[Result]]="","",COUNTIFS(Team_Level[Team],Team_Level[[#This Row],[Team]],Team_Level[Date],"&lt;="&amp;Team_Level[[#This Row],[Date]],Team_Level[Result],"&lt;&gt;"))</f>
        <v/>
      </c>
      <c r="T324" t="str">
        <f>Team_Level[[#This Row],[Team]]&amp;"-"&amp;Team_Level[[#This Row],[Chrono Rank]]</f>
        <v>Wigan Athletic-</v>
      </c>
    </row>
    <row r="325" spans="1:20" x14ac:dyDescent="0.25">
      <c r="A325" t="s">
        <v>402</v>
      </c>
      <c r="B325" s="6">
        <v>46410</v>
      </c>
      <c r="C325" t="s">
        <v>22</v>
      </c>
      <c r="D325" t="s">
        <v>0</v>
      </c>
      <c r="K325">
        <v>1</v>
      </c>
      <c r="L325" t="s">
        <v>34</v>
      </c>
      <c r="Q325" t="str">
        <f>IF(Team_Level[[#This Row],[Result]]="","",COUNTIFS(Team_Level[Team],Team_Level[[#This Row],[Team]],Team_Level[Date],"&gt;="&amp;Team_Level[[#This Row],[Date]],Team_Level[Result],"&lt;&gt;"))</f>
        <v/>
      </c>
      <c r="R325" t="str">
        <f>Team_Level[[#This Row],[Team]]&amp;"-"&amp;Team_Level[[#This Row],[Recency Rank]]</f>
        <v>Wycombe Wanderers-</v>
      </c>
      <c r="S325" t="str">
        <f>IF(Team_Level[[#This Row],[Result]]="","",COUNTIFS(Team_Level[Team],Team_Level[[#This Row],[Team]],Team_Level[Date],"&lt;="&amp;Team_Level[[#This Row],[Date]],Team_Level[Result],"&lt;&gt;"))</f>
        <v/>
      </c>
      <c r="T325" t="str">
        <f>Team_Level[[#This Row],[Team]]&amp;"-"&amp;Team_Level[[#This Row],[Chrono Rank]]</f>
        <v>Wycombe Wanderers-</v>
      </c>
    </row>
    <row r="326" spans="1:20" x14ac:dyDescent="0.25">
      <c r="A326" t="s">
        <v>403</v>
      </c>
      <c r="B326" s="6">
        <v>46417</v>
      </c>
      <c r="C326" t="s">
        <v>0</v>
      </c>
      <c r="D326" t="s">
        <v>20</v>
      </c>
      <c r="K326">
        <v>1</v>
      </c>
      <c r="L326" t="s">
        <v>34</v>
      </c>
      <c r="Q326" t="str">
        <f>IF(Team_Level[[#This Row],[Result]]="","",COUNTIFS(Team_Level[Team],Team_Level[[#This Row],[Team]],Team_Level[Date],"&gt;="&amp;Team_Level[[#This Row],[Date]],Team_Level[Result],"&lt;&gt;"))</f>
        <v/>
      </c>
      <c r="R326" t="str">
        <f>Team_Level[[#This Row],[Team]]&amp;"-"&amp;Team_Level[[#This Row],[Recency Rank]]</f>
        <v>AFC Wimbledon-</v>
      </c>
      <c r="S326" t="str">
        <f>IF(Team_Level[[#This Row],[Result]]="","",COUNTIFS(Team_Level[Team],Team_Level[[#This Row],[Team]],Team_Level[Date],"&lt;="&amp;Team_Level[[#This Row],[Date]],Team_Level[Result],"&lt;&gt;"))</f>
        <v/>
      </c>
      <c r="T326" t="str">
        <f>Team_Level[[#This Row],[Team]]&amp;"-"&amp;Team_Level[[#This Row],[Chrono Rank]]</f>
        <v>AFC Wimbledon-</v>
      </c>
    </row>
    <row r="327" spans="1:20" x14ac:dyDescent="0.25">
      <c r="A327" t="s">
        <v>404</v>
      </c>
      <c r="B327" s="6">
        <v>46417</v>
      </c>
      <c r="C327" t="s">
        <v>2</v>
      </c>
      <c r="D327" t="s">
        <v>18</v>
      </c>
      <c r="K327">
        <v>1</v>
      </c>
      <c r="L327" t="s">
        <v>34</v>
      </c>
      <c r="Q327" t="str">
        <f>IF(Team_Level[[#This Row],[Result]]="","",COUNTIFS(Team_Level[Team],Team_Level[[#This Row],[Team]],Team_Level[Date],"&gt;="&amp;Team_Level[[#This Row],[Date]],Team_Level[Result],"&lt;&gt;"))</f>
        <v/>
      </c>
      <c r="R327" t="str">
        <f>Team_Level[[#This Row],[Team]]&amp;"-"&amp;Team_Level[[#This Row],[Recency Rank]]</f>
        <v>Blackpool-</v>
      </c>
      <c r="S327" t="str">
        <f>IF(Team_Level[[#This Row],[Result]]="","",COUNTIFS(Team_Level[Team],Team_Level[[#This Row],[Team]],Team_Level[Date],"&lt;="&amp;Team_Level[[#This Row],[Date]],Team_Level[Result],"&lt;&gt;"))</f>
        <v/>
      </c>
      <c r="T327" t="str">
        <f>Team_Level[[#This Row],[Team]]&amp;"-"&amp;Team_Level[[#This Row],[Chrono Rank]]</f>
        <v>Blackpool-</v>
      </c>
    </row>
    <row r="328" spans="1:20" x14ac:dyDescent="0.25">
      <c r="A328" t="s">
        <v>405</v>
      </c>
      <c r="B328" s="6">
        <v>46417</v>
      </c>
      <c r="C328" t="s">
        <v>4</v>
      </c>
      <c r="D328" t="s">
        <v>21</v>
      </c>
      <c r="K328">
        <v>1</v>
      </c>
      <c r="L328" t="s">
        <v>34</v>
      </c>
      <c r="Q328" t="str">
        <f>IF(Team_Level[[#This Row],[Result]]="","",COUNTIFS(Team_Level[Team],Team_Level[[#This Row],[Team]],Team_Level[Date],"&gt;="&amp;Team_Level[[#This Row],[Date]],Team_Level[Result],"&lt;&gt;"))</f>
        <v/>
      </c>
      <c r="R328" t="str">
        <f>Team_Level[[#This Row],[Team]]&amp;"-"&amp;Team_Level[[#This Row],[Recency Rank]]</f>
        <v>Bromley-</v>
      </c>
      <c r="S328" t="str">
        <f>IF(Team_Level[[#This Row],[Result]]="","",COUNTIFS(Team_Level[Team],Team_Level[[#This Row],[Team]],Team_Level[Date],"&lt;="&amp;Team_Level[[#This Row],[Date]],Team_Level[Result],"&lt;&gt;"))</f>
        <v/>
      </c>
      <c r="T328" t="str">
        <f>Team_Level[[#This Row],[Team]]&amp;"-"&amp;Team_Level[[#This Row],[Chrono Rank]]</f>
        <v>Bromley-</v>
      </c>
    </row>
    <row r="329" spans="1:20" x14ac:dyDescent="0.25">
      <c r="A329" t="s">
        <v>406</v>
      </c>
      <c r="B329" s="6">
        <v>46417</v>
      </c>
      <c r="C329" t="s">
        <v>5</v>
      </c>
      <c r="D329" t="s">
        <v>22</v>
      </c>
      <c r="K329">
        <v>1</v>
      </c>
      <c r="L329" t="s">
        <v>34</v>
      </c>
      <c r="Q329" t="str">
        <f>IF(Team_Level[[#This Row],[Result]]="","",COUNTIFS(Team_Level[Team],Team_Level[[#This Row],[Team]],Team_Level[Date],"&gt;="&amp;Team_Level[[#This Row],[Date]],Team_Level[Result],"&lt;&gt;"))</f>
        <v/>
      </c>
      <c r="R329" t="str">
        <f>Team_Level[[#This Row],[Team]]&amp;"-"&amp;Team_Level[[#This Row],[Recency Rank]]</f>
        <v>Burton Albion-</v>
      </c>
      <c r="S329" t="str">
        <f>IF(Team_Level[[#This Row],[Result]]="","",COUNTIFS(Team_Level[Team],Team_Level[[#This Row],[Team]],Team_Level[Date],"&lt;="&amp;Team_Level[[#This Row],[Date]],Team_Level[Result],"&lt;&gt;"))</f>
        <v/>
      </c>
      <c r="T329" t="str">
        <f>Team_Level[[#This Row],[Team]]&amp;"-"&amp;Team_Level[[#This Row],[Chrono Rank]]</f>
        <v>Burton Albion-</v>
      </c>
    </row>
    <row r="330" spans="1:20" x14ac:dyDescent="0.25">
      <c r="A330" t="s">
        <v>407</v>
      </c>
      <c r="B330" s="6">
        <v>46417</v>
      </c>
      <c r="C330" t="s">
        <v>6</v>
      </c>
      <c r="D330" t="s">
        <v>10</v>
      </c>
      <c r="K330">
        <v>1</v>
      </c>
      <c r="L330" t="s">
        <v>34</v>
      </c>
      <c r="Q330" t="str">
        <f>IF(Team_Level[[#This Row],[Result]]="","",COUNTIFS(Team_Level[Team],Team_Level[[#This Row],[Team]],Team_Level[Date],"&gt;="&amp;Team_Level[[#This Row],[Date]],Team_Level[Result],"&lt;&gt;"))</f>
        <v/>
      </c>
      <c r="R330" t="str">
        <f>Team_Level[[#This Row],[Team]]&amp;"-"&amp;Team_Level[[#This Row],[Recency Rank]]</f>
        <v>Cambridge United-</v>
      </c>
      <c r="S330" t="str">
        <f>IF(Team_Level[[#This Row],[Result]]="","",COUNTIFS(Team_Level[Team],Team_Level[[#This Row],[Team]],Team_Level[Date],"&lt;="&amp;Team_Level[[#This Row],[Date]],Team_Level[Result],"&lt;&gt;"))</f>
        <v/>
      </c>
      <c r="T330" t="str">
        <f>Team_Level[[#This Row],[Team]]&amp;"-"&amp;Team_Level[[#This Row],[Chrono Rank]]</f>
        <v>Cambridge United-</v>
      </c>
    </row>
    <row r="331" spans="1:20" x14ac:dyDescent="0.25">
      <c r="A331" t="s">
        <v>408</v>
      </c>
      <c r="B331" s="6">
        <v>46417</v>
      </c>
      <c r="C331" t="s">
        <v>7</v>
      </c>
      <c r="D331" t="s">
        <v>33</v>
      </c>
      <c r="K331">
        <v>1</v>
      </c>
      <c r="L331" t="s">
        <v>34</v>
      </c>
      <c r="Q331" t="str">
        <f>IF(Team_Level[[#This Row],[Result]]="","",COUNTIFS(Team_Level[Team],Team_Level[[#This Row],[Team]],Team_Level[Date],"&gt;="&amp;Team_Level[[#This Row],[Date]],Team_Level[Result],"&lt;&gt;"))</f>
        <v/>
      </c>
      <c r="R331" t="str">
        <f>Team_Level[[#This Row],[Team]]&amp;"-"&amp;Team_Level[[#This Row],[Recency Rank]]</f>
        <v>Doncaster Rovers-</v>
      </c>
      <c r="S331" t="str">
        <f>IF(Team_Level[[#This Row],[Result]]="","",COUNTIFS(Team_Level[Team],Team_Level[[#This Row],[Team]],Team_Level[Date],"&lt;="&amp;Team_Level[[#This Row],[Date]],Team_Level[Result],"&lt;&gt;"))</f>
        <v/>
      </c>
      <c r="T331" t="str">
        <f>Team_Level[[#This Row],[Team]]&amp;"-"&amp;Team_Level[[#This Row],[Chrono Rank]]</f>
        <v>Doncaster Rovers-</v>
      </c>
    </row>
    <row r="332" spans="1:20" x14ac:dyDescent="0.25">
      <c r="A332" t="s">
        <v>409</v>
      </c>
      <c r="B332" s="6">
        <v>46417</v>
      </c>
      <c r="C332" t="s">
        <v>8</v>
      </c>
      <c r="D332" t="s">
        <v>3</v>
      </c>
      <c r="K332">
        <v>1</v>
      </c>
      <c r="L332" t="s">
        <v>34</v>
      </c>
      <c r="Q332" t="str">
        <f>IF(Team_Level[[#This Row],[Result]]="","",COUNTIFS(Team_Level[Team],Team_Level[[#This Row],[Team]],Team_Level[Date],"&gt;="&amp;Team_Level[[#This Row],[Date]],Team_Level[Result],"&lt;&gt;"))</f>
        <v/>
      </c>
      <c r="R332" t="str">
        <f>Team_Level[[#This Row],[Team]]&amp;"-"&amp;Team_Level[[#This Row],[Recency Rank]]</f>
        <v>Huddersfield Town-</v>
      </c>
      <c r="S332" t="str">
        <f>IF(Team_Level[[#This Row],[Result]]="","",COUNTIFS(Team_Level[Team],Team_Level[[#This Row],[Team]],Team_Level[Date],"&lt;="&amp;Team_Level[[#This Row],[Date]],Team_Level[Result],"&lt;&gt;"))</f>
        <v/>
      </c>
      <c r="T332" t="str">
        <f>Team_Level[[#This Row],[Team]]&amp;"-"&amp;Team_Level[[#This Row],[Chrono Rank]]</f>
        <v>Huddersfield Town-</v>
      </c>
    </row>
    <row r="333" spans="1:20" x14ac:dyDescent="0.25">
      <c r="A333" t="s">
        <v>410</v>
      </c>
      <c r="B333" s="6">
        <v>46417</v>
      </c>
      <c r="C333" t="s">
        <v>11</v>
      </c>
      <c r="D333" t="s">
        <v>15</v>
      </c>
      <c r="K333">
        <v>1</v>
      </c>
      <c r="L333" t="s">
        <v>34</v>
      </c>
      <c r="Q333" t="str">
        <f>IF(Team_Level[[#This Row],[Result]]="","",COUNTIFS(Team_Level[Team],Team_Level[[#This Row],[Team]],Team_Level[Date],"&gt;="&amp;Team_Level[[#This Row],[Date]],Team_Level[Result],"&lt;&gt;"))</f>
        <v/>
      </c>
      <c r="R333" t="str">
        <f>Team_Level[[#This Row],[Team]]&amp;"-"&amp;Team_Level[[#This Row],[Recency Rank]]</f>
        <v>Luton Town-</v>
      </c>
      <c r="S333" t="str">
        <f>IF(Team_Level[[#This Row],[Result]]="","",COUNTIFS(Team_Level[Team],Team_Level[[#This Row],[Team]],Team_Level[Date],"&lt;="&amp;Team_Level[[#This Row],[Date]],Team_Level[Result],"&lt;&gt;"))</f>
        <v/>
      </c>
      <c r="T333" t="str">
        <f>Team_Level[[#This Row],[Team]]&amp;"-"&amp;Team_Level[[#This Row],[Chrono Rank]]</f>
        <v>Luton Town-</v>
      </c>
    </row>
    <row r="334" spans="1:20" x14ac:dyDescent="0.25">
      <c r="A334" t="s">
        <v>411</v>
      </c>
      <c r="B334" s="6">
        <v>46417</v>
      </c>
      <c r="C334" t="s">
        <v>13</v>
      </c>
      <c r="D334" t="s">
        <v>12</v>
      </c>
      <c r="K334">
        <v>1</v>
      </c>
      <c r="L334" t="s">
        <v>34</v>
      </c>
      <c r="Q334" t="str">
        <f>IF(Team_Level[[#This Row],[Result]]="","",COUNTIFS(Team_Level[Team],Team_Level[[#This Row],[Team]],Team_Level[Date],"&gt;="&amp;Team_Level[[#This Row],[Date]],Team_Level[Result],"&lt;&gt;"))</f>
        <v/>
      </c>
      <c r="R334" t="str">
        <f>Team_Level[[#This Row],[Team]]&amp;"-"&amp;Team_Level[[#This Row],[Recency Rank]]</f>
        <v>Notts County-</v>
      </c>
      <c r="S334" t="str">
        <f>IF(Team_Level[[#This Row],[Result]]="","",COUNTIFS(Team_Level[Team],Team_Level[[#This Row],[Team]],Team_Level[Date],"&lt;="&amp;Team_Level[[#This Row],[Date]],Team_Level[Result],"&lt;&gt;"))</f>
        <v/>
      </c>
      <c r="T334" t="str">
        <f>Team_Level[[#This Row],[Team]]&amp;"-"&amp;Team_Level[[#This Row],[Chrono Rank]]</f>
        <v>Notts County-</v>
      </c>
    </row>
    <row r="335" spans="1:20" x14ac:dyDescent="0.25">
      <c r="A335" t="s">
        <v>412</v>
      </c>
      <c r="B335" s="6">
        <v>46417</v>
      </c>
      <c r="C335" t="s">
        <v>14</v>
      </c>
      <c r="D335" t="s">
        <v>1</v>
      </c>
      <c r="K335">
        <v>1</v>
      </c>
      <c r="L335" t="s">
        <v>34</v>
      </c>
      <c r="Q335" t="str">
        <f>IF(Team_Level[[#This Row],[Result]]="","",COUNTIFS(Team_Level[Team],Team_Level[[#This Row],[Team]],Team_Level[Date],"&gt;="&amp;Team_Level[[#This Row],[Date]],Team_Level[Result],"&lt;&gt;"))</f>
        <v/>
      </c>
      <c r="R335" t="str">
        <f>Team_Level[[#This Row],[Team]]&amp;"-"&amp;Team_Level[[#This Row],[Recency Rank]]</f>
        <v>Oxford United-</v>
      </c>
      <c r="S335" t="str">
        <f>IF(Team_Level[[#This Row],[Result]]="","",COUNTIFS(Team_Level[Team],Team_Level[[#This Row],[Team]],Team_Level[Date],"&lt;="&amp;Team_Level[[#This Row],[Date]],Team_Level[Result],"&lt;&gt;"))</f>
        <v/>
      </c>
      <c r="T335" t="str">
        <f>Team_Level[[#This Row],[Team]]&amp;"-"&amp;Team_Level[[#This Row],[Chrono Rank]]</f>
        <v>Oxford United-</v>
      </c>
    </row>
    <row r="336" spans="1:20" x14ac:dyDescent="0.25">
      <c r="A336" t="s">
        <v>413</v>
      </c>
      <c r="B336" s="6">
        <v>46417</v>
      </c>
      <c r="C336" t="s">
        <v>17</v>
      </c>
      <c r="D336" t="s">
        <v>16</v>
      </c>
      <c r="K336">
        <v>1</v>
      </c>
      <c r="L336" t="s">
        <v>34</v>
      </c>
      <c r="Q336" t="str">
        <f>IF(Team_Level[[#This Row],[Result]]="","",COUNTIFS(Team_Level[Team],Team_Level[[#This Row],[Team]],Team_Level[Date],"&gt;="&amp;Team_Level[[#This Row],[Date]],Team_Level[Result],"&lt;&gt;"))</f>
        <v/>
      </c>
      <c r="R336" t="str">
        <f>Team_Level[[#This Row],[Team]]&amp;"-"&amp;Team_Level[[#This Row],[Recency Rank]]</f>
        <v>Reading-</v>
      </c>
      <c r="S336" t="str">
        <f>IF(Team_Level[[#This Row],[Result]]="","",COUNTIFS(Team_Level[Team],Team_Level[[#This Row],[Team]],Team_Level[Date],"&lt;="&amp;Team_Level[[#This Row],[Date]],Team_Level[Result],"&lt;&gt;"))</f>
        <v/>
      </c>
      <c r="T336" t="str">
        <f>Team_Level[[#This Row],[Team]]&amp;"-"&amp;Team_Level[[#This Row],[Chrono Rank]]</f>
        <v>Reading-</v>
      </c>
    </row>
    <row r="337" spans="1:20" x14ac:dyDescent="0.25">
      <c r="A337" t="s">
        <v>414</v>
      </c>
      <c r="B337" s="6">
        <v>46417</v>
      </c>
      <c r="C337" t="s">
        <v>19</v>
      </c>
      <c r="D337" t="s">
        <v>9</v>
      </c>
      <c r="K337">
        <v>1</v>
      </c>
      <c r="L337" t="s">
        <v>34</v>
      </c>
      <c r="Q337" t="str">
        <f>IF(Team_Level[[#This Row],[Result]]="","",COUNTIFS(Team_Level[Team],Team_Level[[#This Row],[Team]],Team_Level[Date],"&gt;="&amp;Team_Level[[#This Row],[Date]],Team_Level[Result],"&lt;&gt;"))</f>
        <v/>
      </c>
      <c r="R337" t="str">
        <f>Team_Level[[#This Row],[Team]]&amp;"-"&amp;Team_Level[[#This Row],[Recency Rank]]</f>
        <v>Stevenage-</v>
      </c>
      <c r="S337" t="str">
        <f>IF(Team_Level[[#This Row],[Result]]="","",COUNTIFS(Team_Level[Team],Team_Level[[#This Row],[Team]],Team_Level[Date],"&lt;="&amp;Team_Level[[#This Row],[Date]],Team_Level[Result],"&lt;&gt;"))</f>
        <v/>
      </c>
      <c r="T337" t="str">
        <f>Team_Level[[#This Row],[Team]]&amp;"-"&amp;Team_Level[[#This Row],[Chrono Rank]]</f>
        <v>Stevenage-</v>
      </c>
    </row>
    <row r="338" spans="1:20" x14ac:dyDescent="0.25">
      <c r="A338" t="s">
        <v>415</v>
      </c>
      <c r="B338" s="6">
        <v>46424</v>
      </c>
      <c r="C338" t="s">
        <v>1</v>
      </c>
      <c r="D338" t="s">
        <v>10</v>
      </c>
      <c r="K338">
        <v>1</v>
      </c>
      <c r="L338" t="s">
        <v>34</v>
      </c>
      <c r="Q338" t="str">
        <f>IF(Team_Level[[#This Row],[Result]]="","",COUNTIFS(Team_Level[Team],Team_Level[[#This Row],[Team]],Team_Level[Date],"&gt;="&amp;Team_Level[[#This Row],[Date]],Team_Level[Result],"&lt;&gt;"))</f>
        <v/>
      </c>
      <c r="R338" t="str">
        <f>Team_Level[[#This Row],[Team]]&amp;"-"&amp;Team_Level[[#This Row],[Recency Rank]]</f>
        <v>Barnsley-</v>
      </c>
      <c r="S338" t="str">
        <f>IF(Team_Level[[#This Row],[Result]]="","",COUNTIFS(Team_Level[Team],Team_Level[[#This Row],[Team]],Team_Level[Date],"&lt;="&amp;Team_Level[[#This Row],[Date]],Team_Level[Result],"&lt;&gt;"))</f>
        <v/>
      </c>
      <c r="T338" t="str">
        <f>Team_Level[[#This Row],[Team]]&amp;"-"&amp;Team_Level[[#This Row],[Chrono Rank]]</f>
        <v>Barnsley-</v>
      </c>
    </row>
    <row r="339" spans="1:20" x14ac:dyDescent="0.25">
      <c r="A339" t="s">
        <v>416</v>
      </c>
      <c r="B339" s="6">
        <v>46424</v>
      </c>
      <c r="C339" t="s">
        <v>3</v>
      </c>
      <c r="D339" t="s">
        <v>16</v>
      </c>
      <c r="K339">
        <v>1</v>
      </c>
      <c r="L339" t="s">
        <v>34</v>
      </c>
      <c r="Q339" t="str">
        <f>IF(Team_Level[[#This Row],[Result]]="","",COUNTIFS(Team_Level[Team],Team_Level[[#This Row],[Team]],Team_Level[Date],"&gt;="&amp;Team_Level[[#This Row],[Date]],Team_Level[Result],"&lt;&gt;"))</f>
        <v/>
      </c>
      <c r="R339" t="str">
        <f>Team_Level[[#This Row],[Team]]&amp;"-"&amp;Team_Level[[#This Row],[Recency Rank]]</f>
        <v>Bradford City-</v>
      </c>
      <c r="S339" t="str">
        <f>IF(Team_Level[[#This Row],[Result]]="","",COUNTIFS(Team_Level[Team],Team_Level[[#This Row],[Team]],Team_Level[Date],"&lt;="&amp;Team_Level[[#This Row],[Date]],Team_Level[Result],"&lt;&gt;"))</f>
        <v/>
      </c>
      <c r="T339" t="str">
        <f>Team_Level[[#This Row],[Team]]&amp;"-"&amp;Team_Level[[#This Row],[Chrono Rank]]</f>
        <v>Bradford City-</v>
      </c>
    </row>
    <row r="340" spans="1:20" x14ac:dyDescent="0.25">
      <c r="A340" t="s">
        <v>417</v>
      </c>
      <c r="B340" s="6">
        <v>46424</v>
      </c>
      <c r="C340" t="s">
        <v>4</v>
      </c>
      <c r="D340" t="s">
        <v>18</v>
      </c>
      <c r="K340">
        <v>1</v>
      </c>
      <c r="L340" t="s">
        <v>34</v>
      </c>
      <c r="Q340" t="str">
        <f>IF(Team_Level[[#This Row],[Result]]="","",COUNTIFS(Team_Level[Team],Team_Level[[#This Row],[Team]],Team_Level[Date],"&gt;="&amp;Team_Level[[#This Row],[Date]],Team_Level[Result],"&lt;&gt;"))</f>
        <v/>
      </c>
      <c r="R340" t="str">
        <f>Team_Level[[#This Row],[Team]]&amp;"-"&amp;Team_Level[[#This Row],[Recency Rank]]</f>
        <v>Bromley-</v>
      </c>
      <c r="S340" t="str">
        <f>IF(Team_Level[[#This Row],[Result]]="","",COUNTIFS(Team_Level[Team],Team_Level[[#This Row],[Team]],Team_Level[Date],"&lt;="&amp;Team_Level[[#This Row],[Date]],Team_Level[Result],"&lt;&gt;"))</f>
        <v/>
      </c>
      <c r="T340" t="str">
        <f>Team_Level[[#This Row],[Team]]&amp;"-"&amp;Team_Level[[#This Row],[Chrono Rank]]</f>
        <v>Bromley-</v>
      </c>
    </row>
    <row r="341" spans="1:20" x14ac:dyDescent="0.25">
      <c r="A341" t="s">
        <v>418</v>
      </c>
      <c r="B341" s="6">
        <v>46424</v>
      </c>
      <c r="C341" t="s">
        <v>5</v>
      </c>
      <c r="D341" t="s">
        <v>13</v>
      </c>
      <c r="K341">
        <v>1</v>
      </c>
      <c r="L341" t="s">
        <v>34</v>
      </c>
      <c r="Q341" t="str">
        <f>IF(Team_Level[[#This Row],[Result]]="","",COUNTIFS(Team_Level[Team],Team_Level[[#This Row],[Team]],Team_Level[Date],"&gt;="&amp;Team_Level[[#This Row],[Date]],Team_Level[Result],"&lt;&gt;"))</f>
        <v/>
      </c>
      <c r="R341" t="str">
        <f>Team_Level[[#This Row],[Team]]&amp;"-"&amp;Team_Level[[#This Row],[Recency Rank]]</f>
        <v>Burton Albion-</v>
      </c>
      <c r="S341" t="str">
        <f>IF(Team_Level[[#This Row],[Result]]="","",COUNTIFS(Team_Level[Team],Team_Level[[#This Row],[Team]],Team_Level[Date],"&lt;="&amp;Team_Level[[#This Row],[Date]],Team_Level[Result],"&lt;&gt;"))</f>
        <v/>
      </c>
      <c r="T341" t="str">
        <f>Team_Level[[#This Row],[Team]]&amp;"-"&amp;Team_Level[[#This Row],[Chrono Rank]]</f>
        <v>Burton Albion-</v>
      </c>
    </row>
    <row r="342" spans="1:20" x14ac:dyDescent="0.25">
      <c r="A342" t="s">
        <v>419</v>
      </c>
      <c r="B342" s="6">
        <v>46424</v>
      </c>
      <c r="C342" t="s">
        <v>7</v>
      </c>
      <c r="D342" t="s">
        <v>19</v>
      </c>
      <c r="K342">
        <v>1</v>
      </c>
      <c r="L342" t="s">
        <v>34</v>
      </c>
      <c r="Q342" t="str">
        <f>IF(Team_Level[[#This Row],[Result]]="","",COUNTIFS(Team_Level[Team],Team_Level[[#This Row],[Team]],Team_Level[Date],"&gt;="&amp;Team_Level[[#This Row],[Date]],Team_Level[Result],"&lt;&gt;"))</f>
        <v/>
      </c>
      <c r="R342" t="str">
        <f>Team_Level[[#This Row],[Team]]&amp;"-"&amp;Team_Level[[#This Row],[Recency Rank]]</f>
        <v>Doncaster Rovers-</v>
      </c>
      <c r="S342" t="str">
        <f>IF(Team_Level[[#This Row],[Result]]="","",COUNTIFS(Team_Level[Team],Team_Level[[#This Row],[Team]],Team_Level[Date],"&lt;="&amp;Team_Level[[#This Row],[Date]],Team_Level[Result],"&lt;&gt;"))</f>
        <v/>
      </c>
      <c r="T342" t="str">
        <f>Team_Level[[#This Row],[Team]]&amp;"-"&amp;Team_Level[[#This Row],[Chrono Rank]]</f>
        <v>Doncaster Rovers-</v>
      </c>
    </row>
    <row r="343" spans="1:20" x14ac:dyDescent="0.25">
      <c r="A343" t="s">
        <v>420</v>
      </c>
      <c r="B343" s="6">
        <v>46424</v>
      </c>
      <c r="C343" t="s">
        <v>8</v>
      </c>
      <c r="D343" t="s">
        <v>6</v>
      </c>
      <c r="K343">
        <v>1</v>
      </c>
      <c r="L343" t="s">
        <v>34</v>
      </c>
      <c r="Q343" t="str">
        <f>IF(Team_Level[[#This Row],[Result]]="","",COUNTIFS(Team_Level[Team],Team_Level[[#This Row],[Team]],Team_Level[Date],"&gt;="&amp;Team_Level[[#This Row],[Date]],Team_Level[Result],"&lt;&gt;"))</f>
        <v/>
      </c>
      <c r="R343" t="str">
        <f>Team_Level[[#This Row],[Team]]&amp;"-"&amp;Team_Level[[#This Row],[Recency Rank]]</f>
        <v>Huddersfield Town-</v>
      </c>
      <c r="S343" t="str">
        <f>IF(Team_Level[[#This Row],[Result]]="","",COUNTIFS(Team_Level[Team],Team_Level[[#This Row],[Team]],Team_Level[Date],"&lt;="&amp;Team_Level[[#This Row],[Date]],Team_Level[Result],"&lt;&gt;"))</f>
        <v/>
      </c>
      <c r="T343" t="str">
        <f>Team_Level[[#This Row],[Team]]&amp;"-"&amp;Team_Level[[#This Row],[Chrono Rank]]</f>
        <v>Huddersfield Town-</v>
      </c>
    </row>
    <row r="344" spans="1:20" x14ac:dyDescent="0.25">
      <c r="A344" t="s">
        <v>421</v>
      </c>
      <c r="B344" s="6">
        <v>46424</v>
      </c>
      <c r="C344" t="s">
        <v>9</v>
      </c>
      <c r="D344" t="s">
        <v>33</v>
      </c>
      <c r="K344">
        <v>1</v>
      </c>
      <c r="L344" t="s">
        <v>34</v>
      </c>
      <c r="Q344" t="str">
        <f>IF(Team_Level[[#This Row],[Result]]="","",COUNTIFS(Team_Level[Team],Team_Level[[#This Row],[Team]],Team_Level[Date],"&gt;="&amp;Team_Level[[#This Row],[Date]],Team_Level[Result],"&lt;&gt;"))</f>
        <v/>
      </c>
      <c r="R344" t="str">
        <f>Team_Level[[#This Row],[Team]]&amp;"-"&amp;Team_Level[[#This Row],[Recency Rank]]</f>
        <v>Leicester City-</v>
      </c>
      <c r="S344" t="str">
        <f>IF(Team_Level[[#This Row],[Result]]="","",COUNTIFS(Team_Level[Team],Team_Level[[#This Row],[Team]],Team_Level[Date],"&lt;="&amp;Team_Level[[#This Row],[Date]],Team_Level[Result],"&lt;&gt;"))</f>
        <v/>
      </c>
      <c r="T344" t="str">
        <f>Team_Level[[#This Row],[Team]]&amp;"-"&amp;Team_Level[[#This Row],[Chrono Rank]]</f>
        <v>Leicester City-</v>
      </c>
    </row>
    <row r="345" spans="1:20" x14ac:dyDescent="0.25">
      <c r="A345" t="s">
        <v>422</v>
      </c>
      <c r="B345" s="6">
        <v>46424</v>
      </c>
      <c r="C345" t="s">
        <v>11</v>
      </c>
      <c r="D345" t="s">
        <v>12</v>
      </c>
      <c r="K345">
        <v>1</v>
      </c>
      <c r="L345" t="s">
        <v>34</v>
      </c>
      <c r="Q345" t="str">
        <f>IF(Team_Level[[#This Row],[Result]]="","",COUNTIFS(Team_Level[Team],Team_Level[[#This Row],[Team]],Team_Level[Date],"&gt;="&amp;Team_Level[[#This Row],[Date]],Team_Level[Result],"&lt;&gt;"))</f>
        <v/>
      </c>
      <c r="R345" t="str">
        <f>Team_Level[[#This Row],[Team]]&amp;"-"&amp;Team_Level[[#This Row],[Recency Rank]]</f>
        <v>Luton Town-</v>
      </c>
      <c r="S345" t="str">
        <f>IF(Team_Level[[#This Row],[Result]]="","",COUNTIFS(Team_Level[Team],Team_Level[[#This Row],[Team]],Team_Level[Date],"&lt;="&amp;Team_Level[[#This Row],[Date]],Team_Level[Result],"&lt;&gt;"))</f>
        <v/>
      </c>
      <c r="T345" t="str">
        <f>Team_Level[[#This Row],[Team]]&amp;"-"&amp;Team_Level[[#This Row],[Chrono Rank]]</f>
        <v>Luton Town-</v>
      </c>
    </row>
    <row r="346" spans="1:20" x14ac:dyDescent="0.25">
      <c r="A346" t="s">
        <v>423</v>
      </c>
      <c r="B346" s="6">
        <v>46424</v>
      </c>
      <c r="C346" t="s">
        <v>15</v>
      </c>
      <c r="D346" t="s">
        <v>2</v>
      </c>
      <c r="K346">
        <v>1</v>
      </c>
      <c r="L346" t="s">
        <v>34</v>
      </c>
      <c r="Q346" t="str">
        <f>IF(Team_Level[[#This Row],[Result]]="","",COUNTIFS(Team_Level[Team],Team_Level[[#This Row],[Team]],Team_Level[Date],"&gt;="&amp;Team_Level[[#This Row],[Date]],Team_Level[Result],"&lt;&gt;"))</f>
        <v/>
      </c>
      <c r="R346" t="str">
        <f>Team_Level[[#This Row],[Team]]&amp;"-"&amp;Team_Level[[#This Row],[Recency Rank]]</f>
        <v>Peterborough United-</v>
      </c>
      <c r="S346" t="str">
        <f>IF(Team_Level[[#This Row],[Result]]="","",COUNTIFS(Team_Level[Team],Team_Level[[#This Row],[Team]],Team_Level[Date],"&lt;="&amp;Team_Level[[#This Row],[Date]],Team_Level[Result],"&lt;&gt;"))</f>
        <v/>
      </c>
      <c r="T346" t="str">
        <f>Team_Level[[#This Row],[Team]]&amp;"-"&amp;Team_Level[[#This Row],[Chrono Rank]]</f>
        <v>Peterborough United-</v>
      </c>
    </row>
    <row r="347" spans="1:20" x14ac:dyDescent="0.25">
      <c r="A347" t="s">
        <v>424</v>
      </c>
      <c r="B347" s="6">
        <v>46424</v>
      </c>
      <c r="C347" t="s">
        <v>17</v>
      </c>
      <c r="D347" t="s">
        <v>14</v>
      </c>
      <c r="K347">
        <v>1</v>
      </c>
      <c r="L347" t="s">
        <v>34</v>
      </c>
      <c r="Q347" t="str">
        <f>IF(Team_Level[[#This Row],[Result]]="","",COUNTIFS(Team_Level[Team],Team_Level[[#This Row],[Team]],Team_Level[Date],"&gt;="&amp;Team_Level[[#This Row],[Date]],Team_Level[Result],"&lt;&gt;"))</f>
        <v/>
      </c>
      <c r="R347" t="str">
        <f>Team_Level[[#This Row],[Team]]&amp;"-"&amp;Team_Level[[#This Row],[Recency Rank]]</f>
        <v>Reading-</v>
      </c>
      <c r="S347" t="str">
        <f>IF(Team_Level[[#This Row],[Result]]="","",COUNTIFS(Team_Level[Team],Team_Level[[#This Row],[Team]],Team_Level[Date],"&lt;="&amp;Team_Level[[#This Row],[Date]],Team_Level[Result],"&lt;&gt;"))</f>
        <v/>
      </c>
      <c r="T347" t="str">
        <f>Team_Level[[#This Row],[Team]]&amp;"-"&amp;Team_Level[[#This Row],[Chrono Rank]]</f>
        <v>Reading-</v>
      </c>
    </row>
    <row r="348" spans="1:20" x14ac:dyDescent="0.25">
      <c r="A348" t="s">
        <v>425</v>
      </c>
      <c r="B348" s="6">
        <v>46424</v>
      </c>
      <c r="C348" t="s">
        <v>21</v>
      </c>
      <c r="D348" t="s">
        <v>0</v>
      </c>
      <c r="K348">
        <v>1</v>
      </c>
      <c r="L348" t="s">
        <v>34</v>
      </c>
      <c r="Q348" t="str">
        <f>IF(Team_Level[[#This Row],[Result]]="","",COUNTIFS(Team_Level[Team],Team_Level[[#This Row],[Team]],Team_Level[Date],"&gt;="&amp;Team_Level[[#This Row],[Date]],Team_Level[Result],"&lt;&gt;"))</f>
        <v/>
      </c>
      <c r="R348" t="str">
        <f>Team_Level[[#This Row],[Team]]&amp;"-"&amp;Team_Level[[#This Row],[Recency Rank]]</f>
        <v>Wigan Athletic-</v>
      </c>
      <c r="S348" t="str">
        <f>IF(Team_Level[[#This Row],[Result]]="","",COUNTIFS(Team_Level[Team],Team_Level[[#This Row],[Team]],Team_Level[Date],"&lt;="&amp;Team_Level[[#This Row],[Date]],Team_Level[Result],"&lt;&gt;"))</f>
        <v/>
      </c>
      <c r="T348" t="str">
        <f>Team_Level[[#This Row],[Team]]&amp;"-"&amp;Team_Level[[#This Row],[Chrono Rank]]</f>
        <v>Wigan Athletic-</v>
      </c>
    </row>
    <row r="349" spans="1:20" x14ac:dyDescent="0.25">
      <c r="A349" t="s">
        <v>426</v>
      </c>
      <c r="B349" s="6">
        <v>46424</v>
      </c>
      <c r="C349" t="s">
        <v>22</v>
      </c>
      <c r="D349" t="s">
        <v>20</v>
      </c>
      <c r="K349">
        <v>1</v>
      </c>
      <c r="L349" t="s">
        <v>34</v>
      </c>
      <c r="Q349" t="str">
        <f>IF(Team_Level[[#This Row],[Result]]="","",COUNTIFS(Team_Level[Team],Team_Level[[#This Row],[Team]],Team_Level[Date],"&gt;="&amp;Team_Level[[#This Row],[Date]],Team_Level[Result],"&lt;&gt;"))</f>
        <v/>
      </c>
      <c r="R349" t="str">
        <f>Team_Level[[#This Row],[Team]]&amp;"-"&amp;Team_Level[[#This Row],[Recency Rank]]</f>
        <v>Wycombe Wanderers-</v>
      </c>
      <c r="S349" t="str">
        <f>IF(Team_Level[[#This Row],[Result]]="","",COUNTIFS(Team_Level[Team],Team_Level[[#This Row],[Team]],Team_Level[Date],"&lt;="&amp;Team_Level[[#This Row],[Date]],Team_Level[Result],"&lt;&gt;"))</f>
        <v/>
      </c>
      <c r="T349" t="str">
        <f>Team_Level[[#This Row],[Team]]&amp;"-"&amp;Team_Level[[#This Row],[Chrono Rank]]</f>
        <v>Wycombe Wanderers-</v>
      </c>
    </row>
    <row r="350" spans="1:20" x14ac:dyDescent="0.25">
      <c r="A350" t="s">
        <v>427</v>
      </c>
      <c r="B350" s="6">
        <v>46427</v>
      </c>
      <c r="C350" t="s">
        <v>0</v>
      </c>
      <c r="D350" t="s">
        <v>5</v>
      </c>
      <c r="K350">
        <v>1</v>
      </c>
      <c r="L350" t="s">
        <v>34</v>
      </c>
      <c r="Q350" t="str">
        <f>IF(Team_Level[[#This Row],[Result]]="","",COUNTIFS(Team_Level[Team],Team_Level[[#This Row],[Team]],Team_Level[Date],"&gt;="&amp;Team_Level[[#This Row],[Date]],Team_Level[Result],"&lt;&gt;"))</f>
        <v/>
      </c>
      <c r="R350" t="str">
        <f>Team_Level[[#This Row],[Team]]&amp;"-"&amp;Team_Level[[#This Row],[Recency Rank]]</f>
        <v>AFC Wimbledon-</v>
      </c>
      <c r="S350" t="str">
        <f>IF(Team_Level[[#This Row],[Result]]="","",COUNTIFS(Team_Level[Team],Team_Level[[#This Row],[Team]],Team_Level[Date],"&lt;="&amp;Team_Level[[#This Row],[Date]],Team_Level[Result],"&lt;&gt;"))</f>
        <v/>
      </c>
      <c r="T350" t="str">
        <f>Team_Level[[#This Row],[Team]]&amp;"-"&amp;Team_Level[[#This Row],[Chrono Rank]]</f>
        <v>AFC Wimbledon-</v>
      </c>
    </row>
    <row r="351" spans="1:20" x14ac:dyDescent="0.25">
      <c r="A351" t="s">
        <v>428</v>
      </c>
      <c r="B351" s="6">
        <v>46427</v>
      </c>
      <c r="C351" t="s">
        <v>2</v>
      </c>
      <c r="D351" t="s">
        <v>1</v>
      </c>
      <c r="K351">
        <v>1</v>
      </c>
      <c r="L351" t="s">
        <v>34</v>
      </c>
      <c r="Q351" t="str">
        <f>IF(Team_Level[[#This Row],[Result]]="","",COUNTIFS(Team_Level[Team],Team_Level[[#This Row],[Team]],Team_Level[Date],"&gt;="&amp;Team_Level[[#This Row],[Date]],Team_Level[Result],"&lt;&gt;"))</f>
        <v/>
      </c>
      <c r="R351" t="str">
        <f>Team_Level[[#This Row],[Team]]&amp;"-"&amp;Team_Level[[#This Row],[Recency Rank]]</f>
        <v>Blackpool-</v>
      </c>
      <c r="S351" t="str">
        <f>IF(Team_Level[[#This Row],[Result]]="","",COUNTIFS(Team_Level[Team],Team_Level[[#This Row],[Team]],Team_Level[Date],"&lt;="&amp;Team_Level[[#This Row],[Date]],Team_Level[Result],"&lt;&gt;"))</f>
        <v/>
      </c>
      <c r="T351" t="str">
        <f>Team_Level[[#This Row],[Team]]&amp;"-"&amp;Team_Level[[#This Row],[Chrono Rank]]</f>
        <v>Blackpool-</v>
      </c>
    </row>
    <row r="352" spans="1:20" x14ac:dyDescent="0.25">
      <c r="A352" t="s">
        <v>429</v>
      </c>
      <c r="B352" s="6">
        <v>46427</v>
      </c>
      <c r="C352" t="s">
        <v>6</v>
      </c>
      <c r="D352" t="s">
        <v>3</v>
      </c>
      <c r="K352">
        <v>1</v>
      </c>
      <c r="L352" t="s">
        <v>34</v>
      </c>
      <c r="Q352" t="str">
        <f>IF(Team_Level[[#This Row],[Result]]="","",COUNTIFS(Team_Level[Team],Team_Level[[#This Row],[Team]],Team_Level[Date],"&gt;="&amp;Team_Level[[#This Row],[Date]],Team_Level[Result],"&lt;&gt;"))</f>
        <v/>
      </c>
      <c r="R352" t="str">
        <f>Team_Level[[#This Row],[Team]]&amp;"-"&amp;Team_Level[[#This Row],[Recency Rank]]</f>
        <v>Cambridge United-</v>
      </c>
      <c r="S352" t="str">
        <f>IF(Team_Level[[#This Row],[Result]]="","",COUNTIFS(Team_Level[Team],Team_Level[[#This Row],[Team]],Team_Level[Date],"&lt;="&amp;Team_Level[[#This Row],[Date]],Team_Level[Result],"&lt;&gt;"))</f>
        <v/>
      </c>
      <c r="T352" t="str">
        <f>Team_Level[[#This Row],[Team]]&amp;"-"&amp;Team_Level[[#This Row],[Chrono Rank]]</f>
        <v>Cambridge United-</v>
      </c>
    </row>
    <row r="353" spans="1:20" x14ac:dyDescent="0.25">
      <c r="A353" t="s">
        <v>430</v>
      </c>
      <c r="B353" s="6">
        <v>46427</v>
      </c>
      <c r="C353" t="s">
        <v>10</v>
      </c>
      <c r="D353" t="s">
        <v>4</v>
      </c>
      <c r="K353">
        <v>1</v>
      </c>
      <c r="L353" t="s">
        <v>34</v>
      </c>
      <c r="Q353" t="str">
        <f>IF(Team_Level[[#This Row],[Result]]="","",COUNTIFS(Team_Level[Team],Team_Level[[#This Row],[Team]],Team_Level[Date],"&gt;="&amp;Team_Level[[#This Row],[Date]],Team_Level[Result],"&lt;&gt;"))</f>
        <v/>
      </c>
      <c r="R353" t="str">
        <f>Team_Level[[#This Row],[Team]]&amp;"-"&amp;Team_Level[[#This Row],[Recency Rank]]</f>
        <v>Leyton Orient-</v>
      </c>
      <c r="S353" t="str">
        <f>IF(Team_Level[[#This Row],[Result]]="","",COUNTIFS(Team_Level[Team],Team_Level[[#This Row],[Team]],Team_Level[Date],"&lt;="&amp;Team_Level[[#This Row],[Date]],Team_Level[Result],"&lt;&gt;"))</f>
        <v/>
      </c>
      <c r="T353" t="str">
        <f>Team_Level[[#This Row],[Team]]&amp;"-"&amp;Team_Level[[#This Row],[Chrono Rank]]</f>
        <v>Leyton Orient-</v>
      </c>
    </row>
    <row r="354" spans="1:20" x14ac:dyDescent="0.25">
      <c r="A354" t="s">
        <v>431</v>
      </c>
      <c r="B354" s="6">
        <v>46427</v>
      </c>
      <c r="C354" t="s">
        <v>12</v>
      </c>
      <c r="D354" t="s">
        <v>17</v>
      </c>
      <c r="K354">
        <v>1</v>
      </c>
      <c r="L354" t="s">
        <v>34</v>
      </c>
      <c r="Q354" t="str">
        <f>IF(Team_Level[[#This Row],[Result]]="","",COUNTIFS(Team_Level[Team],Team_Level[[#This Row],[Team]],Team_Level[Date],"&gt;="&amp;Team_Level[[#This Row],[Date]],Team_Level[Result],"&lt;&gt;"))</f>
        <v/>
      </c>
      <c r="R354" t="str">
        <f>Team_Level[[#This Row],[Team]]&amp;"-"&amp;Team_Level[[#This Row],[Recency Rank]]</f>
        <v>Mansfield Town-</v>
      </c>
      <c r="S354" t="str">
        <f>IF(Team_Level[[#This Row],[Result]]="","",COUNTIFS(Team_Level[Team],Team_Level[[#This Row],[Team]],Team_Level[Date],"&lt;="&amp;Team_Level[[#This Row],[Date]],Team_Level[Result],"&lt;&gt;"))</f>
        <v/>
      </c>
      <c r="T354" t="str">
        <f>Team_Level[[#This Row],[Team]]&amp;"-"&amp;Team_Level[[#This Row],[Chrono Rank]]</f>
        <v>Mansfield Town-</v>
      </c>
    </row>
    <row r="355" spans="1:20" x14ac:dyDescent="0.25">
      <c r="A355" t="s">
        <v>432</v>
      </c>
      <c r="B355" s="6">
        <v>46427</v>
      </c>
      <c r="C355" t="s">
        <v>33</v>
      </c>
      <c r="D355" t="s">
        <v>21</v>
      </c>
      <c r="K355">
        <v>1</v>
      </c>
      <c r="L355" t="s">
        <v>34</v>
      </c>
      <c r="Q355" t="str">
        <f>IF(Team_Level[[#This Row],[Result]]="","",COUNTIFS(Team_Level[Team],Team_Level[[#This Row],[Team]],Team_Level[Date],"&gt;="&amp;Team_Level[[#This Row],[Date]],Team_Level[Result],"&lt;&gt;"))</f>
        <v/>
      </c>
      <c r="R355" t="str">
        <f>Team_Level[[#This Row],[Team]]&amp;"-"&amp;Team_Level[[#This Row],[Recency Rank]]</f>
        <v>Milton Keynes Dons-</v>
      </c>
      <c r="S355" t="str">
        <f>IF(Team_Level[[#This Row],[Result]]="","",COUNTIFS(Team_Level[Team],Team_Level[[#This Row],[Team]],Team_Level[Date],"&lt;="&amp;Team_Level[[#This Row],[Date]],Team_Level[Result],"&lt;&gt;"))</f>
        <v/>
      </c>
      <c r="T355" t="str">
        <f>Team_Level[[#This Row],[Team]]&amp;"-"&amp;Team_Level[[#This Row],[Chrono Rank]]</f>
        <v>Milton Keynes Dons-</v>
      </c>
    </row>
    <row r="356" spans="1:20" x14ac:dyDescent="0.25">
      <c r="A356" t="s">
        <v>433</v>
      </c>
      <c r="B356" s="6">
        <v>46427</v>
      </c>
      <c r="C356" t="s">
        <v>13</v>
      </c>
      <c r="D356" t="s">
        <v>7</v>
      </c>
      <c r="K356">
        <v>1</v>
      </c>
      <c r="L356" t="s">
        <v>34</v>
      </c>
      <c r="Q356" t="str">
        <f>IF(Team_Level[[#This Row],[Result]]="","",COUNTIFS(Team_Level[Team],Team_Level[[#This Row],[Team]],Team_Level[Date],"&gt;="&amp;Team_Level[[#This Row],[Date]],Team_Level[Result],"&lt;&gt;"))</f>
        <v/>
      </c>
      <c r="R356" t="str">
        <f>Team_Level[[#This Row],[Team]]&amp;"-"&amp;Team_Level[[#This Row],[Recency Rank]]</f>
        <v>Notts County-</v>
      </c>
      <c r="S356" t="str">
        <f>IF(Team_Level[[#This Row],[Result]]="","",COUNTIFS(Team_Level[Team],Team_Level[[#This Row],[Team]],Team_Level[Date],"&lt;="&amp;Team_Level[[#This Row],[Date]],Team_Level[Result],"&lt;&gt;"))</f>
        <v/>
      </c>
      <c r="T356" t="str">
        <f>Team_Level[[#This Row],[Team]]&amp;"-"&amp;Team_Level[[#This Row],[Chrono Rank]]</f>
        <v>Notts County-</v>
      </c>
    </row>
    <row r="357" spans="1:20" x14ac:dyDescent="0.25">
      <c r="A357" t="s">
        <v>434</v>
      </c>
      <c r="B357" s="6">
        <v>46427</v>
      </c>
      <c r="C357" t="s">
        <v>14</v>
      </c>
      <c r="D357" t="s">
        <v>8</v>
      </c>
      <c r="K357">
        <v>1</v>
      </c>
      <c r="L357" t="s">
        <v>34</v>
      </c>
      <c r="Q357" t="str">
        <f>IF(Team_Level[[#This Row],[Result]]="","",COUNTIFS(Team_Level[Team],Team_Level[[#This Row],[Team]],Team_Level[Date],"&gt;="&amp;Team_Level[[#This Row],[Date]],Team_Level[Result],"&lt;&gt;"))</f>
        <v/>
      </c>
      <c r="R357" t="str">
        <f>Team_Level[[#This Row],[Team]]&amp;"-"&amp;Team_Level[[#This Row],[Recency Rank]]</f>
        <v>Oxford United-</v>
      </c>
      <c r="S357" t="str">
        <f>IF(Team_Level[[#This Row],[Result]]="","",COUNTIFS(Team_Level[Team],Team_Level[[#This Row],[Team]],Team_Level[Date],"&lt;="&amp;Team_Level[[#This Row],[Date]],Team_Level[Result],"&lt;&gt;"))</f>
        <v/>
      </c>
      <c r="T357" t="str">
        <f>Team_Level[[#This Row],[Team]]&amp;"-"&amp;Team_Level[[#This Row],[Chrono Rank]]</f>
        <v>Oxford United-</v>
      </c>
    </row>
    <row r="358" spans="1:20" x14ac:dyDescent="0.25">
      <c r="A358" t="s">
        <v>435</v>
      </c>
      <c r="B358" s="6">
        <v>46427</v>
      </c>
      <c r="C358" t="s">
        <v>16</v>
      </c>
      <c r="D358" t="s">
        <v>9</v>
      </c>
      <c r="K358">
        <v>1</v>
      </c>
      <c r="L358" t="s">
        <v>34</v>
      </c>
      <c r="Q358" t="str">
        <f>IF(Team_Level[[#This Row],[Result]]="","",COUNTIFS(Team_Level[Team],Team_Level[[#This Row],[Team]],Team_Level[Date],"&gt;="&amp;Team_Level[[#This Row],[Date]],Team_Level[Result],"&lt;&gt;"))</f>
        <v/>
      </c>
      <c r="R358" t="str">
        <f>Team_Level[[#This Row],[Team]]&amp;"-"&amp;Team_Level[[#This Row],[Recency Rank]]</f>
        <v>Plymouth Argyle-</v>
      </c>
      <c r="S358" t="str">
        <f>IF(Team_Level[[#This Row],[Result]]="","",COUNTIFS(Team_Level[Team],Team_Level[[#This Row],[Team]],Team_Level[Date],"&lt;="&amp;Team_Level[[#This Row],[Date]],Team_Level[Result],"&lt;&gt;"))</f>
        <v/>
      </c>
      <c r="T358" t="str">
        <f>Team_Level[[#This Row],[Team]]&amp;"-"&amp;Team_Level[[#This Row],[Chrono Rank]]</f>
        <v>Plymouth Argyle-</v>
      </c>
    </row>
    <row r="359" spans="1:20" x14ac:dyDescent="0.25">
      <c r="A359" t="s">
        <v>436</v>
      </c>
      <c r="B359" s="6">
        <v>46427</v>
      </c>
      <c r="C359" t="s">
        <v>18</v>
      </c>
      <c r="D359" t="s">
        <v>22</v>
      </c>
      <c r="K359">
        <v>1</v>
      </c>
      <c r="L359" t="s">
        <v>34</v>
      </c>
      <c r="Q359" t="str">
        <f>IF(Team_Level[[#This Row],[Result]]="","",COUNTIFS(Team_Level[Team],Team_Level[[#This Row],[Team]],Team_Level[Date],"&gt;="&amp;Team_Level[[#This Row],[Date]],Team_Level[Result],"&lt;&gt;"))</f>
        <v/>
      </c>
      <c r="R359" t="str">
        <f>Team_Level[[#This Row],[Team]]&amp;"-"&amp;Team_Level[[#This Row],[Recency Rank]]</f>
        <v>Sheffield Wednesday-</v>
      </c>
      <c r="S359" t="str">
        <f>IF(Team_Level[[#This Row],[Result]]="","",COUNTIFS(Team_Level[Team],Team_Level[[#This Row],[Team]],Team_Level[Date],"&lt;="&amp;Team_Level[[#This Row],[Date]],Team_Level[Result],"&lt;&gt;"))</f>
        <v/>
      </c>
      <c r="T359" t="str">
        <f>Team_Level[[#This Row],[Team]]&amp;"-"&amp;Team_Level[[#This Row],[Chrono Rank]]</f>
        <v>Sheffield Wednesday-</v>
      </c>
    </row>
    <row r="360" spans="1:20" x14ac:dyDescent="0.25">
      <c r="A360" t="s">
        <v>437</v>
      </c>
      <c r="B360" s="6">
        <v>46427</v>
      </c>
      <c r="C360" t="s">
        <v>19</v>
      </c>
      <c r="D360" t="s">
        <v>15</v>
      </c>
      <c r="K360">
        <v>1</v>
      </c>
      <c r="L360" t="s">
        <v>34</v>
      </c>
      <c r="Q360" t="str">
        <f>IF(Team_Level[[#This Row],[Result]]="","",COUNTIFS(Team_Level[Team],Team_Level[[#This Row],[Team]],Team_Level[Date],"&gt;="&amp;Team_Level[[#This Row],[Date]],Team_Level[Result],"&lt;&gt;"))</f>
        <v/>
      </c>
      <c r="R360" t="str">
        <f>Team_Level[[#This Row],[Team]]&amp;"-"&amp;Team_Level[[#This Row],[Recency Rank]]</f>
        <v>Stevenage-</v>
      </c>
      <c r="S360" t="str">
        <f>IF(Team_Level[[#This Row],[Result]]="","",COUNTIFS(Team_Level[Team],Team_Level[[#This Row],[Team]],Team_Level[Date],"&lt;="&amp;Team_Level[[#This Row],[Date]],Team_Level[Result],"&lt;&gt;"))</f>
        <v/>
      </c>
      <c r="T360" t="str">
        <f>Team_Level[[#This Row],[Team]]&amp;"-"&amp;Team_Level[[#This Row],[Chrono Rank]]</f>
        <v>Stevenage-</v>
      </c>
    </row>
    <row r="361" spans="1:20" x14ac:dyDescent="0.25">
      <c r="A361" t="s">
        <v>438</v>
      </c>
      <c r="B361" s="6">
        <v>46427</v>
      </c>
      <c r="C361" t="s">
        <v>20</v>
      </c>
      <c r="D361" t="s">
        <v>11</v>
      </c>
      <c r="K361">
        <v>1</v>
      </c>
      <c r="L361" t="s">
        <v>34</v>
      </c>
      <c r="Q361" t="str">
        <f>IF(Team_Level[[#This Row],[Result]]="","",COUNTIFS(Team_Level[Team],Team_Level[[#This Row],[Team]],Team_Level[Date],"&gt;="&amp;Team_Level[[#This Row],[Date]],Team_Level[Result],"&lt;&gt;"))</f>
        <v/>
      </c>
      <c r="R361" t="str">
        <f>Team_Level[[#This Row],[Team]]&amp;"-"&amp;Team_Level[[#This Row],[Recency Rank]]</f>
        <v>Stockport County-</v>
      </c>
      <c r="S361" t="str">
        <f>IF(Team_Level[[#This Row],[Result]]="","",COUNTIFS(Team_Level[Team],Team_Level[[#This Row],[Team]],Team_Level[Date],"&lt;="&amp;Team_Level[[#This Row],[Date]],Team_Level[Result],"&lt;&gt;"))</f>
        <v/>
      </c>
      <c r="T361" t="str">
        <f>Team_Level[[#This Row],[Team]]&amp;"-"&amp;Team_Level[[#This Row],[Chrono Rank]]</f>
        <v>Stockport County-</v>
      </c>
    </row>
    <row r="362" spans="1:20" x14ac:dyDescent="0.25">
      <c r="A362" t="s">
        <v>439</v>
      </c>
      <c r="B362" s="6">
        <v>46431</v>
      </c>
      <c r="C362" t="s">
        <v>0</v>
      </c>
      <c r="D362" t="s">
        <v>4</v>
      </c>
      <c r="K362">
        <v>1</v>
      </c>
      <c r="L362" t="s">
        <v>34</v>
      </c>
      <c r="Q362" t="str">
        <f>IF(Team_Level[[#This Row],[Result]]="","",COUNTIFS(Team_Level[Team],Team_Level[[#This Row],[Team]],Team_Level[Date],"&gt;="&amp;Team_Level[[#This Row],[Date]],Team_Level[Result],"&lt;&gt;"))</f>
        <v/>
      </c>
      <c r="R362" t="str">
        <f>Team_Level[[#This Row],[Team]]&amp;"-"&amp;Team_Level[[#This Row],[Recency Rank]]</f>
        <v>AFC Wimbledon-</v>
      </c>
      <c r="S362" t="str">
        <f>IF(Team_Level[[#This Row],[Result]]="","",COUNTIFS(Team_Level[Team],Team_Level[[#This Row],[Team]],Team_Level[Date],"&lt;="&amp;Team_Level[[#This Row],[Date]],Team_Level[Result],"&lt;&gt;"))</f>
        <v/>
      </c>
      <c r="T362" t="str">
        <f>Team_Level[[#This Row],[Team]]&amp;"-"&amp;Team_Level[[#This Row],[Chrono Rank]]</f>
        <v>AFC Wimbledon-</v>
      </c>
    </row>
    <row r="363" spans="1:20" x14ac:dyDescent="0.25">
      <c r="A363" t="s">
        <v>440</v>
      </c>
      <c r="B363" s="6">
        <v>46431</v>
      </c>
      <c r="C363" t="s">
        <v>2</v>
      </c>
      <c r="D363" t="s">
        <v>17</v>
      </c>
      <c r="K363">
        <v>1</v>
      </c>
      <c r="L363" t="s">
        <v>34</v>
      </c>
      <c r="Q363" t="str">
        <f>IF(Team_Level[[#This Row],[Result]]="","",COUNTIFS(Team_Level[Team],Team_Level[[#This Row],[Team]],Team_Level[Date],"&gt;="&amp;Team_Level[[#This Row],[Date]],Team_Level[Result],"&lt;&gt;"))</f>
        <v/>
      </c>
      <c r="R363" t="str">
        <f>Team_Level[[#This Row],[Team]]&amp;"-"&amp;Team_Level[[#This Row],[Recency Rank]]</f>
        <v>Blackpool-</v>
      </c>
      <c r="S363" t="str">
        <f>IF(Team_Level[[#This Row],[Result]]="","",COUNTIFS(Team_Level[Team],Team_Level[[#This Row],[Team]],Team_Level[Date],"&lt;="&amp;Team_Level[[#This Row],[Date]],Team_Level[Result],"&lt;&gt;"))</f>
        <v/>
      </c>
      <c r="T363" t="str">
        <f>Team_Level[[#This Row],[Team]]&amp;"-"&amp;Team_Level[[#This Row],[Chrono Rank]]</f>
        <v>Blackpool-</v>
      </c>
    </row>
    <row r="364" spans="1:20" x14ac:dyDescent="0.25">
      <c r="A364" t="s">
        <v>441</v>
      </c>
      <c r="B364" s="6">
        <v>46431</v>
      </c>
      <c r="C364" t="s">
        <v>6</v>
      </c>
      <c r="D364" t="s">
        <v>5</v>
      </c>
      <c r="K364">
        <v>1</v>
      </c>
      <c r="L364" t="s">
        <v>34</v>
      </c>
      <c r="Q364" t="str">
        <f>IF(Team_Level[[#This Row],[Result]]="","",COUNTIFS(Team_Level[Team],Team_Level[[#This Row],[Team]],Team_Level[Date],"&gt;="&amp;Team_Level[[#This Row],[Date]],Team_Level[Result],"&lt;&gt;"))</f>
        <v/>
      </c>
      <c r="R364" t="str">
        <f>Team_Level[[#This Row],[Team]]&amp;"-"&amp;Team_Level[[#This Row],[Recency Rank]]</f>
        <v>Cambridge United-</v>
      </c>
      <c r="S364" t="str">
        <f>IF(Team_Level[[#This Row],[Result]]="","",COUNTIFS(Team_Level[Team],Team_Level[[#This Row],[Team]],Team_Level[Date],"&lt;="&amp;Team_Level[[#This Row],[Date]],Team_Level[Result],"&lt;&gt;"))</f>
        <v/>
      </c>
      <c r="T364" t="str">
        <f>Team_Level[[#This Row],[Team]]&amp;"-"&amp;Team_Level[[#This Row],[Chrono Rank]]</f>
        <v>Cambridge United-</v>
      </c>
    </row>
    <row r="365" spans="1:20" x14ac:dyDescent="0.25">
      <c r="A365" t="s">
        <v>442</v>
      </c>
      <c r="B365" s="6">
        <v>46431</v>
      </c>
      <c r="C365" t="s">
        <v>10</v>
      </c>
      <c r="D365" t="s">
        <v>11</v>
      </c>
      <c r="K365">
        <v>1</v>
      </c>
      <c r="L365" t="s">
        <v>34</v>
      </c>
      <c r="Q365" t="str">
        <f>IF(Team_Level[[#This Row],[Result]]="","",COUNTIFS(Team_Level[Team],Team_Level[[#This Row],[Team]],Team_Level[Date],"&gt;="&amp;Team_Level[[#This Row],[Date]],Team_Level[Result],"&lt;&gt;"))</f>
        <v/>
      </c>
      <c r="R365" t="str">
        <f>Team_Level[[#This Row],[Team]]&amp;"-"&amp;Team_Level[[#This Row],[Recency Rank]]</f>
        <v>Leyton Orient-</v>
      </c>
      <c r="S365" t="str">
        <f>IF(Team_Level[[#This Row],[Result]]="","",COUNTIFS(Team_Level[Team],Team_Level[[#This Row],[Team]],Team_Level[Date],"&lt;="&amp;Team_Level[[#This Row],[Date]],Team_Level[Result],"&lt;&gt;"))</f>
        <v/>
      </c>
      <c r="T365" t="str">
        <f>Team_Level[[#This Row],[Team]]&amp;"-"&amp;Team_Level[[#This Row],[Chrono Rank]]</f>
        <v>Leyton Orient-</v>
      </c>
    </row>
    <row r="366" spans="1:20" x14ac:dyDescent="0.25">
      <c r="A366" t="s">
        <v>443</v>
      </c>
      <c r="B366" s="6">
        <v>46431</v>
      </c>
      <c r="C366" t="s">
        <v>12</v>
      </c>
      <c r="D366" t="s">
        <v>3</v>
      </c>
      <c r="K366">
        <v>1</v>
      </c>
      <c r="L366" t="s">
        <v>34</v>
      </c>
      <c r="Q366" t="str">
        <f>IF(Team_Level[[#This Row],[Result]]="","",COUNTIFS(Team_Level[Team],Team_Level[[#This Row],[Team]],Team_Level[Date],"&gt;="&amp;Team_Level[[#This Row],[Date]],Team_Level[Result],"&lt;&gt;"))</f>
        <v/>
      </c>
      <c r="R366" t="str">
        <f>Team_Level[[#This Row],[Team]]&amp;"-"&amp;Team_Level[[#This Row],[Recency Rank]]</f>
        <v>Mansfield Town-</v>
      </c>
      <c r="S366" t="str">
        <f>IF(Team_Level[[#This Row],[Result]]="","",COUNTIFS(Team_Level[Team],Team_Level[[#This Row],[Team]],Team_Level[Date],"&lt;="&amp;Team_Level[[#This Row],[Date]],Team_Level[Result],"&lt;&gt;"))</f>
        <v/>
      </c>
      <c r="T366" t="str">
        <f>Team_Level[[#This Row],[Team]]&amp;"-"&amp;Team_Level[[#This Row],[Chrono Rank]]</f>
        <v>Mansfield Town-</v>
      </c>
    </row>
    <row r="367" spans="1:20" x14ac:dyDescent="0.25">
      <c r="A367" t="s">
        <v>444</v>
      </c>
      <c r="B367" s="6">
        <v>46431</v>
      </c>
      <c r="C367" t="s">
        <v>33</v>
      </c>
      <c r="D367" t="s">
        <v>22</v>
      </c>
      <c r="K367">
        <v>1</v>
      </c>
      <c r="L367" t="s">
        <v>34</v>
      </c>
      <c r="Q367" t="str">
        <f>IF(Team_Level[[#This Row],[Result]]="","",COUNTIFS(Team_Level[Team],Team_Level[[#This Row],[Team]],Team_Level[Date],"&gt;="&amp;Team_Level[[#This Row],[Date]],Team_Level[Result],"&lt;&gt;"))</f>
        <v/>
      </c>
      <c r="R367" t="str">
        <f>Team_Level[[#This Row],[Team]]&amp;"-"&amp;Team_Level[[#This Row],[Recency Rank]]</f>
        <v>Milton Keynes Dons-</v>
      </c>
      <c r="S367" t="str">
        <f>IF(Team_Level[[#This Row],[Result]]="","",COUNTIFS(Team_Level[Team],Team_Level[[#This Row],[Team]],Team_Level[Date],"&lt;="&amp;Team_Level[[#This Row],[Date]],Team_Level[Result],"&lt;&gt;"))</f>
        <v/>
      </c>
      <c r="T367" t="str">
        <f>Team_Level[[#This Row],[Team]]&amp;"-"&amp;Team_Level[[#This Row],[Chrono Rank]]</f>
        <v>Milton Keynes Dons-</v>
      </c>
    </row>
    <row r="368" spans="1:20" x14ac:dyDescent="0.25">
      <c r="A368" t="s">
        <v>445</v>
      </c>
      <c r="B368" s="6">
        <v>46431</v>
      </c>
      <c r="C368" t="s">
        <v>13</v>
      </c>
      <c r="D368" t="s">
        <v>8</v>
      </c>
      <c r="K368">
        <v>1</v>
      </c>
      <c r="L368" t="s">
        <v>34</v>
      </c>
      <c r="Q368" t="str">
        <f>IF(Team_Level[[#This Row],[Result]]="","",COUNTIFS(Team_Level[Team],Team_Level[[#This Row],[Team]],Team_Level[Date],"&gt;="&amp;Team_Level[[#This Row],[Date]],Team_Level[Result],"&lt;&gt;"))</f>
        <v/>
      </c>
      <c r="R368" t="str">
        <f>Team_Level[[#This Row],[Team]]&amp;"-"&amp;Team_Level[[#This Row],[Recency Rank]]</f>
        <v>Notts County-</v>
      </c>
      <c r="S368" t="str">
        <f>IF(Team_Level[[#This Row],[Result]]="","",COUNTIFS(Team_Level[Team],Team_Level[[#This Row],[Team]],Team_Level[Date],"&lt;="&amp;Team_Level[[#This Row],[Date]],Team_Level[Result],"&lt;&gt;"))</f>
        <v/>
      </c>
      <c r="T368" t="str">
        <f>Team_Level[[#This Row],[Team]]&amp;"-"&amp;Team_Level[[#This Row],[Chrono Rank]]</f>
        <v>Notts County-</v>
      </c>
    </row>
    <row r="369" spans="1:20" x14ac:dyDescent="0.25">
      <c r="A369" t="s">
        <v>446</v>
      </c>
      <c r="B369" s="6">
        <v>46431</v>
      </c>
      <c r="C369" t="s">
        <v>14</v>
      </c>
      <c r="D369" t="s">
        <v>9</v>
      </c>
      <c r="K369">
        <v>1</v>
      </c>
      <c r="L369" t="s">
        <v>34</v>
      </c>
      <c r="Q369" t="str">
        <f>IF(Team_Level[[#This Row],[Result]]="","",COUNTIFS(Team_Level[Team],Team_Level[[#This Row],[Team]],Team_Level[Date],"&gt;="&amp;Team_Level[[#This Row],[Date]],Team_Level[Result],"&lt;&gt;"))</f>
        <v/>
      </c>
      <c r="R369" t="str">
        <f>Team_Level[[#This Row],[Team]]&amp;"-"&amp;Team_Level[[#This Row],[Recency Rank]]</f>
        <v>Oxford United-</v>
      </c>
      <c r="S369" t="str">
        <f>IF(Team_Level[[#This Row],[Result]]="","",COUNTIFS(Team_Level[Team],Team_Level[[#This Row],[Team]],Team_Level[Date],"&lt;="&amp;Team_Level[[#This Row],[Date]],Team_Level[Result],"&lt;&gt;"))</f>
        <v/>
      </c>
      <c r="T369" t="str">
        <f>Team_Level[[#This Row],[Team]]&amp;"-"&amp;Team_Level[[#This Row],[Chrono Rank]]</f>
        <v>Oxford United-</v>
      </c>
    </row>
    <row r="370" spans="1:20" x14ac:dyDescent="0.25">
      <c r="A370" t="s">
        <v>447</v>
      </c>
      <c r="B370" s="6">
        <v>46431</v>
      </c>
      <c r="C370" t="s">
        <v>16</v>
      </c>
      <c r="D370" t="s">
        <v>7</v>
      </c>
      <c r="K370">
        <v>1</v>
      </c>
      <c r="L370" t="s">
        <v>34</v>
      </c>
      <c r="Q370" t="str">
        <f>IF(Team_Level[[#This Row],[Result]]="","",COUNTIFS(Team_Level[Team],Team_Level[[#This Row],[Team]],Team_Level[Date],"&gt;="&amp;Team_Level[[#This Row],[Date]],Team_Level[Result],"&lt;&gt;"))</f>
        <v/>
      </c>
      <c r="R370" t="str">
        <f>Team_Level[[#This Row],[Team]]&amp;"-"&amp;Team_Level[[#This Row],[Recency Rank]]</f>
        <v>Plymouth Argyle-</v>
      </c>
      <c r="S370" t="str">
        <f>IF(Team_Level[[#This Row],[Result]]="","",COUNTIFS(Team_Level[Team],Team_Level[[#This Row],[Team]],Team_Level[Date],"&lt;="&amp;Team_Level[[#This Row],[Date]],Team_Level[Result],"&lt;&gt;"))</f>
        <v/>
      </c>
      <c r="T370" t="str">
        <f>Team_Level[[#This Row],[Team]]&amp;"-"&amp;Team_Level[[#This Row],[Chrono Rank]]</f>
        <v>Plymouth Argyle-</v>
      </c>
    </row>
    <row r="371" spans="1:20" x14ac:dyDescent="0.25">
      <c r="A371" t="s">
        <v>448</v>
      </c>
      <c r="B371" s="6">
        <v>46431</v>
      </c>
      <c r="C371" t="s">
        <v>18</v>
      </c>
      <c r="D371" t="s">
        <v>15</v>
      </c>
      <c r="K371">
        <v>1</v>
      </c>
      <c r="L371" t="s">
        <v>34</v>
      </c>
      <c r="Q371" t="str">
        <f>IF(Team_Level[[#This Row],[Result]]="","",COUNTIFS(Team_Level[Team],Team_Level[[#This Row],[Team]],Team_Level[Date],"&gt;="&amp;Team_Level[[#This Row],[Date]],Team_Level[Result],"&lt;&gt;"))</f>
        <v/>
      </c>
      <c r="R371" t="str">
        <f>Team_Level[[#This Row],[Team]]&amp;"-"&amp;Team_Level[[#This Row],[Recency Rank]]</f>
        <v>Sheffield Wednesday-</v>
      </c>
      <c r="S371" t="str">
        <f>IF(Team_Level[[#This Row],[Result]]="","",COUNTIFS(Team_Level[Team],Team_Level[[#This Row],[Team]],Team_Level[Date],"&lt;="&amp;Team_Level[[#This Row],[Date]],Team_Level[Result],"&lt;&gt;"))</f>
        <v/>
      </c>
      <c r="T371" t="str">
        <f>Team_Level[[#This Row],[Team]]&amp;"-"&amp;Team_Level[[#This Row],[Chrono Rank]]</f>
        <v>Sheffield Wednesday-</v>
      </c>
    </row>
    <row r="372" spans="1:20" x14ac:dyDescent="0.25">
      <c r="A372" t="s">
        <v>449</v>
      </c>
      <c r="B372" s="6">
        <v>46431</v>
      </c>
      <c r="C372" t="s">
        <v>19</v>
      </c>
      <c r="D372" t="s">
        <v>1</v>
      </c>
      <c r="K372">
        <v>1</v>
      </c>
      <c r="L372" t="s">
        <v>34</v>
      </c>
      <c r="Q372" t="str">
        <f>IF(Team_Level[[#This Row],[Result]]="","",COUNTIFS(Team_Level[Team],Team_Level[[#This Row],[Team]],Team_Level[Date],"&gt;="&amp;Team_Level[[#This Row],[Date]],Team_Level[Result],"&lt;&gt;"))</f>
        <v/>
      </c>
      <c r="R372" t="str">
        <f>Team_Level[[#This Row],[Team]]&amp;"-"&amp;Team_Level[[#This Row],[Recency Rank]]</f>
        <v>Stevenage-</v>
      </c>
      <c r="S372" t="str">
        <f>IF(Team_Level[[#This Row],[Result]]="","",COUNTIFS(Team_Level[Team],Team_Level[[#This Row],[Team]],Team_Level[Date],"&lt;="&amp;Team_Level[[#This Row],[Date]],Team_Level[Result],"&lt;&gt;"))</f>
        <v/>
      </c>
      <c r="T372" t="str">
        <f>Team_Level[[#This Row],[Team]]&amp;"-"&amp;Team_Level[[#This Row],[Chrono Rank]]</f>
        <v>Stevenage-</v>
      </c>
    </row>
    <row r="373" spans="1:20" x14ac:dyDescent="0.25">
      <c r="A373" t="s">
        <v>450</v>
      </c>
      <c r="B373" s="6">
        <v>46431</v>
      </c>
      <c r="C373" t="s">
        <v>20</v>
      </c>
      <c r="D373" t="s">
        <v>21</v>
      </c>
      <c r="K373">
        <v>1</v>
      </c>
      <c r="L373" t="s">
        <v>34</v>
      </c>
      <c r="Q373" t="str">
        <f>IF(Team_Level[[#This Row],[Result]]="","",COUNTIFS(Team_Level[Team],Team_Level[[#This Row],[Team]],Team_Level[Date],"&gt;="&amp;Team_Level[[#This Row],[Date]],Team_Level[Result],"&lt;&gt;"))</f>
        <v/>
      </c>
      <c r="R373" t="str">
        <f>Team_Level[[#This Row],[Team]]&amp;"-"&amp;Team_Level[[#This Row],[Recency Rank]]</f>
        <v>Stockport County-</v>
      </c>
      <c r="S373" t="str">
        <f>IF(Team_Level[[#This Row],[Result]]="","",COUNTIFS(Team_Level[Team],Team_Level[[#This Row],[Team]],Team_Level[Date],"&lt;="&amp;Team_Level[[#This Row],[Date]],Team_Level[Result],"&lt;&gt;"))</f>
        <v/>
      </c>
      <c r="T373" t="str">
        <f>Team_Level[[#This Row],[Team]]&amp;"-"&amp;Team_Level[[#This Row],[Chrono Rank]]</f>
        <v>Stockport County-</v>
      </c>
    </row>
    <row r="374" spans="1:20" x14ac:dyDescent="0.25">
      <c r="A374" t="s">
        <v>451</v>
      </c>
      <c r="B374" s="6">
        <v>46438</v>
      </c>
      <c r="C374" t="s">
        <v>1</v>
      </c>
      <c r="D374" t="s">
        <v>16</v>
      </c>
      <c r="K374">
        <v>1</v>
      </c>
      <c r="L374" t="s">
        <v>34</v>
      </c>
      <c r="Q374" t="str">
        <f>IF(Team_Level[[#This Row],[Result]]="","",COUNTIFS(Team_Level[Team],Team_Level[[#This Row],[Team]],Team_Level[Date],"&gt;="&amp;Team_Level[[#This Row],[Date]],Team_Level[Result],"&lt;&gt;"))</f>
        <v/>
      </c>
      <c r="R374" t="str">
        <f>Team_Level[[#This Row],[Team]]&amp;"-"&amp;Team_Level[[#This Row],[Recency Rank]]</f>
        <v>Barnsley-</v>
      </c>
      <c r="S374" t="str">
        <f>IF(Team_Level[[#This Row],[Result]]="","",COUNTIFS(Team_Level[Team],Team_Level[[#This Row],[Team]],Team_Level[Date],"&lt;="&amp;Team_Level[[#This Row],[Date]],Team_Level[Result],"&lt;&gt;"))</f>
        <v/>
      </c>
      <c r="T374" t="str">
        <f>Team_Level[[#This Row],[Team]]&amp;"-"&amp;Team_Level[[#This Row],[Chrono Rank]]</f>
        <v>Barnsley-</v>
      </c>
    </row>
    <row r="375" spans="1:20" x14ac:dyDescent="0.25">
      <c r="A375" t="s">
        <v>452</v>
      </c>
      <c r="B375" s="6">
        <v>46438</v>
      </c>
      <c r="C375" t="s">
        <v>3</v>
      </c>
      <c r="D375" t="s">
        <v>13</v>
      </c>
      <c r="K375">
        <v>1</v>
      </c>
      <c r="L375" t="s">
        <v>34</v>
      </c>
      <c r="Q375" t="str">
        <f>IF(Team_Level[[#This Row],[Result]]="","",COUNTIFS(Team_Level[Team],Team_Level[[#This Row],[Team]],Team_Level[Date],"&gt;="&amp;Team_Level[[#This Row],[Date]],Team_Level[Result],"&lt;&gt;"))</f>
        <v/>
      </c>
      <c r="R375" t="str">
        <f>Team_Level[[#This Row],[Team]]&amp;"-"&amp;Team_Level[[#This Row],[Recency Rank]]</f>
        <v>Bradford City-</v>
      </c>
      <c r="S375" t="str">
        <f>IF(Team_Level[[#This Row],[Result]]="","",COUNTIFS(Team_Level[Team],Team_Level[[#This Row],[Team]],Team_Level[Date],"&lt;="&amp;Team_Level[[#This Row],[Date]],Team_Level[Result],"&lt;&gt;"))</f>
        <v/>
      </c>
      <c r="T375" t="str">
        <f>Team_Level[[#This Row],[Team]]&amp;"-"&amp;Team_Level[[#This Row],[Chrono Rank]]</f>
        <v>Bradford City-</v>
      </c>
    </row>
    <row r="376" spans="1:20" x14ac:dyDescent="0.25">
      <c r="A376" t="s">
        <v>453</v>
      </c>
      <c r="B376" s="6">
        <v>46438</v>
      </c>
      <c r="C376" t="s">
        <v>4</v>
      </c>
      <c r="D376" t="s">
        <v>2</v>
      </c>
      <c r="K376">
        <v>1</v>
      </c>
      <c r="L376" t="s">
        <v>34</v>
      </c>
      <c r="Q376" t="str">
        <f>IF(Team_Level[[#This Row],[Result]]="","",COUNTIFS(Team_Level[Team],Team_Level[[#This Row],[Team]],Team_Level[Date],"&gt;="&amp;Team_Level[[#This Row],[Date]],Team_Level[Result],"&lt;&gt;"))</f>
        <v/>
      </c>
      <c r="R376" t="str">
        <f>Team_Level[[#This Row],[Team]]&amp;"-"&amp;Team_Level[[#This Row],[Recency Rank]]</f>
        <v>Bromley-</v>
      </c>
      <c r="S376" t="str">
        <f>IF(Team_Level[[#This Row],[Result]]="","",COUNTIFS(Team_Level[Team],Team_Level[[#This Row],[Team]],Team_Level[Date],"&lt;="&amp;Team_Level[[#This Row],[Date]],Team_Level[Result],"&lt;&gt;"))</f>
        <v/>
      </c>
      <c r="T376" t="str">
        <f>Team_Level[[#This Row],[Team]]&amp;"-"&amp;Team_Level[[#This Row],[Chrono Rank]]</f>
        <v>Bromley-</v>
      </c>
    </row>
    <row r="377" spans="1:20" x14ac:dyDescent="0.25">
      <c r="A377" t="s">
        <v>454</v>
      </c>
      <c r="B377" s="6">
        <v>46438</v>
      </c>
      <c r="C377" t="s">
        <v>5</v>
      </c>
      <c r="D377" t="s">
        <v>14</v>
      </c>
      <c r="K377">
        <v>1</v>
      </c>
      <c r="L377" t="s">
        <v>34</v>
      </c>
      <c r="Q377" t="str">
        <f>IF(Team_Level[[#This Row],[Result]]="","",COUNTIFS(Team_Level[Team],Team_Level[[#This Row],[Team]],Team_Level[Date],"&gt;="&amp;Team_Level[[#This Row],[Date]],Team_Level[Result],"&lt;&gt;"))</f>
        <v/>
      </c>
      <c r="R377" t="str">
        <f>Team_Level[[#This Row],[Team]]&amp;"-"&amp;Team_Level[[#This Row],[Recency Rank]]</f>
        <v>Burton Albion-</v>
      </c>
      <c r="S377" t="str">
        <f>IF(Team_Level[[#This Row],[Result]]="","",COUNTIFS(Team_Level[Team],Team_Level[[#This Row],[Team]],Team_Level[Date],"&lt;="&amp;Team_Level[[#This Row],[Date]],Team_Level[Result],"&lt;&gt;"))</f>
        <v/>
      </c>
      <c r="T377" t="str">
        <f>Team_Level[[#This Row],[Team]]&amp;"-"&amp;Team_Level[[#This Row],[Chrono Rank]]</f>
        <v>Burton Albion-</v>
      </c>
    </row>
    <row r="378" spans="1:20" x14ac:dyDescent="0.25">
      <c r="A378" t="s">
        <v>455</v>
      </c>
      <c r="B378" s="6">
        <v>46438</v>
      </c>
      <c r="C378" t="s">
        <v>7</v>
      </c>
      <c r="D378" t="s">
        <v>0</v>
      </c>
      <c r="K378">
        <v>1</v>
      </c>
      <c r="L378" t="s">
        <v>34</v>
      </c>
      <c r="Q378" t="str">
        <f>IF(Team_Level[[#This Row],[Result]]="","",COUNTIFS(Team_Level[Team],Team_Level[[#This Row],[Team]],Team_Level[Date],"&gt;="&amp;Team_Level[[#This Row],[Date]],Team_Level[Result],"&lt;&gt;"))</f>
        <v/>
      </c>
      <c r="R378" t="str">
        <f>Team_Level[[#This Row],[Team]]&amp;"-"&amp;Team_Level[[#This Row],[Recency Rank]]</f>
        <v>Doncaster Rovers-</v>
      </c>
      <c r="S378" t="str">
        <f>IF(Team_Level[[#This Row],[Result]]="","",COUNTIFS(Team_Level[Team],Team_Level[[#This Row],[Team]],Team_Level[Date],"&lt;="&amp;Team_Level[[#This Row],[Date]],Team_Level[Result],"&lt;&gt;"))</f>
        <v/>
      </c>
      <c r="T378" t="str">
        <f>Team_Level[[#This Row],[Team]]&amp;"-"&amp;Team_Level[[#This Row],[Chrono Rank]]</f>
        <v>Doncaster Rovers-</v>
      </c>
    </row>
    <row r="379" spans="1:20" x14ac:dyDescent="0.25">
      <c r="A379" t="s">
        <v>456</v>
      </c>
      <c r="B379" s="6">
        <v>46438</v>
      </c>
      <c r="C379" t="s">
        <v>8</v>
      </c>
      <c r="D379" t="s">
        <v>12</v>
      </c>
      <c r="K379">
        <v>1</v>
      </c>
      <c r="L379" t="s">
        <v>34</v>
      </c>
      <c r="Q379" t="str">
        <f>IF(Team_Level[[#This Row],[Result]]="","",COUNTIFS(Team_Level[Team],Team_Level[[#This Row],[Team]],Team_Level[Date],"&gt;="&amp;Team_Level[[#This Row],[Date]],Team_Level[Result],"&lt;&gt;"))</f>
        <v/>
      </c>
      <c r="R379" t="str">
        <f>Team_Level[[#This Row],[Team]]&amp;"-"&amp;Team_Level[[#This Row],[Recency Rank]]</f>
        <v>Huddersfield Town-</v>
      </c>
      <c r="S379" t="str">
        <f>IF(Team_Level[[#This Row],[Result]]="","",COUNTIFS(Team_Level[Team],Team_Level[[#This Row],[Team]],Team_Level[Date],"&lt;="&amp;Team_Level[[#This Row],[Date]],Team_Level[Result],"&lt;&gt;"))</f>
        <v/>
      </c>
      <c r="T379" t="str">
        <f>Team_Level[[#This Row],[Team]]&amp;"-"&amp;Team_Level[[#This Row],[Chrono Rank]]</f>
        <v>Huddersfield Town-</v>
      </c>
    </row>
    <row r="380" spans="1:20" x14ac:dyDescent="0.25">
      <c r="A380" t="s">
        <v>457</v>
      </c>
      <c r="B380" s="6">
        <v>46438</v>
      </c>
      <c r="C380" t="s">
        <v>9</v>
      </c>
      <c r="D380" t="s">
        <v>20</v>
      </c>
      <c r="K380">
        <v>1</v>
      </c>
      <c r="L380" t="s">
        <v>34</v>
      </c>
      <c r="Q380" t="str">
        <f>IF(Team_Level[[#This Row],[Result]]="","",COUNTIFS(Team_Level[Team],Team_Level[[#This Row],[Team]],Team_Level[Date],"&gt;="&amp;Team_Level[[#This Row],[Date]],Team_Level[Result],"&lt;&gt;"))</f>
        <v/>
      </c>
      <c r="R380" t="str">
        <f>Team_Level[[#This Row],[Team]]&amp;"-"&amp;Team_Level[[#This Row],[Recency Rank]]</f>
        <v>Leicester City-</v>
      </c>
      <c r="S380" t="str">
        <f>IF(Team_Level[[#This Row],[Result]]="","",COUNTIFS(Team_Level[Team],Team_Level[[#This Row],[Team]],Team_Level[Date],"&lt;="&amp;Team_Level[[#This Row],[Date]],Team_Level[Result],"&lt;&gt;"))</f>
        <v/>
      </c>
      <c r="T380" t="str">
        <f>Team_Level[[#This Row],[Team]]&amp;"-"&amp;Team_Level[[#This Row],[Chrono Rank]]</f>
        <v>Leicester City-</v>
      </c>
    </row>
    <row r="381" spans="1:20" x14ac:dyDescent="0.25">
      <c r="A381" t="s">
        <v>458</v>
      </c>
      <c r="B381" s="6">
        <v>46438</v>
      </c>
      <c r="C381" t="s">
        <v>11</v>
      </c>
      <c r="D381" t="s">
        <v>19</v>
      </c>
      <c r="K381">
        <v>1</v>
      </c>
      <c r="L381" t="s">
        <v>34</v>
      </c>
      <c r="Q381" t="str">
        <f>IF(Team_Level[[#This Row],[Result]]="","",COUNTIFS(Team_Level[Team],Team_Level[[#This Row],[Team]],Team_Level[Date],"&gt;="&amp;Team_Level[[#This Row],[Date]],Team_Level[Result],"&lt;&gt;"))</f>
        <v/>
      </c>
      <c r="R381" t="str">
        <f>Team_Level[[#This Row],[Team]]&amp;"-"&amp;Team_Level[[#This Row],[Recency Rank]]</f>
        <v>Luton Town-</v>
      </c>
      <c r="S381" t="str">
        <f>IF(Team_Level[[#This Row],[Result]]="","",COUNTIFS(Team_Level[Team],Team_Level[[#This Row],[Team]],Team_Level[Date],"&lt;="&amp;Team_Level[[#This Row],[Date]],Team_Level[Result],"&lt;&gt;"))</f>
        <v/>
      </c>
      <c r="T381" t="str">
        <f>Team_Level[[#This Row],[Team]]&amp;"-"&amp;Team_Level[[#This Row],[Chrono Rank]]</f>
        <v>Luton Town-</v>
      </c>
    </row>
    <row r="382" spans="1:20" x14ac:dyDescent="0.25">
      <c r="A382" t="s">
        <v>459</v>
      </c>
      <c r="B382" s="6">
        <v>46438</v>
      </c>
      <c r="C382" t="s">
        <v>15</v>
      </c>
      <c r="D382" t="s">
        <v>33</v>
      </c>
      <c r="K382">
        <v>1</v>
      </c>
      <c r="L382" t="s">
        <v>34</v>
      </c>
      <c r="Q382" t="str">
        <f>IF(Team_Level[[#This Row],[Result]]="","",COUNTIFS(Team_Level[Team],Team_Level[[#This Row],[Team]],Team_Level[Date],"&gt;="&amp;Team_Level[[#This Row],[Date]],Team_Level[Result],"&lt;&gt;"))</f>
        <v/>
      </c>
      <c r="R382" t="str">
        <f>Team_Level[[#This Row],[Team]]&amp;"-"&amp;Team_Level[[#This Row],[Recency Rank]]</f>
        <v>Peterborough United-</v>
      </c>
      <c r="S382" t="str">
        <f>IF(Team_Level[[#This Row],[Result]]="","",COUNTIFS(Team_Level[Team],Team_Level[[#This Row],[Team]],Team_Level[Date],"&lt;="&amp;Team_Level[[#This Row],[Date]],Team_Level[Result],"&lt;&gt;"))</f>
        <v/>
      </c>
      <c r="T382" t="str">
        <f>Team_Level[[#This Row],[Team]]&amp;"-"&amp;Team_Level[[#This Row],[Chrono Rank]]</f>
        <v>Peterborough United-</v>
      </c>
    </row>
    <row r="383" spans="1:20" x14ac:dyDescent="0.25">
      <c r="A383" t="s">
        <v>460</v>
      </c>
      <c r="B383" s="6">
        <v>46438</v>
      </c>
      <c r="C383" t="s">
        <v>17</v>
      </c>
      <c r="D383" t="s">
        <v>6</v>
      </c>
      <c r="K383">
        <v>1</v>
      </c>
      <c r="L383" t="s">
        <v>34</v>
      </c>
      <c r="Q383" t="str">
        <f>IF(Team_Level[[#This Row],[Result]]="","",COUNTIFS(Team_Level[Team],Team_Level[[#This Row],[Team]],Team_Level[Date],"&gt;="&amp;Team_Level[[#This Row],[Date]],Team_Level[Result],"&lt;&gt;"))</f>
        <v/>
      </c>
      <c r="R383" t="str">
        <f>Team_Level[[#This Row],[Team]]&amp;"-"&amp;Team_Level[[#This Row],[Recency Rank]]</f>
        <v>Reading-</v>
      </c>
      <c r="S383" t="str">
        <f>IF(Team_Level[[#This Row],[Result]]="","",COUNTIFS(Team_Level[Team],Team_Level[[#This Row],[Team]],Team_Level[Date],"&lt;="&amp;Team_Level[[#This Row],[Date]],Team_Level[Result],"&lt;&gt;"))</f>
        <v/>
      </c>
      <c r="T383" t="str">
        <f>Team_Level[[#This Row],[Team]]&amp;"-"&amp;Team_Level[[#This Row],[Chrono Rank]]</f>
        <v>Reading-</v>
      </c>
    </row>
    <row r="384" spans="1:20" x14ac:dyDescent="0.25">
      <c r="A384" t="s">
        <v>461</v>
      </c>
      <c r="B384" s="6">
        <v>46438</v>
      </c>
      <c r="C384" t="s">
        <v>21</v>
      </c>
      <c r="D384" t="s">
        <v>18</v>
      </c>
      <c r="K384">
        <v>1</v>
      </c>
      <c r="L384" t="s">
        <v>34</v>
      </c>
      <c r="Q384" t="str">
        <f>IF(Team_Level[[#This Row],[Result]]="","",COUNTIFS(Team_Level[Team],Team_Level[[#This Row],[Team]],Team_Level[Date],"&gt;="&amp;Team_Level[[#This Row],[Date]],Team_Level[Result],"&lt;&gt;"))</f>
        <v/>
      </c>
      <c r="R384" t="str">
        <f>Team_Level[[#This Row],[Team]]&amp;"-"&amp;Team_Level[[#This Row],[Recency Rank]]</f>
        <v>Wigan Athletic-</v>
      </c>
      <c r="S384" t="str">
        <f>IF(Team_Level[[#This Row],[Result]]="","",COUNTIFS(Team_Level[Team],Team_Level[[#This Row],[Team]],Team_Level[Date],"&lt;="&amp;Team_Level[[#This Row],[Date]],Team_Level[Result],"&lt;&gt;"))</f>
        <v/>
      </c>
      <c r="T384" t="str">
        <f>Team_Level[[#This Row],[Team]]&amp;"-"&amp;Team_Level[[#This Row],[Chrono Rank]]</f>
        <v>Wigan Athletic-</v>
      </c>
    </row>
    <row r="385" spans="1:20" x14ac:dyDescent="0.25">
      <c r="A385" t="s">
        <v>462</v>
      </c>
      <c r="B385" s="6">
        <v>46438</v>
      </c>
      <c r="C385" t="s">
        <v>22</v>
      </c>
      <c r="D385" t="s">
        <v>10</v>
      </c>
      <c r="K385">
        <v>1</v>
      </c>
      <c r="L385" t="s">
        <v>34</v>
      </c>
      <c r="Q385" t="str">
        <f>IF(Team_Level[[#This Row],[Result]]="","",COUNTIFS(Team_Level[Team],Team_Level[[#This Row],[Team]],Team_Level[Date],"&gt;="&amp;Team_Level[[#This Row],[Date]],Team_Level[Result],"&lt;&gt;"))</f>
        <v/>
      </c>
      <c r="R385" t="str">
        <f>Team_Level[[#This Row],[Team]]&amp;"-"&amp;Team_Level[[#This Row],[Recency Rank]]</f>
        <v>Wycombe Wanderers-</v>
      </c>
      <c r="S385" t="str">
        <f>IF(Team_Level[[#This Row],[Result]]="","",COUNTIFS(Team_Level[Team],Team_Level[[#This Row],[Team]],Team_Level[Date],"&lt;="&amp;Team_Level[[#This Row],[Date]],Team_Level[Result],"&lt;&gt;"))</f>
        <v/>
      </c>
      <c r="T385" t="str">
        <f>Team_Level[[#This Row],[Team]]&amp;"-"&amp;Team_Level[[#This Row],[Chrono Rank]]</f>
        <v>Wycombe Wanderers-</v>
      </c>
    </row>
    <row r="386" spans="1:20" x14ac:dyDescent="0.25">
      <c r="A386" t="s">
        <v>463</v>
      </c>
      <c r="B386" s="6">
        <v>46445</v>
      </c>
      <c r="C386" t="s">
        <v>1</v>
      </c>
      <c r="D386" t="s">
        <v>21</v>
      </c>
      <c r="K386">
        <v>1</v>
      </c>
      <c r="L386" t="s">
        <v>34</v>
      </c>
      <c r="Q386" t="str">
        <f>IF(Team_Level[[#This Row],[Result]]="","",COUNTIFS(Team_Level[Team],Team_Level[[#This Row],[Team]],Team_Level[Date],"&gt;="&amp;Team_Level[[#This Row],[Date]],Team_Level[Result],"&lt;&gt;"))</f>
        <v/>
      </c>
      <c r="R386" t="str">
        <f>Team_Level[[#This Row],[Team]]&amp;"-"&amp;Team_Level[[#This Row],[Recency Rank]]</f>
        <v>Barnsley-</v>
      </c>
      <c r="S386" t="str">
        <f>IF(Team_Level[[#This Row],[Result]]="","",COUNTIFS(Team_Level[Team],Team_Level[[#This Row],[Team]],Team_Level[Date],"&lt;="&amp;Team_Level[[#This Row],[Date]],Team_Level[Result],"&lt;&gt;"))</f>
        <v/>
      </c>
      <c r="T386" t="str">
        <f>Team_Level[[#This Row],[Team]]&amp;"-"&amp;Team_Level[[#This Row],[Chrono Rank]]</f>
        <v>Barnsley-</v>
      </c>
    </row>
    <row r="387" spans="1:20" x14ac:dyDescent="0.25">
      <c r="A387" t="s">
        <v>464</v>
      </c>
      <c r="B387" s="6">
        <v>46445</v>
      </c>
      <c r="C387" t="s">
        <v>2</v>
      </c>
      <c r="D387" t="s">
        <v>0</v>
      </c>
      <c r="K387">
        <v>1</v>
      </c>
      <c r="L387" t="s">
        <v>34</v>
      </c>
      <c r="Q387" t="str">
        <f>IF(Team_Level[[#This Row],[Result]]="","",COUNTIFS(Team_Level[Team],Team_Level[[#This Row],[Team]],Team_Level[Date],"&gt;="&amp;Team_Level[[#This Row],[Date]],Team_Level[Result],"&lt;&gt;"))</f>
        <v/>
      </c>
      <c r="R387" t="str">
        <f>Team_Level[[#This Row],[Team]]&amp;"-"&amp;Team_Level[[#This Row],[Recency Rank]]</f>
        <v>Blackpool-</v>
      </c>
      <c r="S387" t="str">
        <f>IF(Team_Level[[#This Row],[Result]]="","",COUNTIFS(Team_Level[Team],Team_Level[[#This Row],[Team]],Team_Level[Date],"&lt;="&amp;Team_Level[[#This Row],[Date]],Team_Level[Result],"&lt;&gt;"))</f>
        <v/>
      </c>
      <c r="T387" t="str">
        <f>Team_Level[[#This Row],[Team]]&amp;"-"&amp;Team_Level[[#This Row],[Chrono Rank]]</f>
        <v>Blackpool-</v>
      </c>
    </row>
    <row r="388" spans="1:20" x14ac:dyDescent="0.25">
      <c r="A388" t="s">
        <v>465</v>
      </c>
      <c r="B388" s="6">
        <v>46445</v>
      </c>
      <c r="C388" t="s">
        <v>3</v>
      </c>
      <c r="D388" t="s">
        <v>9</v>
      </c>
      <c r="K388">
        <v>1</v>
      </c>
      <c r="L388" t="s">
        <v>34</v>
      </c>
      <c r="Q388" t="str">
        <f>IF(Team_Level[[#This Row],[Result]]="","",COUNTIFS(Team_Level[Team],Team_Level[[#This Row],[Team]],Team_Level[Date],"&gt;="&amp;Team_Level[[#This Row],[Date]],Team_Level[Result],"&lt;&gt;"))</f>
        <v/>
      </c>
      <c r="R388" t="str">
        <f>Team_Level[[#This Row],[Team]]&amp;"-"&amp;Team_Level[[#This Row],[Recency Rank]]</f>
        <v>Bradford City-</v>
      </c>
      <c r="S388" t="str">
        <f>IF(Team_Level[[#This Row],[Result]]="","",COUNTIFS(Team_Level[Team],Team_Level[[#This Row],[Team]],Team_Level[Date],"&lt;="&amp;Team_Level[[#This Row],[Date]],Team_Level[Result],"&lt;&gt;"))</f>
        <v/>
      </c>
      <c r="T388" t="str">
        <f>Team_Level[[#This Row],[Team]]&amp;"-"&amp;Team_Level[[#This Row],[Chrono Rank]]</f>
        <v>Bradford City-</v>
      </c>
    </row>
    <row r="389" spans="1:20" x14ac:dyDescent="0.25">
      <c r="A389" t="s">
        <v>466</v>
      </c>
      <c r="B389" s="6">
        <v>46445</v>
      </c>
      <c r="C389" t="s">
        <v>5</v>
      </c>
      <c r="D389" t="s">
        <v>33</v>
      </c>
      <c r="K389">
        <v>1</v>
      </c>
      <c r="L389" t="s">
        <v>34</v>
      </c>
      <c r="Q389" t="str">
        <f>IF(Team_Level[[#This Row],[Result]]="","",COUNTIFS(Team_Level[Team],Team_Level[[#This Row],[Team]],Team_Level[Date],"&gt;="&amp;Team_Level[[#This Row],[Date]],Team_Level[Result],"&lt;&gt;"))</f>
        <v/>
      </c>
      <c r="R389" t="str">
        <f>Team_Level[[#This Row],[Team]]&amp;"-"&amp;Team_Level[[#This Row],[Recency Rank]]</f>
        <v>Burton Albion-</v>
      </c>
      <c r="S389" t="str">
        <f>IF(Team_Level[[#This Row],[Result]]="","",COUNTIFS(Team_Level[Team],Team_Level[[#This Row],[Team]],Team_Level[Date],"&lt;="&amp;Team_Level[[#This Row],[Date]],Team_Level[Result],"&lt;&gt;"))</f>
        <v/>
      </c>
      <c r="T389" t="str">
        <f>Team_Level[[#This Row],[Team]]&amp;"-"&amp;Team_Level[[#This Row],[Chrono Rank]]</f>
        <v>Burton Albion-</v>
      </c>
    </row>
    <row r="390" spans="1:20" x14ac:dyDescent="0.25">
      <c r="A390" t="s">
        <v>467</v>
      </c>
      <c r="B390" s="6">
        <v>46445</v>
      </c>
      <c r="C390" t="s">
        <v>6</v>
      </c>
      <c r="D390" t="s">
        <v>15</v>
      </c>
      <c r="K390">
        <v>1</v>
      </c>
      <c r="L390" t="s">
        <v>34</v>
      </c>
      <c r="Q390" t="str">
        <f>IF(Team_Level[[#This Row],[Result]]="","",COUNTIFS(Team_Level[Team],Team_Level[[#This Row],[Team]],Team_Level[Date],"&gt;="&amp;Team_Level[[#This Row],[Date]],Team_Level[Result],"&lt;&gt;"))</f>
        <v/>
      </c>
      <c r="R390" t="str">
        <f>Team_Level[[#This Row],[Team]]&amp;"-"&amp;Team_Level[[#This Row],[Recency Rank]]</f>
        <v>Cambridge United-</v>
      </c>
      <c r="S390" t="str">
        <f>IF(Team_Level[[#This Row],[Result]]="","",COUNTIFS(Team_Level[Team],Team_Level[[#This Row],[Team]],Team_Level[Date],"&lt;="&amp;Team_Level[[#This Row],[Date]],Team_Level[Result],"&lt;&gt;"))</f>
        <v/>
      </c>
      <c r="T390" t="str">
        <f>Team_Level[[#This Row],[Team]]&amp;"-"&amp;Team_Level[[#This Row],[Chrono Rank]]</f>
        <v>Cambridge United-</v>
      </c>
    </row>
    <row r="391" spans="1:20" x14ac:dyDescent="0.25">
      <c r="A391" t="s">
        <v>468</v>
      </c>
      <c r="B391" s="6">
        <v>46445</v>
      </c>
      <c r="C391" t="s">
        <v>8</v>
      </c>
      <c r="D391" t="s">
        <v>22</v>
      </c>
      <c r="K391">
        <v>1</v>
      </c>
      <c r="L391" t="s">
        <v>34</v>
      </c>
      <c r="Q391" t="str">
        <f>IF(Team_Level[[#This Row],[Result]]="","",COUNTIFS(Team_Level[Team],Team_Level[[#This Row],[Team]],Team_Level[Date],"&gt;="&amp;Team_Level[[#This Row],[Date]],Team_Level[Result],"&lt;&gt;"))</f>
        <v/>
      </c>
      <c r="R391" t="str">
        <f>Team_Level[[#This Row],[Team]]&amp;"-"&amp;Team_Level[[#This Row],[Recency Rank]]</f>
        <v>Huddersfield Town-</v>
      </c>
      <c r="S391" t="str">
        <f>IF(Team_Level[[#This Row],[Result]]="","",COUNTIFS(Team_Level[Team],Team_Level[[#This Row],[Team]],Team_Level[Date],"&lt;="&amp;Team_Level[[#This Row],[Date]],Team_Level[Result],"&lt;&gt;"))</f>
        <v/>
      </c>
      <c r="T391" t="str">
        <f>Team_Level[[#This Row],[Team]]&amp;"-"&amp;Team_Level[[#This Row],[Chrono Rank]]</f>
        <v>Huddersfield Town-</v>
      </c>
    </row>
    <row r="392" spans="1:20" x14ac:dyDescent="0.25">
      <c r="A392" t="s">
        <v>469</v>
      </c>
      <c r="B392" s="6">
        <v>46445</v>
      </c>
      <c r="C392" t="s">
        <v>10</v>
      </c>
      <c r="D392" t="s">
        <v>7</v>
      </c>
      <c r="K392">
        <v>1</v>
      </c>
      <c r="L392" t="s">
        <v>34</v>
      </c>
      <c r="Q392" t="str">
        <f>IF(Team_Level[[#This Row],[Result]]="","",COUNTIFS(Team_Level[Team],Team_Level[[#This Row],[Team]],Team_Level[Date],"&gt;="&amp;Team_Level[[#This Row],[Date]],Team_Level[Result],"&lt;&gt;"))</f>
        <v/>
      </c>
      <c r="R392" t="str">
        <f>Team_Level[[#This Row],[Team]]&amp;"-"&amp;Team_Level[[#This Row],[Recency Rank]]</f>
        <v>Leyton Orient-</v>
      </c>
      <c r="S392" t="str">
        <f>IF(Team_Level[[#This Row],[Result]]="","",COUNTIFS(Team_Level[Team],Team_Level[[#This Row],[Team]],Team_Level[Date],"&lt;="&amp;Team_Level[[#This Row],[Date]],Team_Level[Result],"&lt;&gt;"))</f>
        <v/>
      </c>
      <c r="T392" t="str">
        <f>Team_Level[[#This Row],[Team]]&amp;"-"&amp;Team_Level[[#This Row],[Chrono Rank]]</f>
        <v>Leyton Orient-</v>
      </c>
    </row>
    <row r="393" spans="1:20" x14ac:dyDescent="0.25">
      <c r="A393" t="s">
        <v>470</v>
      </c>
      <c r="B393" s="6">
        <v>46445</v>
      </c>
      <c r="C393" t="s">
        <v>12</v>
      </c>
      <c r="D393" t="s">
        <v>19</v>
      </c>
      <c r="K393">
        <v>1</v>
      </c>
      <c r="L393" t="s">
        <v>34</v>
      </c>
      <c r="Q393" t="str">
        <f>IF(Team_Level[[#This Row],[Result]]="","",COUNTIFS(Team_Level[Team],Team_Level[[#This Row],[Team]],Team_Level[Date],"&gt;="&amp;Team_Level[[#This Row],[Date]],Team_Level[Result],"&lt;&gt;"))</f>
        <v/>
      </c>
      <c r="R393" t="str">
        <f>Team_Level[[#This Row],[Team]]&amp;"-"&amp;Team_Level[[#This Row],[Recency Rank]]</f>
        <v>Mansfield Town-</v>
      </c>
      <c r="S393" t="str">
        <f>IF(Team_Level[[#This Row],[Result]]="","",COUNTIFS(Team_Level[Team],Team_Level[[#This Row],[Team]],Team_Level[Date],"&lt;="&amp;Team_Level[[#This Row],[Date]],Team_Level[Result],"&lt;&gt;"))</f>
        <v/>
      </c>
      <c r="T393" t="str">
        <f>Team_Level[[#This Row],[Team]]&amp;"-"&amp;Team_Level[[#This Row],[Chrono Rank]]</f>
        <v>Mansfield Town-</v>
      </c>
    </row>
    <row r="394" spans="1:20" x14ac:dyDescent="0.25">
      <c r="A394" t="s">
        <v>471</v>
      </c>
      <c r="B394" s="6">
        <v>46445</v>
      </c>
      <c r="C394" t="s">
        <v>13</v>
      </c>
      <c r="D394" t="s">
        <v>4</v>
      </c>
      <c r="K394">
        <v>1</v>
      </c>
      <c r="L394" t="s">
        <v>34</v>
      </c>
      <c r="Q394" t="str">
        <f>IF(Team_Level[[#This Row],[Result]]="","",COUNTIFS(Team_Level[Team],Team_Level[[#This Row],[Team]],Team_Level[Date],"&gt;="&amp;Team_Level[[#This Row],[Date]],Team_Level[Result],"&lt;&gt;"))</f>
        <v/>
      </c>
      <c r="R394" t="str">
        <f>Team_Level[[#This Row],[Team]]&amp;"-"&amp;Team_Level[[#This Row],[Recency Rank]]</f>
        <v>Notts County-</v>
      </c>
      <c r="S394" t="str">
        <f>IF(Team_Level[[#This Row],[Result]]="","",COUNTIFS(Team_Level[Team],Team_Level[[#This Row],[Team]],Team_Level[Date],"&lt;="&amp;Team_Level[[#This Row],[Date]],Team_Level[Result],"&lt;&gt;"))</f>
        <v/>
      </c>
      <c r="T394" t="str">
        <f>Team_Level[[#This Row],[Team]]&amp;"-"&amp;Team_Level[[#This Row],[Chrono Rank]]</f>
        <v>Notts County-</v>
      </c>
    </row>
    <row r="395" spans="1:20" x14ac:dyDescent="0.25">
      <c r="A395" t="s">
        <v>472</v>
      </c>
      <c r="B395" s="6">
        <v>46445</v>
      </c>
      <c r="C395" t="s">
        <v>14</v>
      </c>
      <c r="D395" t="s">
        <v>11</v>
      </c>
      <c r="K395">
        <v>1</v>
      </c>
      <c r="L395" t="s">
        <v>34</v>
      </c>
      <c r="Q395" t="str">
        <f>IF(Team_Level[[#This Row],[Result]]="","",COUNTIFS(Team_Level[Team],Team_Level[[#This Row],[Team]],Team_Level[Date],"&gt;="&amp;Team_Level[[#This Row],[Date]],Team_Level[Result],"&lt;&gt;"))</f>
        <v/>
      </c>
      <c r="R395" t="str">
        <f>Team_Level[[#This Row],[Team]]&amp;"-"&amp;Team_Level[[#This Row],[Recency Rank]]</f>
        <v>Oxford United-</v>
      </c>
      <c r="S395" t="str">
        <f>IF(Team_Level[[#This Row],[Result]]="","",COUNTIFS(Team_Level[Team],Team_Level[[#This Row],[Team]],Team_Level[Date],"&lt;="&amp;Team_Level[[#This Row],[Date]],Team_Level[Result],"&lt;&gt;"))</f>
        <v/>
      </c>
      <c r="T395" t="str">
        <f>Team_Level[[#This Row],[Team]]&amp;"-"&amp;Team_Level[[#This Row],[Chrono Rank]]</f>
        <v>Oxford United-</v>
      </c>
    </row>
    <row r="396" spans="1:20" x14ac:dyDescent="0.25">
      <c r="A396" t="s">
        <v>473</v>
      </c>
      <c r="B396" s="6">
        <v>46445</v>
      </c>
      <c r="C396" t="s">
        <v>16</v>
      </c>
      <c r="D396" t="s">
        <v>18</v>
      </c>
      <c r="K396">
        <v>1</v>
      </c>
      <c r="L396" t="s">
        <v>34</v>
      </c>
      <c r="Q396" t="str">
        <f>IF(Team_Level[[#This Row],[Result]]="","",COUNTIFS(Team_Level[Team],Team_Level[[#This Row],[Team]],Team_Level[Date],"&gt;="&amp;Team_Level[[#This Row],[Date]],Team_Level[Result],"&lt;&gt;"))</f>
        <v/>
      </c>
      <c r="R396" t="str">
        <f>Team_Level[[#This Row],[Team]]&amp;"-"&amp;Team_Level[[#This Row],[Recency Rank]]</f>
        <v>Plymouth Argyle-</v>
      </c>
      <c r="S396" t="str">
        <f>IF(Team_Level[[#This Row],[Result]]="","",COUNTIFS(Team_Level[Team],Team_Level[[#This Row],[Team]],Team_Level[Date],"&lt;="&amp;Team_Level[[#This Row],[Date]],Team_Level[Result],"&lt;&gt;"))</f>
        <v/>
      </c>
      <c r="T396" t="str">
        <f>Team_Level[[#This Row],[Team]]&amp;"-"&amp;Team_Level[[#This Row],[Chrono Rank]]</f>
        <v>Plymouth Argyle-</v>
      </c>
    </row>
    <row r="397" spans="1:20" x14ac:dyDescent="0.25">
      <c r="A397" t="s">
        <v>474</v>
      </c>
      <c r="B397" s="6">
        <v>46445</v>
      </c>
      <c r="C397" t="s">
        <v>17</v>
      </c>
      <c r="D397" t="s">
        <v>20</v>
      </c>
      <c r="K397">
        <v>1</v>
      </c>
      <c r="L397" t="s">
        <v>34</v>
      </c>
      <c r="Q397" t="str">
        <f>IF(Team_Level[[#This Row],[Result]]="","",COUNTIFS(Team_Level[Team],Team_Level[[#This Row],[Team]],Team_Level[Date],"&gt;="&amp;Team_Level[[#This Row],[Date]],Team_Level[Result],"&lt;&gt;"))</f>
        <v/>
      </c>
      <c r="R397" t="str">
        <f>Team_Level[[#This Row],[Team]]&amp;"-"&amp;Team_Level[[#This Row],[Recency Rank]]</f>
        <v>Reading-</v>
      </c>
      <c r="S397" t="str">
        <f>IF(Team_Level[[#This Row],[Result]]="","",COUNTIFS(Team_Level[Team],Team_Level[[#This Row],[Team]],Team_Level[Date],"&lt;="&amp;Team_Level[[#This Row],[Date]],Team_Level[Result],"&lt;&gt;"))</f>
        <v/>
      </c>
      <c r="T397" t="str">
        <f>Team_Level[[#This Row],[Team]]&amp;"-"&amp;Team_Level[[#This Row],[Chrono Rank]]</f>
        <v>Reading-</v>
      </c>
    </row>
    <row r="398" spans="1:20" x14ac:dyDescent="0.25">
      <c r="A398" t="s">
        <v>475</v>
      </c>
      <c r="B398" s="6">
        <v>46452</v>
      </c>
      <c r="C398" t="s">
        <v>0</v>
      </c>
      <c r="D398" t="s">
        <v>8</v>
      </c>
      <c r="K398">
        <v>1</v>
      </c>
      <c r="L398" t="s">
        <v>34</v>
      </c>
      <c r="Q398" t="str">
        <f>IF(Team_Level[[#This Row],[Result]]="","",COUNTIFS(Team_Level[Team],Team_Level[[#This Row],[Team]],Team_Level[Date],"&gt;="&amp;Team_Level[[#This Row],[Date]],Team_Level[Result],"&lt;&gt;"))</f>
        <v/>
      </c>
      <c r="R398" t="str">
        <f>Team_Level[[#This Row],[Team]]&amp;"-"&amp;Team_Level[[#This Row],[Recency Rank]]</f>
        <v>AFC Wimbledon-</v>
      </c>
      <c r="S398" t="str">
        <f>IF(Team_Level[[#This Row],[Result]]="","",COUNTIFS(Team_Level[Team],Team_Level[[#This Row],[Team]],Team_Level[Date],"&lt;="&amp;Team_Level[[#This Row],[Date]],Team_Level[Result],"&lt;&gt;"))</f>
        <v/>
      </c>
      <c r="T398" t="str">
        <f>Team_Level[[#This Row],[Team]]&amp;"-"&amp;Team_Level[[#This Row],[Chrono Rank]]</f>
        <v>AFC Wimbledon-</v>
      </c>
    </row>
    <row r="399" spans="1:20" x14ac:dyDescent="0.25">
      <c r="A399" t="s">
        <v>476</v>
      </c>
      <c r="B399" s="6">
        <v>46452</v>
      </c>
      <c r="C399" t="s">
        <v>4</v>
      </c>
      <c r="D399" t="s">
        <v>1</v>
      </c>
      <c r="K399">
        <v>1</v>
      </c>
      <c r="L399" t="s">
        <v>34</v>
      </c>
      <c r="Q399" t="str">
        <f>IF(Team_Level[[#This Row],[Result]]="","",COUNTIFS(Team_Level[Team],Team_Level[[#This Row],[Team]],Team_Level[Date],"&gt;="&amp;Team_Level[[#This Row],[Date]],Team_Level[Result],"&lt;&gt;"))</f>
        <v/>
      </c>
      <c r="R399" t="str">
        <f>Team_Level[[#This Row],[Team]]&amp;"-"&amp;Team_Level[[#This Row],[Recency Rank]]</f>
        <v>Bromley-</v>
      </c>
      <c r="S399" t="str">
        <f>IF(Team_Level[[#This Row],[Result]]="","",COUNTIFS(Team_Level[Team],Team_Level[[#This Row],[Team]],Team_Level[Date],"&lt;="&amp;Team_Level[[#This Row],[Date]],Team_Level[Result],"&lt;&gt;"))</f>
        <v/>
      </c>
      <c r="T399" t="str">
        <f>Team_Level[[#This Row],[Team]]&amp;"-"&amp;Team_Level[[#This Row],[Chrono Rank]]</f>
        <v>Bromley-</v>
      </c>
    </row>
    <row r="400" spans="1:20" x14ac:dyDescent="0.25">
      <c r="A400" t="s">
        <v>477</v>
      </c>
      <c r="B400" s="6">
        <v>46452</v>
      </c>
      <c r="C400" t="s">
        <v>7</v>
      </c>
      <c r="D400" t="s">
        <v>12</v>
      </c>
      <c r="K400">
        <v>1</v>
      </c>
      <c r="L400" t="s">
        <v>34</v>
      </c>
      <c r="Q400" t="str">
        <f>IF(Team_Level[[#This Row],[Result]]="","",COUNTIFS(Team_Level[Team],Team_Level[[#This Row],[Team]],Team_Level[Date],"&gt;="&amp;Team_Level[[#This Row],[Date]],Team_Level[Result],"&lt;&gt;"))</f>
        <v/>
      </c>
      <c r="R400" t="str">
        <f>Team_Level[[#This Row],[Team]]&amp;"-"&amp;Team_Level[[#This Row],[Recency Rank]]</f>
        <v>Doncaster Rovers-</v>
      </c>
      <c r="S400" t="str">
        <f>IF(Team_Level[[#This Row],[Result]]="","",COUNTIFS(Team_Level[Team],Team_Level[[#This Row],[Team]],Team_Level[Date],"&lt;="&amp;Team_Level[[#This Row],[Date]],Team_Level[Result],"&lt;&gt;"))</f>
        <v/>
      </c>
      <c r="T400" t="str">
        <f>Team_Level[[#This Row],[Team]]&amp;"-"&amp;Team_Level[[#This Row],[Chrono Rank]]</f>
        <v>Doncaster Rovers-</v>
      </c>
    </row>
    <row r="401" spans="1:20" x14ac:dyDescent="0.25">
      <c r="A401" t="s">
        <v>478</v>
      </c>
      <c r="B401" s="6">
        <v>46452</v>
      </c>
      <c r="C401" t="s">
        <v>9</v>
      </c>
      <c r="D401" t="s">
        <v>13</v>
      </c>
      <c r="K401">
        <v>1</v>
      </c>
      <c r="L401" t="s">
        <v>34</v>
      </c>
      <c r="Q401" t="str">
        <f>IF(Team_Level[[#This Row],[Result]]="","",COUNTIFS(Team_Level[Team],Team_Level[[#This Row],[Team]],Team_Level[Date],"&gt;="&amp;Team_Level[[#This Row],[Date]],Team_Level[Result],"&lt;&gt;"))</f>
        <v/>
      </c>
      <c r="R401" t="str">
        <f>Team_Level[[#This Row],[Team]]&amp;"-"&amp;Team_Level[[#This Row],[Recency Rank]]</f>
        <v>Leicester City-</v>
      </c>
      <c r="S401" t="str">
        <f>IF(Team_Level[[#This Row],[Result]]="","",COUNTIFS(Team_Level[Team],Team_Level[[#This Row],[Team]],Team_Level[Date],"&lt;="&amp;Team_Level[[#This Row],[Date]],Team_Level[Result],"&lt;&gt;"))</f>
        <v/>
      </c>
      <c r="T401" t="str">
        <f>Team_Level[[#This Row],[Team]]&amp;"-"&amp;Team_Level[[#This Row],[Chrono Rank]]</f>
        <v>Leicester City-</v>
      </c>
    </row>
    <row r="402" spans="1:20" x14ac:dyDescent="0.25">
      <c r="A402" t="s">
        <v>479</v>
      </c>
      <c r="B402" s="6">
        <v>46452</v>
      </c>
      <c r="C402" t="s">
        <v>11</v>
      </c>
      <c r="D402" t="s">
        <v>17</v>
      </c>
      <c r="K402">
        <v>1</v>
      </c>
      <c r="L402" t="s">
        <v>34</v>
      </c>
      <c r="Q402" t="str">
        <f>IF(Team_Level[[#This Row],[Result]]="","",COUNTIFS(Team_Level[Team],Team_Level[[#This Row],[Team]],Team_Level[Date],"&gt;="&amp;Team_Level[[#This Row],[Date]],Team_Level[Result],"&lt;&gt;"))</f>
        <v/>
      </c>
      <c r="R402" t="str">
        <f>Team_Level[[#This Row],[Team]]&amp;"-"&amp;Team_Level[[#This Row],[Recency Rank]]</f>
        <v>Luton Town-</v>
      </c>
      <c r="S402" t="str">
        <f>IF(Team_Level[[#This Row],[Result]]="","",COUNTIFS(Team_Level[Team],Team_Level[[#This Row],[Team]],Team_Level[Date],"&lt;="&amp;Team_Level[[#This Row],[Date]],Team_Level[Result],"&lt;&gt;"))</f>
        <v/>
      </c>
      <c r="T402" t="str">
        <f>Team_Level[[#This Row],[Team]]&amp;"-"&amp;Team_Level[[#This Row],[Chrono Rank]]</f>
        <v>Luton Town-</v>
      </c>
    </row>
    <row r="403" spans="1:20" x14ac:dyDescent="0.25">
      <c r="A403" t="s">
        <v>480</v>
      </c>
      <c r="B403" s="6">
        <v>46452</v>
      </c>
      <c r="C403" t="s">
        <v>33</v>
      </c>
      <c r="D403" t="s">
        <v>14</v>
      </c>
      <c r="K403">
        <v>1</v>
      </c>
      <c r="L403" t="s">
        <v>34</v>
      </c>
      <c r="Q403" t="str">
        <f>IF(Team_Level[[#This Row],[Result]]="","",COUNTIFS(Team_Level[Team],Team_Level[[#This Row],[Team]],Team_Level[Date],"&gt;="&amp;Team_Level[[#This Row],[Date]],Team_Level[Result],"&lt;&gt;"))</f>
        <v/>
      </c>
      <c r="R403" t="str">
        <f>Team_Level[[#This Row],[Team]]&amp;"-"&amp;Team_Level[[#This Row],[Recency Rank]]</f>
        <v>Milton Keynes Dons-</v>
      </c>
      <c r="S403" t="str">
        <f>IF(Team_Level[[#This Row],[Result]]="","",COUNTIFS(Team_Level[Team],Team_Level[[#This Row],[Team]],Team_Level[Date],"&lt;="&amp;Team_Level[[#This Row],[Date]],Team_Level[Result],"&lt;&gt;"))</f>
        <v/>
      </c>
      <c r="T403" t="str">
        <f>Team_Level[[#This Row],[Team]]&amp;"-"&amp;Team_Level[[#This Row],[Chrono Rank]]</f>
        <v>Milton Keynes Dons-</v>
      </c>
    </row>
    <row r="404" spans="1:20" x14ac:dyDescent="0.25">
      <c r="A404" t="s">
        <v>481</v>
      </c>
      <c r="B404" s="6">
        <v>46452</v>
      </c>
      <c r="C404" t="s">
        <v>15</v>
      </c>
      <c r="D404" t="s">
        <v>3</v>
      </c>
      <c r="K404">
        <v>1</v>
      </c>
      <c r="L404" t="s">
        <v>34</v>
      </c>
      <c r="Q404" t="str">
        <f>IF(Team_Level[[#This Row],[Result]]="","",COUNTIFS(Team_Level[Team],Team_Level[[#This Row],[Team]],Team_Level[Date],"&gt;="&amp;Team_Level[[#This Row],[Date]],Team_Level[Result],"&lt;&gt;"))</f>
        <v/>
      </c>
      <c r="R404" t="str">
        <f>Team_Level[[#This Row],[Team]]&amp;"-"&amp;Team_Level[[#This Row],[Recency Rank]]</f>
        <v>Peterborough United-</v>
      </c>
      <c r="S404" t="str">
        <f>IF(Team_Level[[#This Row],[Result]]="","",COUNTIFS(Team_Level[Team],Team_Level[[#This Row],[Team]],Team_Level[Date],"&lt;="&amp;Team_Level[[#This Row],[Date]],Team_Level[Result],"&lt;&gt;"))</f>
        <v/>
      </c>
      <c r="T404" t="str">
        <f>Team_Level[[#This Row],[Team]]&amp;"-"&amp;Team_Level[[#This Row],[Chrono Rank]]</f>
        <v>Peterborough United-</v>
      </c>
    </row>
    <row r="405" spans="1:20" x14ac:dyDescent="0.25">
      <c r="A405" t="s">
        <v>482</v>
      </c>
      <c r="B405" s="6">
        <v>46452</v>
      </c>
      <c r="C405" t="s">
        <v>18</v>
      </c>
      <c r="D405" t="s">
        <v>10</v>
      </c>
      <c r="K405">
        <v>1</v>
      </c>
      <c r="L405" t="s">
        <v>34</v>
      </c>
      <c r="Q405" t="str">
        <f>IF(Team_Level[[#This Row],[Result]]="","",COUNTIFS(Team_Level[Team],Team_Level[[#This Row],[Team]],Team_Level[Date],"&gt;="&amp;Team_Level[[#This Row],[Date]],Team_Level[Result],"&lt;&gt;"))</f>
        <v/>
      </c>
      <c r="R405" t="str">
        <f>Team_Level[[#This Row],[Team]]&amp;"-"&amp;Team_Level[[#This Row],[Recency Rank]]</f>
        <v>Sheffield Wednesday-</v>
      </c>
      <c r="S405" t="str">
        <f>IF(Team_Level[[#This Row],[Result]]="","",COUNTIFS(Team_Level[Team],Team_Level[[#This Row],[Team]],Team_Level[Date],"&lt;="&amp;Team_Level[[#This Row],[Date]],Team_Level[Result],"&lt;&gt;"))</f>
        <v/>
      </c>
      <c r="T405" t="str">
        <f>Team_Level[[#This Row],[Team]]&amp;"-"&amp;Team_Level[[#This Row],[Chrono Rank]]</f>
        <v>Sheffield Wednesday-</v>
      </c>
    </row>
    <row r="406" spans="1:20" x14ac:dyDescent="0.25">
      <c r="A406" t="s">
        <v>483</v>
      </c>
      <c r="B406" s="6">
        <v>46452</v>
      </c>
      <c r="C406" t="s">
        <v>19</v>
      </c>
      <c r="D406" t="s">
        <v>5</v>
      </c>
      <c r="K406">
        <v>1</v>
      </c>
      <c r="L406" t="s">
        <v>34</v>
      </c>
      <c r="Q406" t="str">
        <f>IF(Team_Level[[#This Row],[Result]]="","",COUNTIFS(Team_Level[Team],Team_Level[[#This Row],[Team]],Team_Level[Date],"&gt;="&amp;Team_Level[[#This Row],[Date]],Team_Level[Result],"&lt;&gt;"))</f>
        <v/>
      </c>
      <c r="R406" t="str">
        <f>Team_Level[[#This Row],[Team]]&amp;"-"&amp;Team_Level[[#This Row],[Recency Rank]]</f>
        <v>Stevenage-</v>
      </c>
      <c r="S406" t="str">
        <f>IF(Team_Level[[#This Row],[Result]]="","",COUNTIFS(Team_Level[Team],Team_Level[[#This Row],[Team]],Team_Level[Date],"&lt;="&amp;Team_Level[[#This Row],[Date]],Team_Level[Result],"&lt;&gt;"))</f>
        <v/>
      </c>
      <c r="T406" t="str">
        <f>Team_Level[[#This Row],[Team]]&amp;"-"&amp;Team_Level[[#This Row],[Chrono Rank]]</f>
        <v>Stevenage-</v>
      </c>
    </row>
    <row r="407" spans="1:20" x14ac:dyDescent="0.25">
      <c r="A407" t="s">
        <v>484</v>
      </c>
      <c r="B407" s="6">
        <v>46452</v>
      </c>
      <c r="C407" t="s">
        <v>20</v>
      </c>
      <c r="D407" t="s">
        <v>16</v>
      </c>
      <c r="K407">
        <v>1</v>
      </c>
      <c r="L407" t="s">
        <v>34</v>
      </c>
      <c r="Q407" t="str">
        <f>IF(Team_Level[[#This Row],[Result]]="","",COUNTIFS(Team_Level[Team],Team_Level[[#This Row],[Team]],Team_Level[Date],"&gt;="&amp;Team_Level[[#This Row],[Date]],Team_Level[Result],"&lt;&gt;"))</f>
        <v/>
      </c>
      <c r="R407" t="str">
        <f>Team_Level[[#This Row],[Team]]&amp;"-"&amp;Team_Level[[#This Row],[Recency Rank]]</f>
        <v>Stockport County-</v>
      </c>
      <c r="S407" t="str">
        <f>IF(Team_Level[[#This Row],[Result]]="","",COUNTIFS(Team_Level[Team],Team_Level[[#This Row],[Team]],Team_Level[Date],"&lt;="&amp;Team_Level[[#This Row],[Date]],Team_Level[Result],"&lt;&gt;"))</f>
        <v/>
      </c>
      <c r="T407" t="str">
        <f>Team_Level[[#This Row],[Team]]&amp;"-"&amp;Team_Level[[#This Row],[Chrono Rank]]</f>
        <v>Stockport County-</v>
      </c>
    </row>
    <row r="408" spans="1:20" x14ac:dyDescent="0.25">
      <c r="A408" t="s">
        <v>485</v>
      </c>
      <c r="B408" s="6">
        <v>46452</v>
      </c>
      <c r="C408" t="s">
        <v>21</v>
      </c>
      <c r="D408" t="s">
        <v>6</v>
      </c>
      <c r="K408">
        <v>1</v>
      </c>
      <c r="L408" t="s">
        <v>34</v>
      </c>
      <c r="Q408" t="str">
        <f>IF(Team_Level[[#This Row],[Result]]="","",COUNTIFS(Team_Level[Team],Team_Level[[#This Row],[Team]],Team_Level[Date],"&gt;="&amp;Team_Level[[#This Row],[Date]],Team_Level[Result],"&lt;&gt;"))</f>
        <v/>
      </c>
      <c r="R408" t="str">
        <f>Team_Level[[#This Row],[Team]]&amp;"-"&amp;Team_Level[[#This Row],[Recency Rank]]</f>
        <v>Wigan Athletic-</v>
      </c>
      <c r="S408" t="str">
        <f>IF(Team_Level[[#This Row],[Result]]="","",COUNTIFS(Team_Level[Team],Team_Level[[#This Row],[Team]],Team_Level[Date],"&lt;="&amp;Team_Level[[#This Row],[Date]],Team_Level[Result],"&lt;&gt;"))</f>
        <v/>
      </c>
      <c r="T408" t="str">
        <f>Team_Level[[#This Row],[Team]]&amp;"-"&amp;Team_Level[[#This Row],[Chrono Rank]]</f>
        <v>Wigan Athletic-</v>
      </c>
    </row>
    <row r="409" spans="1:20" x14ac:dyDescent="0.25">
      <c r="A409" t="s">
        <v>486</v>
      </c>
      <c r="B409" s="6">
        <v>46452</v>
      </c>
      <c r="C409" t="s">
        <v>22</v>
      </c>
      <c r="D409" t="s">
        <v>2</v>
      </c>
      <c r="K409">
        <v>1</v>
      </c>
      <c r="L409" t="s">
        <v>34</v>
      </c>
      <c r="Q409" t="str">
        <f>IF(Team_Level[[#This Row],[Result]]="","",COUNTIFS(Team_Level[Team],Team_Level[[#This Row],[Team]],Team_Level[Date],"&gt;="&amp;Team_Level[[#This Row],[Date]],Team_Level[Result],"&lt;&gt;"))</f>
        <v/>
      </c>
      <c r="R409" t="str">
        <f>Team_Level[[#This Row],[Team]]&amp;"-"&amp;Team_Level[[#This Row],[Recency Rank]]</f>
        <v>Wycombe Wanderers-</v>
      </c>
      <c r="S409" t="str">
        <f>IF(Team_Level[[#This Row],[Result]]="","",COUNTIFS(Team_Level[Team],Team_Level[[#This Row],[Team]],Team_Level[Date],"&lt;="&amp;Team_Level[[#This Row],[Date]],Team_Level[Result],"&lt;&gt;"))</f>
        <v/>
      </c>
      <c r="T409" t="str">
        <f>Team_Level[[#This Row],[Team]]&amp;"-"&amp;Team_Level[[#This Row],[Chrono Rank]]</f>
        <v>Wycombe Wanderers-</v>
      </c>
    </row>
    <row r="410" spans="1:20" x14ac:dyDescent="0.25">
      <c r="A410" t="s">
        <v>487</v>
      </c>
      <c r="B410" s="6">
        <v>46459</v>
      </c>
      <c r="C410" t="s">
        <v>1</v>
      </c>
      <c r="D410" t="s">
        <v>7</v>
      </c>
      <c r="K410">
        <v>1</v>
      </c>
      <c r="L410" t="s">
        <v>34</v>
      </c>
      <c r="Q410" t="str">
        <f>IF(Team_Level[[#This Row],[Result]]="","",COUNTIFS(Team_Level[Team],Team_Level[[#This Row],[Team]],Team_Level[Date],"&gt;="&amp;Team_Level[[#This Row],[Date]],Team_Level[Result],"&lt;&gt;"))</f>
        <v/>
      </c>
      <c r="R410" t="str">
        <f>Team_Level[[#This Row],[Team]]&amp;"-"&amp;Team_Level[[#This Row],[Recency Rank]]</f>
        <v>Barnsley-</v>
      </c>
      <c r="S410" t="str">
        <f>IF(Team_Level[[#This Row],[Result]]="","",COUNTIFS(Team_Level[Team],Team_Level[[#This Row],[Team]],Team_Level[Date],"&lt;="&amp;Team_Level[[#This Row],[Date]],Team_Level[Result],"&lt;&gt;"))</f>
        <v/>
      </c>
      <c r="T410" t="str">
        <f>Team_Level[[#This Row],[Team]]&amp;"-"&amp;Team_Level[[#This Row],[Chrono Rank]]</f>
        <v>Barnsley-</v>
      </c>
    </row>
    <row r="411" spans="1:20" x14ac:dyDescent="0.25">
      <c r="A411" t="s">
        <v>488</v>
      </c>
      <c r="B411" s="6">
        <v>46459</v>
      </c>
      <c r="C411" t="s">
        <v>2</v>
      </c>
      <c r="D411" t="s">
        <v>20</v>
      </c>
      <c r="K411">
        <v>1</v>
      </c>
      <c r="L411" t="s">
        <v>34</v>
      </c>
      <c r="Q411" t="str">
        <f>IF(Team_Level[[#This Row],[Result]]="","",COUNTIFS(Team_Level[Team],Team_Level[[#This Row],[Team]],Team_Level[Date],"&gt;="&amp;Team_Level[[#This Row],[Date]],Team_Level[Result],"&lt;&gt;"))</f>
        <v/>
      </c>
      <c r="R411" t="str">
        <f>Team_Level[[#This Row],[Team]]&amp;"-"&amp;Team_Level[[#This Row],[Recency Rank]]</f>
        <v>Blackpool-</v>
      </c>
      <c r="S411" t="str">
        <f>IF(Team_Level[[#This Row],[Result]]="","",COUNTIFS(Team_Level[Team],Team_Level[[#This Row],[Team]],Team_Level[Date],"&lt;="&amp;Team_Level[[#This Row],[Date]],Team_Level[Result],"&lt;&gt;"))</f>
        <v/>
      </c>
      <c r="T411" t="str">
        <f>Team_Level[[#This Row],[Team]]&amp;"-"&amp;Team_Level[[#This Row],[Chrono Rank]]</f>
        <v>Blackpool-</v>
      </c>
    </row>
    <row r="412" spans="1:20" x14ac:dyDescent="0.25">
      <c r="A412" t="s">
        <v>489</v>
      </c>
      <c r="B412" s="6">
        <v>46459</v>
      </c>
      <c r="C412" t="s">
        <v>3</v>
      </c>
      <c r="D412" t="s">
        <v>18</v>
      </c>
      <c r="K412">
        <v>1</v>
      </c>
      <c r="L412" t="s">
        <v>34</v>
      </c>
      <c r="Q412" t="str">
        <f>IF(Team_Level[[#This Row],[Result]]="","",COUNTIFS(Team_Level[Team],Team_Level[[#This Row],[Team]],Team_Level[Date],"&gt;="&amp;Team_Level[[#This Row],[Date]],Team_Level[Result],"&lt;&gt;"))</f>
        <v/>
      </c>
      <c r="R412" t="str">
        <f>Team_Level[[#This Row],[Team]]&amp;"-"&amp;Team_Level[[#This Row],[Recency Rank]]</f>
        <v>Bradford City-</v>
      </c>
      <c r="S412" t="str">
        <f>IF(Team_Level[[#This Row],[Result]]="","",COUNTIFS(Team_Level[Team],Team_Level[[#This Row],[Team]],Team_Level[Date],"&lt;="&amp;Team_Level[[#This Row],[Date]],Team_Level[Result],"&lt;&gt;"))</f>
        <v/>
      </c>
      <c r="T412" t="str">
        <f>Team_Level[[#This Row],[Team]]&amp;"-"&amp;Team_Level[[#This Row],[Chrono Rank]]</f>
        <v>Bradford City-</v>
      </c>
    </row>
    <row r="413" spans="1:20" x14ac:dyDescent="0.25">
      <c r="A413" t="s">
        <v>490</v>
      </c>
      <c r="B413" s="6">
        <v>46459</v>
      </c>
      <c r="C413" t="s">
        <v>5</v>
      </c>
      <c r="D413" t="s">
        <v>9</v>
      </c>
      <c r="K413">
        <v>1</v>
      </c>
      <c r="L413" t="s">
        <v>34</v>
      </c>
      <c r="Q413" t="str">
        <f>IF(Team_Level[[#This Row],[Result]]="","",COUNTIFS(Team_Level[Team],Team_Level[[#This Row],[Team]],Team_Level[Date],"&gt;="&amp;Team_Level[[#This Row],[Date]],Team_Level[Result],"&lt;&gt;"))</f>
        <v/>
      </c>
      <c r="R413" t="str">
        <f>Team_Level[[#This Row],[Team]]&amp;"-"&amp;Team_Level[[#This Row],[Recency Rank]]</f>
        <v>Burton Albion-</v>
      </c>
      <c r="S413" t="str">
        <f>IF(Team_Level[[#This Row],[Result]]="","",COUNTIFS(Team_Level[Team],Team_Level[[#This Row],[Team]],Team_Level[Date],"&lt;="&amp;Team_Level[[#This Row],[Date]],Team_Level[Result],"&lt;&gt;"))</f>
        <v/>
      </c>
      <c r="T413" t="str">
        <f>Team_Level[[#This Row],[Team]]&amp;"-"&amp;Team_Level[[#This Row],[Chrono Rank]]</f>
        <v>Burton Albion-</v>
      </c>
    </row>
    <row r="414" spans="1:20" x14ac:dyDescent="0.25">
      <c r="A414" t="s">
        <v>491</v>
      </c>
      <c r="B414" s="6">
        <v>46459</v>
      </c>
      <c r="C414" t="s">
        <v>6</v>
      </c>
      <c r="D414" t="s">
        <v>4</v>
      </c>
      <c r="K414">
        <v>1</v>
      </c>
      <c r="L414" t="s">
        <v>34</v>
      </c>
      <c r="Q414" t="str">
        <f>IF(Team_Level[[#This Row],[Result]]="","",COUNTIFS(Team_Level[Team],Team_Level[[#This Row],[Team]],Team_Level[Date],"&gt;="&amp;Team_Level[[#This Row],[Date]],Team_Level[Result],"&lt;&gt;"))</f>
        <v/>
      </c>
      <c r="R414" t="str">
        <f>Team_Level[[#This Row],[Team]]&amp;"-"&amp;Team_Level[[#This Row],[Recency Rank]]</f>
        <v>Cambridge United-</v>
      </c>
      <c r="S414" t="str">
        <f>IF(Team_Level[[#This Row],[Result]]="","",COUNTIFS(Team_Level[Team],Team_Level[[#This Row],[Team]],Team_Level[Date],"&lt;="&amp;Team_Level[[#This Row],[Date]],Team_Level[Result],"&lt;&gt;"))</f>
        <v/>
      </c>
      <c r="T414" t="str">
        <f>Team_Level[[#This Row],[Team]]&amp;"-"&amp;Team_Level[[#This Row],[Chrono Rank]]</f>
        <v>Cambridge United-</v>
      </c>
    </row>
    <row r="415" spans="1:20" x14ac:dyDescent="0.25">
      <c r="A415" t="s">
        <v>492</v>
      </c>
      <c r="B415" s="6">
        <v>46459</v>
      </c>
      <c r="C415" t="s">
        <v>8</v>
      </c>
      <c r="D415" t="s">
        <v>33</v>
      </c>
      <c r="K415">
        <v>1</v>
      </c>
      <c r="L415" t="s">
        <v>34</v>
      </c>
      <c r="Q415" t="str">
        <f>IF(Team_Level[[#This Row],[Result]]="","",COUNTIFS(Team_Level[Team],Team_Level[[#This Row],[Team]],Team_Level[Date],"&gt;="&amp;Team_Level[[#This Row],[Date]],Team_Level[Result],"&lt;&gt;"))</f>
        <v/>
      </c>
      <c r="R415" t="str">
        <f>Team_Level[[#This Row],[Team]]&amp;"-"&amp;Team_Level[[#This Row],[Recency Rank]]</f>
        <v>Huddersfield Town-</v>
      </c>
      <c r="S415" t="str">
        <f>IF(Team_Level[[#This Row],[Result]]="","",COUNTIFS(Team_Level[Team],Team_Level[[#This Row],[Team]],Team_Level[Date],"&lt;="&amp;Team_Level[[#This Row],[Date]],Team_Level[Result],"&lt;&gt;"))</f>
        <v/>
      </c>
      <c r="T415" t="str">
        <f>Team_Level[[#This Row],[Team]]&amp;"-"&amp;Team_Level[[#This Row],[Chrono Rank]]</f>
        <v>Huddersfield Town-</v>
      </c>
    </row>
    <row r="416" spans="1:20" x14ac:dyDescent="0.25">
      <c r="A416" t="s">
        <v>493</v>
      </c>
      <c r="B416" s="6">
        <v>46459</v>
      </c>
      <c r="C416" t="s">
        <v>10</v>
      </c>
      <c r="D416" t="s">
        <v>21</v>
      </c>
      <c r="K416">
        <v>1</v>
      </c>
      <c r="L416" t="s">
        <v>34</v>
      </c>
      <c r="Q416" t="str">
        <f>IF(Team_Level[[#This Row],[Result]]="","",COUNTIFS(Team_Level[Team],Team_Level[[#This Row],[Team]],Team_Level[Date],"&gt;="&amp;Team_Level[[#This Row],[Date]],Team_Level[Result],"&lt;&gt;"))</f>
        <v/>
      </c>
      <c r="R416" t="str">
        <f>Team_Level[[#This Row],[Team]]&amp;"-"&amp;Team_Level[[#This Row],[Recency Rank]]</f>
        <v>Leyton Orient-</v>
      </c>
      <c r="S416" t="str">
        <f>IF(Team_Level[[#This Row],[Result]]="","",COUNTIFS(Team_Level[Team],Team_Level[[#This Row],[Team]],Team_Level[Date],"&lt;="&amp;Team_Level[[#This Row],[Date]],Team_Level[Result],"&lt;&gt;"))</f>
        <v/>
      </c>
      <c r="T416" t="str">
        <f>Team_Level[[#This Row],[Team]]&amp;"-"&amp;Team_Level[[#This Row],[Chrono Rank]]</f>
        <v>Leyton Orient-</v>
      </c>
    </row>
    <row r="417" spans="1:20" x14ac:dyDescent="0.25">
      <c r="A417" t="s">
        <v>494</v>
      </c>
      <c r="B417" s="6">
        <v>46459</v>
      </c>
      <c r="C417" t="s">
        <v>12</v>
      </c>
      <c r="D417" t="s">
        <v>15</v>
      </c>
      <c r="K417">
        <v>1</v>
      </c>
      <c r="L417" t="s">
        <v>34</v>
      </c>
      <c r="Q417" t="str">
        <f>IF(Team_Level[[#This Row],[Result]]="","",COUNTIFS(Team_Level[Team],Team_Level[[#This Row],[Team]],Team_Level[Date],"&gt;="&amp;Team_Level[[#This Row],[Date]],Team_Level[Result],"&lt;&gt;"))</f>
        <v/>
      </c>
      <c r="R417" t="str">
        <f>Team_Level[[#This Row],[Team]]&amp;"-"&amp;Team_Level[[#This Row],[Recency Rank]]</f>
        <v>Mansfield Town-</v>
      </c>
      <c r="S417" t="str">
        <f>IF(Team_Level[[#This Row],[Result]]="","",COUNTIFS(Team_Level[Team],Team_Level[[#This Row],[Team]],Team_Level[Date],"&lt;="&amp;Team_Level[[#This Row],[Date]],Team_Level[Result],"&lt;&gt;"))</f>
        <v/>
      </c>
      <c r="T417" t="str">
        <f>Team_Level[[#This Row],[Team]]&amp;"-"&amp;Team_Level[[#This Row],[Chrono Rank]]</f>
        <v>Mansfield Town-</v>
      </c>
    </row>
    <row r="418" spans="1:20" x14ac:dyDescent="0.25">
      <c r="A418" t="s">
        <v>495</v>
      </c>
      <c r="B418" s="6">
        <v>46459</v>
      </c>
      <c r="C418" t="s">
        <v>13</v>
      </c>
      <c r="D418" t="s">
        <v>11</v>
      </c>
      <c r="K418">
        <v>1</v>
      </c>
      <c r="L418" t="s">
        <v>34</v>
      </c>
      <c r="Q418" t="str">
        <f>IF(Team_Level[[#This Row],[Result]]="","",COUNTIFS(Team_Level[Team],Team_Level[[#This Row],[Team]],Team_Level[Date],"&gt;="&amp;Team_Level[[#This Row],[Date]],Team_Level[Result],"&lt;&gt;"))</f>
        <v/>
      </c>
      <c r="R418" t="str">
        <f>Team_Level[[#This Row],[Team]]&amp;"-"&amp;Team_Level[[#This Row],[Recency Rank]]</f>
        <v>Notts County-</v>
      </c>
      <c r="S418" t="str">
        <f>IF(Team_Level[[#This Row],[Result]]="","",COUNTIFS(Team_Level[Team],Team_Level[[#This Row],[Team]],Team_Level[Date],"&lt;="&amp;Team_Level[[#This Row],[Date]],Team_Level[Result],"&lt;&gt;"))</f>
        <v/>
      </c>
      <c r="T418" t="str">
        <f>Team_Level[[#This Row],[Team]]&amp;"-"&amp;Team_Level[[#This Row],[Chrono Rank]]</f>
        <v>Notts County-</v>
      </c>
    </row>
    <row r="419" spans="1:20" x14ac:dyDescent="0.25">
      <c r="A419" t="s">
        <v>496</v>
      </c>
      <c r="B419" s="6">
        <v>46459</v>
      </c>
      <c r="C419" t="s">
        <v>14</v>
      </c>
      <c r="D419" t="s">
        <v>19</v>
      </c>
      <c r="K419">
        <v>1</v>
      </c>
      <c r="L419" t="s">
        <v>34</v>
      </c>
      <c r="Q419" t="str">
        <f>IF(Team_Level[[#This Row],[Result]]="","",COUNTIFS(Team_Level[Team],Team_Level[[#This Row],[Team]],Team_Level[Date],"&gt;="&amp;Team_Level[[#This Row],[Date]],Team_Level[Result],"&lt;&gt;"))</f>
        <v/>
      </c>
      <c r="R419" t="str">
        <f>Team_Level[[#This Row],[Team]]&amp;"-"&amp;Team_Level[[#This Row],[Recency Rank]]</f>
        <v>Oxford United-</v>
      </c>
      <c r="S419" t="str">
        <f>IF(Team_Level[[#This Row],[Result]]="","",COUNTIFS(Team_Level[Team],Team_Level[[#This Row],[Team]],Team_Level[Date],"&lt;="&amp;Team_Level[[#This Row],[Date]],Team_Level[Result],"&lt;&gt;"))</f>
        <v/>
      </c>
      <c r="T419" t="str">
        <f>Team_Level[[#This Row],[Team]]&amp;"-"&amp;Team_Level[[#This Row],[Chrono Rank]]</f>
        <v>Oxford United-</v>
      </c>
    </row>
    <row r="420" spans="1:20" x14ac:dyDescent="0.25">
      <c r="A420" t="s">
        <v>497</v>
      </c>
      <c r="B420" s="6">
        <v>46459</v>
      </c>
      <c r="C420" t="s">
        <v>16</v>
      </c>
      <c r="D420" t="s">
        <v>22</v>
      </c>
      <c r="K420">
        <v>1</v>
      </c>
      <c r="L420" t="s">
        <v>34</v>
      </c>
      <c r="Q420" t="str">
        <f>IF(Team_Level[[#This Row],[Result]]="","",COUNTIFS(Team_Level[Team],Team_Level[[#This Row],[Team]],Team_Level[Date],"&gt;="&amp;Team_Level[[#This Row],[Date]],Team_Level[Result],"&lt;&gt;"))</f>
        <v/>
      </c>
      <c r="R420" t="str">
        <f>Team_Level[[#This Row],[Team]]&amp;"-"&amp;Team_Level[[#This Row],[Recency Rank]]</f>
        <v>Plymouth Argyle-</v>
      </c>
      <c r="S420" t="str">
        <f>IF(Team_Level[[#This Row],[Result]]="","",COUNTIFS(Team_Level[Team],Team_Level[[#This Row],[Team]],Team_Level[Date],"&lt;="&amp;Team_Level[[#This Row],[Date]],Team_Level[Result],"&lt;&gt;"))</f>
        <v/>
      </c>
      <c r="T420" t="str">
        <f>Team_Level[[#This Row],[Team]]&amp;"-"&amp;Team_Level[[#This Row],[Chrono Rank]]</f>
        <v>Plymouth Argyle-</v>
      </c>
    </row>
    <row r="421" spans="1:20" x14ac:dyDescent="0.25">
      <c r="A421" t="s">
        <v>498</v>
      </c>
      <c r="B421" s="6">
        <v>46459</v>
      </c>
      <c r="C421" t="s">
        <v>17</v>
      </c>
      <c r="D421" t="s">
        <v>0</v>
      </c>
      <c r="K421">
        <v>1</v>
      </c>
      <c r="L421" t="s">
        <v>34</v>
      </c>
      <c r="Q421" t="str">
        <f>IF(Team_Level[[#This Row],[Result]]="","",COUNTIFS(Team_Level[Team],Team_Level[[#This Row],[Team]],Team_Level[Date],"&gt;="&amp;Team_Level[[#This Row],[Date]],Team_Level[Result],"&lt;&gt;"))</f>
        <v/>
      </c>
      <c r="R421" t="str">
        <f>Team_Level[[#This Row],[Team]]&amp;"-"&amp;Team_Level[[#This Row],[Recency Rank]]</f>
        <v>Reading-</v>
      </c>
      <c r="S421" t="str">
        <f>IF(Team_Level[[#This Row],[Result]]="","",COUNTIFS(Team_Level[Team],Team_Level[[#This Row],[Team]],Team_Level[Date],"&lt;="&amp;Team_Level[[#This Row],[Date]],Team_Level[Result],"&lt;&gt;"))</f>
        <v/>
      </c>
      <c r="T421" t="str">
        <f>Team_Level[[#This Row],[Team]]&amp;"-"&amp;Team_Level[[#This Row],[Chrono Rank]]</f>
        <v>Reading-</v>
      </c>
    </row>
    <row r="422" spans="1:20" x14ac:dyDescent="0.25">
      <c r="A422" t="s">
        <v>499</v>
      </c>
      <c r="B422" s="6">
        <v>46466</v>
      </c>
      <c r="C422" t="s">
        <v>0</v>
      </c>
      <c r="D422" t="s">
        <v>10</v>
      </c>
      <c r="K422">
        <v>1</v>
      </c>
      <c r="L422" t="s">
        <v>34</v>
      </c>
      <c r="Q422" t="str">
        <f>IF(Team_Level[[#This Row],[Result]]="","",COUNTIFS(Team_Level[Team],Team_Level[[#This Row],[Team]],Team_Level[Date],"&gt;="&amp;Team_Level[[#This Row],[Date]],Team_Level[Result],"&lt;&gt;"))</f>
        <v/>
      </c>
      <c r="R422" t="str">
        <f>Team_Level[[#This Row],[Team]]&amp;"-"&amp;Team_Level[[#This Row],[Recency Rank]]</f>
        <v>AFC Wimbledon-</v>
      </c>
      <c r="S422" t="str">
        <f>IF(Team_Level[[#This Row],[Result]]="","",COUNTIFS(Team_Level[Team],Team_Level[[#This Row],[Team]],Team_Level[Date],"&lt;="&amp;Team_Level[[#This Row],[Date]],Team_Level[Result],"&lt;&gt;"))</f>
        <v/>
      </c>
      <c r="T422" t="str">
        <f>Team_Level[[#This Row],[Team]]&amp;"-"&amp;Team_Level[[#This Row],[Chrono Rank]]</f>
        <v>AFC Wimbledon-</v>
      </c>
    </row>
    <row r="423" spans="1:20" x14ac:dyDescent="0.25">
      <c r="A423" t="s">
        <v>500</v>
      </c>
      <c r="B423" s="6">
        <v>46466</v>
      </c>
      <c r="C423" t="s">
        <v>4</v>
      </c>
      <c r="D423" t="s">
        <v>17</v>
      </c>
      <c r="K423">
        <v>1</v>
      </c>
      <c r="L423" t="s">
        <v>34</v>
      </c>
      <c r="Q423" t="str">
        <f>IF(Team_Level[[#This Row],[Result]]="","",COUNTIFS(Team_Level[Team],Team_Level[[#This Row],[Team]],Team_Level[Date],"&gt;="&amp;Team_Level[[#This Row],[Date]],Team_Level[Result],"&lt;&gt;"))</f>
        <v/>
      </c>
      <c r="R423" t="str">
        <f>Team_Level[[#This Row],[Team]]&amp;"-"&amp;Team_Level[[#This Row],[Recency Rank]]</f>
        <v>Bromley-</v>
      </c>
      <c r="S423" t="str">
        <f>IF(Team_Level[[#This Row],[Result]]="","",COUNTIFS(Team_Level[Team],Team_Level[[#This Row],[Team]],Team_Level[Date],"&lt;="&amp;Team_Level[[#This Row],[Date]],Team_Level[Result],"&lt;&gt;"))</f>
        <v/>
      </c>
      <c r="T423" t="str">
        <f>Team_Level[[#This Row],[Team]]&amp;"-"&amp;Team_Level[[#This Row],[Chrono Rank]]</f>
        <v>Bromley-</v>
      </c>
    </row>
    <row r="424" spans="1:20" x14ac:dyDescent="0.25">
      <c r="A424" t="s">
        <v>501</v>
      </c>
      <c r="B424" s="6">
        <v>46466</v>
      </c>
      <c r="C424" t="s">
        <v>7</v>
      </c>
      <c r="D424" t="s">
        <v>3</v>
      </c>
      <c r="K424">
        <v>1</v>
      </c>
      <c r="L424" t="s">
        <v>34</v>
      </c>
      <c r="Q424" t="str">
        <f>IF(Team_Level[[#This Row],[Result]]="","",COUNTIFS(Team_Level[Team],Team_Level[[#This Row],[Team]],Team_Level[Date],"&gt;="&amp;Team_Level[[#This Row],[Date]],Team_Level[Result],"&lt;&gt;"))</f>
        <v/>
      </c>
      <c r="R424" t="str">
        <f>Team_Level[[#This Row],[Team]]&amp;"-"&amp;Team_Level[[#This Row],[Recency Rank]]</f>
        <v>Doncaster Rovers-</v>
      </c>
      <c r="S424" t="str">
        <f>IF(Team_Level[[#This Row],[Result]]="","",COUNTIFS(Team_Level[Team],Team_Level[[#This Row],[Team]],Team_Level[Date],"&lt;="&amp;Team_Level[[#This Row],[Date]],Team_Level[Result],"&lt;&gt;"))</f>
        <v/>
      </c>
      <c r="T424" t="str">
        <f>Team_Level[[#This Row],[Team]]&amp;"-"&amp;Team_Level[[#This Row],[Chrono Rank]]</f>
        <v>Doncaster Rovers-</v>
      </c>
    </row>
    <row r="425" spans="1:20" x14ac:dyDescent="0.25">
      <c r="A425" t="s">
        <v>502</v>
      </c>
      <c r="B425" s="6">
        <v>46466</v>
      </c>
      <c r="C425" t="s">
        <v>9</v>
      </c>
      <c r="D425" t="s">
        <v>8</v>
      </c>
      <c r="K425">
        <v>1</v>
      </c>
      <c r="L425" t="s">
        <v>34</v>
      </c>
      <c r="Q425" t="str">
        <f>IF(Team_Level[[#This Row],[Result]]="","",COUNTIFS(Team_Level[Team],Team_Level[[#This Row],[Team]],Team_Level[Date],"&gt;="&amp;Team_Level[[#This Row],[Date]],Team_Level[Result],"&lt;&gt;"))</f>
        <v/>
      </c>
      <c r="R425" t="str">
        <f>Team_Level[[#This Row],[Team]]&amp;"-"&amp;Team_Level[[#This Row],[Recency Rank]]</f>
        <v>Leicester City-</v>
      </c>
      <c r="S425" t="str">
        <f>IF(Team_Level[[#This Row],[Result]]="","",COUNTIFS(Team_Level[Team],Team_Level[[#This Row],[Team]],Team_Level[Date],"&lt;="&amp;Team_Level[[#This Row],[Date]],Team_Level[Result],"&lt;&gt;"))</f>
        <v/>
      </c>
      <c r="T425" t="str">
        <f>Team_Level[[#This Row],[Team]]&amp;"-"&amp;Team_Level[[#This Row],[Chrono Rank]]</f>
        <v>Leicester City-</v>
      </c>
    </row>
    <row r="426" spans="1:20" x14ac:dyDescent="0.25">
      <c r="A426" t="s">
        <v>503</v>
      </c>
      <c r="B426" s="6">
        <v>46466</v>
      </c>
      <c r="C426" t="s">
        <v>11</v>
      </c>
      <c r="D426" t="s">
        <v>5</v>
      </c>
      <c r="K426">
        <v>1</v>
      </c>
      <c r="L426" t="s">
        <v>34</v>
      </c>
      <c r="Q426" t="str">
        <f>IF(Team_Level[[#This Row],[Result]]="","",COUNTIFS(Team_Level[Team],Team_Level[[#This Row],[Team]],Team_Level[Date],"&gt;="&amp;Team_Level[[#This Row],[Date]],Team_Level[Result],"&lt;&gt;"))</f>
        <v/>
      </c>
      <c r="R426" t="str">
        <f>Team_Level[[#This Row],[Team]]&amp;"-"&amp;Team_Level[[#This Row],[Recency Rank]]</f>
        <v>Luton Town-</v>
      </c>
      <c r="S426" t="str">
        <f>IF(Team_Level[[#This Row],[Result]]="","",COUNTIFS(Team_Level[Team],Team_Level[[#This Row],[Team]],Team_Level[Date],"&lt;="&amp;Team_Level[[#This Row],[Date]],Team_Level[Result],"&lt;&gt;"))</f>
        <v/>
      </c>
      <c r="T426" t="str">
        <f>Team_Level[[#This Row],[Team]]&amp;"-"&amp;Team_Level[[#This Row],[Chrono Rank]]</f>
        <v>Luton Town-</v>
      </c>
    </row>
    <row r="427" spans="1:20" x14ac:dyDescent="0.25">
      <c r="A427" t="s">
        <v>504</v>
      </c>
      <c r="B427" s="6">
        <v>46466</v>
      </c>
      <c r="C427" t="s">
        <v>33</v>
      </c>
      <c r="D427" t="s">
        <v>12</v>
      </c>
      <c r="K427">
        <v>1</v>
      </c>
      <c r="L427" t="s">
        <v>34</v>
      </c>
      <c r="Q427" t="str">
        <f>IF(Team_Level[[#This Row],[Result]]="","",COUNTIFS(Team_Level[Team],Team_Level[[#This Row],[Team]],Team_Level[Date],"&gt;="&amp;Team_Level[[#This Row],[Date]],Team_Level[Result],"&lt;&gt;"))</f>
        <v/>
      </c>
      <c r="R427" t="str">
        <f>Team_Level[[#This Row],[Team]]&amp;"-"&amp;Team_Level[[#This Row],[Recency Rank]]</f>
        <v>Milton Keynes Dons-</v>
      </c>
      <c r="S427" t="str">
        <f>IF(Team_Level[[#This Row],[Result]]="","",COUNTIFS(Team_Level[Team],Team_Level[[#This Row],[Team]],Team_Level[Date],"&lt;="&amp;Team_Level[[#This Row],[Date]],Team_Level[Result],"&lt;&gt;"))</f>
        <v/>
      </c>
      <c r="T427" t="str">
        <f>Team_Level[[#This Row],[Team]]&amp;"-"&amp;Team_Level[[#This Row],[Chrono Rank]]</f>
        <v>Milton Keynes Dons-</v>
      </c>
    </row>
    <row r="428" spans="1:20" x14ac:dyDescent="0.25">
      <c r="A428" t="s">
        <v>505</v>
      </c>
      <c r="B428" s="6">
        <v>46466</v>
      </c>
      <c r="C428" t="s">
        <v>15</v>
      </c>
      <c r="D428" t="s">
        <v>16</v>
      </c>
      <c r="K428">
        <v>1</v>
      </c>
      <c r="L428" t="s">
        <v>34</v>
      </c>
      <c r="Q428" t="str">
        <f>IF(Team_Level[[#This Row],[Result]]="","",COUNTIFS(Team_Level[Team],Team_Level[[#This Row],[Team]],Team_Level[Date],"&gt;="&amp;Team_Level[[#This Row],[Date]],Team_Level[Result],"&lt;&gt;"))</f>
        <v/>
      </c>
      <c r="R428" t="str">
        <f>Team_Level[[#This Row],[Team]]&amp;"-"&amp;Team_Level[[#This Row],[Recency Rank]]</f>
        <v>Peterborough United-</v>
      </c>
      <c r="S428" t="str">
        <f>IF(Team_Level[[#This Row],[Result]]="","",COUNTIFS(Team_Level[Team],Team_Level[[#This Row],[Team]],Team_Level[Date],"&lt;="&amp;Team_Level[[#This Row],[Date]],Team_Level[Result],"&lt;&gt;"))</f>
        <v/>
      </c>
      <c r="T428" t="str">
        <f>Team_Level[[#This Row],[Team]]&amp;"-"&amp;Team_Level[[#This Row],[Chrono Rank]]</f>
        <v>Peterborough United-</v>
      </c>
    </row>
    <row r="429" spans="1:20" x14ac:dyDescent="0.25">
      <c r="A429" t="s">
        <v>506</v>
      </c>
      <c r="B429" s="6">
        <v>46466</v>
      </c>
      <c r="C429" t="s">
        <v>18</v>
      </c>
      <c r="D429" t="s">
        <v>1</v>
      </c>
      <c r="K429">
        <v>1</v>
      </c>
      <c r="L429" t="s">
        <v>34</v>
      </c>
      <c r="Q429" t="str">
        <f>IF(Team_Level[[#This Row],[Result]]="","",COUNTIFS(Team_Level[Team],Team_Level[[#This Row],[Team]],Team_Level[Date],"&gt;="&amp;Team_Level[[#This Row],[Date]],Team_Level[Result],"&lt;&gt;"))</f>
        <v/>
      </c>
      <c r="R429" t="str">
        <f>Team_Level[[#This Row],[Team]]&amp;"-"&amp;Team_Level[[#This Row],[Recency Rank]]</f>
        <v>Sheffield Wednesday-</v>
      </c>
      <c r="S429" t="str">
        <f>IF(Team_Level[[#This Row],[Result]]="","",COUNTIFS(Team_Level[Team],Team_Level[[#This Row],[Team]],Team_Level[Date],"&lt;="&amp;Team_Level[[#This Row],[Date]],Team_Level[Result],"&lt;&gt;"))</f>
        <v/>
      </c>
      <c r="T429" t="str">
        <f>Team_Level[[#This Row],[Team]]&amp;"-"&amp;Team_Level[[#This Row],[Chrono Rank]]</f>
        <v>Sheffield Wednesday-</v>
      </c>
    </row>
    <row r="430" spans="1:20" x14ac:dyDescent="0.25">
      <c r="A430" t="s">
        <v>507</v>
      </c>
      <c r="B430" s="6">
        <v>46466</v>
      </c>
      <c r="C430" t="s">
        <v>19</v>
      </c>
      <c r="D430" t="s">
        <v>13</v>
      </c>
      <c r="K430">
        <v>1</v>
      </c>
      <c r="L430" t="s">
        <v>34</v>
      </c>
      <c r="Q430" t="str">
        <f>IF(Team_Level[[#This Row],[Result]]="","",COUNTIFS(Team_Level[Team],Team_Level[[#This Row],[Team]],Team_Level[Date],"&gt;="&amp;Team_Level[[#This Row],[Date]],Team_Level[Result],"&lt;&gt;"))</f>
        <v/>
      </c>
      <c r="R430" t="str">
        <f>Team_Level[[#This Row],[Team]]&amp;"-"&amp;Team_Level[[#This Row],[Recency Rank]]</f>
        <v>Stevenage-</v>
      </c>
      <c r="S430" t="str">
        <f>IF(Team_Level[[#This Row],[Result]]="","",COUNTIFS(Team_Level[Team],Team_Level[[#This Row],[Team]],Team_Level[Date],"&lt;="&amp;Team_Level[[#This Row],[Date]],Team_Level[Result],"&lt;&gt;"))</f>
        <v/>
      </c>
      <c r="T430" t="str">
        <f>Team_Level[[#This Row],[Team]]&amp;"-"&amp;Team_Level[[#This Row],[Chrono Rank]]</f>
        <v>Stevenage-</v>
      </c>
    </row>
    <row r="431" spans="1:20" x14ac:dyDescent="0.25">
      <c r="A431" t="s">
        <v>508</v>
      </c>
      <c r="B431" s="6">
        <v>46466</v>
      </c>
      <c r="C431" t="s">
        <v>20</v>
      </c>
      <c r="D431" t="s">
        <v>6</v>
      </c>
      <c r="K431">
        <v>1</v>
      </c>
      <c r="L431" t="s">
        <v>34</v>
      </c>
      <c r="Q431" t="str">
        <f>IF(Team_Level[[#This Row],[Result]]="","",COUNTIFS(Team_Level[Team],Team_Level[[#This Row],[Team]],Team_Level[Date],"&gt;="&amp;Team_Level[[#This Row],[Date]],Team_Level[Result],"&lt;&gt;"))</f>
        <v/>
      </c>
      <c r="R431" t="str">
        <f>Team_Level[[#This Row],[Team]]&amp;"-"&amp;Team_Level[[#This Row],[Recency Rank]]</f>
        <v>Stockport County-</v>
      </c>
      <c r="S431" t="str">
        <f>IF(Team_Level[[#This Row],[Result]]="","",COUNTIFS(Team_Level[Team],Team_Level[[#This Row],[Team]],Team_Level[Date],"&lt;="&amp;Team_Level[[#This Row],[Date]],Team_Level[Result],"&lt;&gt;"))</f>
        <v/>
      </c>
      <c r="T431" t="str">
        <f>Team_Level[[#This Row],[Team]]&amp;"-"&amp;Team_Level[[#This Row],[Chrono Rank]]</f>
        <v>Stockport County-</v>
      </c>
    </row>
    <row r="432" spans="1:20" x14ac:dyDescent="0.25">
      <c r="A432" t="s">
        <v>509</v>
      </c>
      <c r="B432" s="6">
        <v>46466</v>
      </c>
      <c r="C432" t="s">
        <v>21</v>
      </c>
      <c r="D432" t="s">
        <v>2</v>
      </c>
      <c r="K432">
        <v>1</v>
      </c>
      <c r="L432" t="s">
        <v>34</v>
      </c>
      <c r="Q432" t="str">
        <f>IF(Team_Level[[#This Row],[Result]]="","",COUNTIFS(Team_Level[Team],Team_Level[[#This Row],[Team]],Team_Level[Date],"&gt;="&amp;Team_Level[[#This Row],[Date]],Team_Level[Result],"&lt;&gt;"))</f>
        <v/>
      </c>
      <c r="R432" t="str">
        <f>Team_Level[[#This Row],[Team]]&amp;"-"&amp;Team_Level[[#This Row],[Recency Rank]]</f>
        <v>Wigan Athletic-</v>
      </c>
      <c r="S432" t="str">
        <f>IF(Team_Level[[#This Row],[Result]]="","",COUNTIFS(Team_Level[Team],Team_Level[[#This Row],[Team]],Team_Level[Date],"&lt;="&amp;Team_Level[[#This Row],[Date]],Team_Level[Result],"&lt;&gt;"))</f>
        <v/>
      </c>
      <c r="T432" t="str">
        <f>Team_Level[[#This Row],[Team]]&amp;"-"&amp;Team_Level[[#This Row],[Chrono Rank]]</f>
        <v>Wigan Athletic-</v>
      </c>
    </row>
    <row r="433" spans="1:20" x14ac:dyDescent="0.25">
      <c r="A433" t="s">
        <v>510</v>
      </c>
      <c r="B433" s="6">
        <v>46466</v>
      </c>
      <c r="C433" t="s">
        <v>22</v>
      </c>
      <c r="D433" t="s">
        <v>14</v>
      </c>
      <c r="K433">
        <v>1</v>
      </c>
      <c r="L433" t="s">
        <v>34</v>
      </c>
      <c r="Q433" t="str">
        <f>IF(Team_Level[[#This Row],[Result]]="","",COUNTIFS(Team_Level[Team],Team_Level[[#This Row],[Team]],Team_Level[Date],"&gt;="&amp;Team_Level[[#This Row],[Date]],Team_Level[Result],"&lt;&gt;"))</f>
        <v/>
      </c>
      <c r="R433" t="str">
        <f>Team_Level[[#This Row],[Team]]&amp;"-"&amp;Team_Level[[#This Row],[Recency Rank]]</f>
        <v>Wycombe Wanderers-</v>
      </c>
      <c r="S433" t="str">
        <f>IF(Team_Level[[#This Row],[Result]]="","",COUNTIFS(Team_Level[Team],Team_Level[[#This Row],[Team]],Team_Level[Date],"&lt;="&amp;Team_Level[[#This Row],[Date]],Team_Level[Result],"&lt;&gt;"))</f>
        <v/>
      </c>
      <c r="T433" t="str">
        <f>Team_Level[[#This Row],[Team]]&amp;"-"&amp;Team_Level[[#This Row],[Chrono Rank]]</f>
        <v>Wycombe Wanderers-</v>
      </c>
    </row>
    <row r="434" spans="1:20" x14ac:dyDescent="0.25">
      <c r="A434" t="s">
        <v>511</v>
      </c>
      <c r="B434" s="6">
        <v>46472</v>
      </c>
      <c r="C434" t="s">
        <v>3</v>
      </c>
      <c r="D434" t="s">
        <v>21</v>
      </c>
      <c r="K434">
        <v>1</v>
      </c>
      <c r="L434" t="s">
        <v>34</v>
      </c>
      <c r="Q434" t="str">
        <f>IF(Team_Level[[#This Row],[Result]]="","",COUNTIFS(Team_Level[Team],Team_Level[[#This Row],[Team]],Team_Level[Date],"&gt;="&amp;Team_Level[[#This Row],[Date]],Team_Level[Result],"&lt;&gt;"))</f>
        <v/>
      </c>
      <c r="R434" t="str">
        <f>Team_Level[[#This Row],[Team]]&amp;"-"&amp;Team_Level[[#This Row],[Recency Rank]]</f>
        <v>Bradford City-</v>
      </c>
      <c r="S434" t="str">
        <f>IF(Team_Level[[#This Row],[Result]]="","",COUNTIFS(Team_Level[Team],Team_Level[[#This Row],[Team]],Team_Level[Date],"&lt;="&amp;Team_Level[[#This Row],[Date]],Team_Level[Result],"&lt;&gt;"))</f>
        <v/>
      </c>
      <c r="T434" t="str">
        <f>Team_Level[[#This Row],[Team]]&amp;"-"&amp;Team_Level[[#This Row],[Chrono Rank]]</f>
        <v>Bradford City-</v>
      </c>
    </row>
    <row r="435" spans="1:20" x14ac:dyDescent="0.25">
      <c r="A435" t="s">
        <v>512</v>
      </c>
      <c r="B435" s="6">
        <v>46472</v>
      </c>
      <c r="C435" t="s">
        <v>5</v>
      </c>
      <c r="D435" t="s">
        <v>20</v>
      </c>
      <c r="K435">
        <v>1</v>
      </c>
      <c r="L435" t="s">
        <v>34</v>
      </c>
      <c r="Q435" t="str">
        <f>IF(Team_Level[[#This Row],[Result]]="","",COUNTIFS(Team_Level[Team],Team_Level[[#This Row],[Team]],Team_Level[Date],"&gt;="&amp;Team_Level[[#This Row],[Date]],Team_Level[Result],"&lt;&gt;"))</f>
        <v/>
      </c>
      <c r="R435" t="str">
        <f>Team_Level[[#This Row],[Team]]&amp;"-"&amp;Team_Level[[#This Row],[Recency Rank]]</f>
        <v>Burton Albion-</v>
      </c>
      <c r="S435" t="str">
        <f>IF(Team_Level[[#This Row],[Result]]="","",COUNTIFS(Team_Level[Team],Team_Level[[#This Row],[Team]],Team_Level[Date],"&lt;="&amp;Team_Level[[#This Row],[Date]],Team_Level[Result],"&lt;&gt;"))</f>
        <v/>
      </c>
      <c r="T435" t="str">
        <f>Team_Level[[#This Row],[Team]]&amp;"-"&amp;Team_Level[[#This Row],[Chrono Rank]]</f>
        <v>Burton Albion-</v>
      </c>
    </row>
    <row r="436" spans="1:20" x14ac:dyDescent="0.25">
      <c r="A436" t="s">
        <v>513</v>
      </c>
      <c r="B436" s="6">
        <v>46472</v>
      </c>
      <c r="C436" t="s">
        <v>7</v>
      </c>
      <c r="D436" t="s">
        <v>2</v>
      </c>
      <c r="K436">
        <v>1</v>
      </c>
      <c r="L436" t="s">
        <v>34</v>
      </c>
      <c r="Q436" t="str">
        <f>IF(Team_Level[[#This Row],[Result]]="","",COUNTIFS(Team_Level[Team],Team_Level[[#This Row],[Team]],Team_Level[Date],"&gt;="&amp;Team_Level[[#This Row],[Date]],Team_Level[Result],"&lt;&gt;"))</f>
        <v/>
      </c>
      <c r="R436" t="str">
        <f>Team_Level[[#This Row],[Team]]&amp;"-"&amp;Team_Level[[#This Row],[Recency Rank]]</f>
        <v>Doncaster Rovers-</v>
      </c>
      <c r="S436" t="str">
        <f>IF(Team_Level[[#This Row],[Result]]="","",COUNTIFS(Team_Level[Team],Team_Level[[#This Row],[Team]],Team_Level[Date],"&lt;="&amp;Team_Level[[#This Row],[Date]],Team_Level[Result],"&lt;&gt;"))</f>
        <v/>
      </c>
      <c r="T436" t="str">
        <f>Team_Level[[#This Row],[Team]]&amp;"-"&amp;Team_Level[[#This Row],[Chrono Rank]]</f>
        <v>Doncaster Rovers-</v>
      </c>
    </row>
    <row r="437" spans="1:20" x14ac:dyDescent="0.25">
      <c r="A437" t="s">
        <v>514</v>
      </c>
      <c r="B437" s="6">
        <v>46472</v>
      </c>
      <c r="C437" t="s">
        <v>8</v>
      </c>
      <c r="D437" t="s">
        <v>17</v>
      </c>
      <c r="K437">
        <v>1</v>
      </c>
      <c r="L437" t="s">
        <v>34</v>
      </c>
      <c r="Q437" t="str">
        <f>IF(Team_Level[[#This Row],[Result]]="","",COUNTIFS(Team_Level[Team],Team_Level[[#This Row],[Team]],Team_Level[Date],"&gt;="&amp;Team_Level[[#This Row],[Date]],Team_Level[Result],"&lt;&gt;"))</f>
        <v/>
      </c>
      <c r="R437" t="str">
        <f>Team_Level[[#This Row],[Team]]&amp;"-"&amp;Team_Level[[#This Row],[Recency Rank]]</f>
        <v>Huddersfield Town-</v>
      </c>
      <c r="S437" t="str">
        <f>IF(Team_Level[[#This Row],[Result]]="","",COUNTIFS(Team_Level[Team],Team_Level[[#This Row],[Team]],Team_Level[Date],"&lt;="&amp;Team_Level[[#This Row],[Date]],Team_Level[Result],"&lt;&gt;"))</f>
        <v/>
      </c>
      <c r="T437" t="str">
        <f>Team_Level[[#This Row],[Team]]&amp;"-"&amp;Team_Level[[#This Row],[Chrono Rank]]</f>
        <v>Huddersfield Town-</v>
      </c>
    </row>
    <row r="438" spans="1:20" x14ac:dyDescent="0.25">
      <c r="A438" t="s">
        <v>515</v>
      </c>
      <c r="B438" s="6">
        <v>46472</v>
      </c>
      <c r="C438" t="s">
        <v>9</v>
      </c>
      <c r="D438" t="s">
        <v>22</v>
      </c>
      <c r="K438">
        <v>1</v>
      </c>
      <c r="L438" t="s">
        <v>34</v>
      </c>
      <c r="Q438" t="str">
        <f>IF(Team_Level[[#This Row],[Result]]="","",COUNTIFS(Team_Level[Team],Team_Level[[#This Row],[Team]],Team_Level[Date],"&gt;="&amp;Team_Level[[#This Row],[Date]],Team_Level[Result],"&lt;&gt;"))</f>
        <v/>
      </c>
      <c r="R438" t="str">
        <f>Team_Level[[#This Row],[Team]]&amp;"-"&amp;Team_Level[[#This Row],[Recency Rank]]</f>
        <v>Leicester City-</v>
      </c>
      <c r="S438" t="str">
        <f>IF(Team_Level[[#This Row],[Result]]="","",COUNTIFS(Team_Level[Team],Team_Level[[#This Row],[Team]],Team_Level[Date],"&lt;="&amp;Team_Level[[#This Row],[Date]],Team_Level[Result],"&lt;&gt;"))</f>
        <v/>
      </c>
      <c r="T438" t="str">
        <f>Team_Level[[#This Row],[Team]]&amp;"-"&amp;Team_Level[[#This Row],[Chrono Rank]]</f>
        <v>Leicester City-</v>
      </c>
    </row>
    <row r="439" spans="1:20" x14ac:dyDescent="0.25">
      <c r="A439" t="s">
        <v>516</v>
      </c>
      <c r="B439" s="6">
        <v>46472</v>
      </c>
      <c r="C439" t="s">
        <v>11</v>
      </c>
      <c r="D439" t="s">
        <v>16</v>
      </c>
      <c r="K439">
        <v>1</v>
      </c>
      <c r="L439" t="s">
        <v>34</v>
      </c>
      <c r="Q439" t="str">
        <f>IF(Team_Level[[#This Row],[Result]]="","",COUNTIFS(Team_Level[Team],Team_Level[[#This Row],[Team]],Team_Level[Date],"&gt;="&amp;Team_Level[[#This Row],[Date]],Team_Level[Result],"&lt;&gt;"))</f>
        <v/>
      </c>
      <c r="R439" t="str">
        <f>Team_Level[[#This Row],[Team]]&amp;"-"&amp;Team_Level[[#This Row],[Recency Rank]]</f>
        <v>Luton Town-</v>
      </c>
      <c r="S439" t="str">
        <f>IF(Team_Level[[#This Row],[Result]]="","",COUNTIFS(Team_Level[Team],Team_Level[[#This Row],[Team]],Team_Level[Date],"&lt;="&amp;Team_Level[[#This Row],[Date]],Team_Level[Result],"&lt;&gt;"))</f>
        <v/>
      </c>
      <c r="T439" t="str">
        <f>Team_Level[[#This Row],[Team]]&amp;"-"&amp;Team_Level[[#This Row],[Chrono Rank]]</f>
        <v>Luton Town-</v>
      </c>
    </row>
    <row r="440" spans="1:20" x14ac:dyDescent="0.25">
      <c r="A440" t="s">
        <v>517</v>
      </c>
      <c r="B440" s="6">
        <v>46472</v>
      </c>
      <c r="C440" t="s">
        <v>12</v>
      </c>
      <c r="D440" t="s">
        <v>6</v>
      </c>
      <c r="K440">
        <v>1</v>
      </c>
      <c r="L440" t="s">
        <v>34</v>
      </c>
      <c r="Q440" t="str">
        <f>IF(Team_Level[[#This Row],[Result]]="","",COUNTIFS(Team_Level[Team],Team_Level[[#This Row],[Team]],Team_Level[Date],"&gt;="&amp;Team_Level[[#This Row],[Date]],Team_Level[Result],"&lt;&gt;"))</f>
        <v/>
      </c>
      <c r="R440" t="str">
        <f>Team_Level[[#This Row],[Team]]&amp;"-"&amp;Team_Level[[#This Row],[Recency Rank]]</f>
        <v>Mansfield Town-</v>
      </c>
      <c r="S440" t="str">
        <f>IF(Team_Level[[#This Row],[Result]]="","",COUNTIFS(Team_Level[Team],Team_Level[[#This Row],[Team]],Team_Level[Date],"&lt;="&amp;Team_Level[[#This Row],[Date]],Team_Level[Result],"&lt;&gt;"))</f>
        <v/>
      </c>
      <c r="T440" t="str">
        <f>Team_Level[[#This Row],[Team]]&amp;"-"&amp;Team_Level[[#This Row],[Chrono Rank]]</f>
        <v>Mansfield Town-</v>
      </c>
    </row>
    <row r="441" spans="1:20" x14ac:dyDescent="0.25">
      <c r="A441" t="s">
        <v>518</v>
      </c>
      <c r="B441" s="6">
        <v>46472</v>
      </c>
      <c r="C441" t="s">
        <v>33</v>
      </c>
      <c r="D441" t="s">
        <v>18</v>
      </c>
      <c r="K441">
        <v>1</v>
      </c>
      <c r="L441" t="s">
        <v>34</v>
      </c>
      <c r="Q441" t="str">
        <f>IF(Team_Level[[#This Row],[Result]]="","",COUNTIFS(Team_Level[Team],Team_Level[[#This Row],[Team]],Team_Level[Date],"&gt;="&amp;Team_Level[[#This Row],[Date]],Team_Level[Result],"&lt;&gt;"))</f>
        <v/>
      </c>
      <c r="R441" t="str">
        <f>Team_Level[[#This Row],[Team]]&amp;"-"&amp;Team_Level[[#This Row],[Recency Rank]]</f>
        <v>Milton Keynes Dons-</v>
      </c>
      <c r="S441" t="str">
        <f>IF(Team_Level[[#This Row],[Result]]="","",COUNTIFS(Team_Level[Team],Team_Level[[#This Row],[Team]],Team_Level[Date],"&lt;="&amp;Team_Level[[#This Row],[Date]],Team_Level[Result],"&lt;&gt;"))</f>
        <v/>
      </c>
      <c r="T441" t="str">
        <f>Team_Level[[#This Row],[Team]]&amp;"-"&amp;Team_Level[[#This Row],[Chrono Rank]]</f>
        <v>Milton Keynes Dons-</v>
      </c>
    </row>
    <row r="442" spans="1:20" x14ac:dyDescent="0.25">
      <c r="A442" t="s">
        <v>519</v>
      </c>
      <c r="B442" s="6">
        <v>46472</v>
      </c>
      <c r="C442" t="s">
        <v>13</v>
      </c>
      <c r="D442" t="s">
        <v>1</v>
      </c>
      <c r="K442">
        <v>1</v>
      </c>
      <c r="L442" t="s">
        <v>34</v>
      </c>
      <c r="Q442" t="str">
        <f>IF(Team_Level[[#This Row],[Result]]="","",COUNTIFS(Team_Level[Team],Team_Level[[#This Row],[Team]],Team_Level[Date],"&gt;="&amp;Team_Level[[#This Row],[Date]],Team_Level[Result],"&lt;&gt;"))</f>
        <v/>
      </c>
      <c r="R442" t="str">
        <f>Team_Level[[#This Row],[Team]]&amp;"-"&amp;Team_Level[[#This Row],[Recency Rank]]</f>
        <v>Notts County-</v>
      </c>
      <c r="S442" t="str">
        <f>IF(Team_Level[[#This Row],[Result]]="","",COUNTIFS(Team_Level[Team],Team_Level[[#This Row],[Team]],Team_Level[Date],"&lt;="&amp;Team_Level[[#This Row],[Date]],Team_Level[Result],"&lt;&gt;"))</f>
        <v/>
      </c>
      <c r="T442" t="str">
        <f>Team_Level[[#This Row],[Team]]&amp;"-"&amp;Team_Level[[#This Row],[Chrono Rank]]</f>
        <v>Notts County-</v>
      </c>
    </row>
    <row r="443" spans="1:20" x14ac:dyDescent="0.25">
      <c r="A443" t="s">
        <v>520</v>
      </c>
      <c r="B443" s="6">
        <v>46472</v>
      </c>
      <c r="C443" t="s">
        <v>14</v>
      </c>
      <c r="D443" t="s">
        <v>10</v>
      </c>
      <c r="K443">
        <v>1</v>
      </c>
      <c r="L443" t="s">
        <v>34</v>
      </c>
      <c r="Q443" t="str">
        <f>IF(Team_Level[[#This Row],[Result]]="","",COUNTIFS(Team_Level[Team],Team_Level[[#This Row],[Team]],Team_Level[Date],"&gt;="&amp;Team_Level[[#This Row],[Date]],Team_Level[Result],"&lt;&gt;"))</f>
        <v/>
      </c>
      <c r="R443" t="str">
        <f>Team_Level[[#This Row],[Team]]&amp;"-"&amp;Team_Level[[#This Row],[Recency Rank]]</f>
        <v>Oxford United-</v>
      </c>
      <c r="S443" t="str">
        <f>IF(Team_Level[[#This Row],[Result]]="","",COUNTIFS(Team_Level[Team],Team_Level[[#This Row],[Team]],Team_Level[Date],"&lt;="&amp;Team_Level[[#This Row],[Date]],Team_Level[Result],"&lt;&gt;"))</f>
        <v/>
      </c>
      <c r="T443" t="str">
        <f>Team_Level[[#This Row],[Team]]&amp;"-"&amp;Team_Level[[#This Row],[Chrono Rank]]</f>
        <v>Oxford United-</v>
      </c>
    </row>
    <row r="444" spans="1:20" x14ac:dyDescent="0.25">
      <c r="A444" t="s">
        <v>521</v>
      </c>
      <c r="B444" s="6">
        <v>46472</v>
      </c>
      <c r="C444" t="s">
        <v>15</v>
      </c>
      <c r="D444" t="s">
        <v>0</v>
      </c>
      <c r="K444">
        <v>1</v>
      </c>
      <c r="L444" t="s">
        <v>34</v>
      </c>
      <c r="Q444" t="str">
        <f>IF(Team_Level[[#This Row],[Result]]="","",COUNTIFS(Team_Level[Team],Team_Level[[#This Row],[Team]],Team_Level[Date],"&gt;="&amp;Team_Level[[#This Row],[Date]],Team_Level[Result],"&lt;&gt;"))</f>
        <v/>
      </c>
      <c r="R444" t="str">
        <f>Team_Level[[#This Row],[Team]]&amp;"-"&amp;Team_Level[[#This Row],[Recency Rank]]</f>
        <v>Peterborough United-</v>
      </c>
      <c r="S444" t="str">
        <f>IF(Team_Level[[#This Row],[Result]]="","",COUNTIFS(Team_Level[Team],Team_Level[[#This Row],[Team]],Team_Level[Date],"&lt;="&amp;Team_Level[[#This Row],[Date]],Team_Level[Result],"&lt;&gt;"))</f>
        <v/>
      </c>
      <c r="T444" t="str">
        <f>Team_Level[[#This Row],[Team]]&amp;"-"&amp;Team_Level[[#This Row],[Chrono Rank]]</f>
        <v>Peterborough United-</v>
      </c>
    </row>
    <row r="445" spans="1:20" x14ac:dyDescent="0.25">
      <c r="A445" t="s">
        <v>522</v>
      </c>
      <c r="B445" s="6">
        <v>46472</v>
      </c>
      <c r="C445" t="s">
        <v>19</v>
      </c>
      <c r="D445" t="s">
        <v>4</v>
      </c>
      <c r="K445">
        <v>1</v>
      </c>
      <c r="L445" t="s">
        <v>34</v>
      </c>
      <c r="Q445" t="str">
        <f>IF(Team_Level[[#This Row],[Result]]="","",COUNTIFS(Team_Level[Team],Team_Level[[#This Row],[Team]],Team_Level[Date],"&gt;="&amp;Team_Level[[#This Row],[Date]],Team_Level[Result],"&lt;&gt;"))</f>
        <v/>
      </c>
      <c r="R445" t="str">
        <f>Team_Level[[#This Row],[Team]]&amp;"-"&amp;Team_Level[[#This Row],[Recency Rank]]</f>
        <v>Stevenage-</v>
      </c>
      <c r="S445" t="str">
        <f>IF(Team_Level[[#This Row],[Result]]="","",COUNTIFS(Team_Level[Team],Team_Level[[#This Row],[Team]],Team_Level[Date],"&lt;="&amp;Team_Level[[#This Row],[Date]],Team_Level[Result],"&lt;&gt;"))</f>
        <v/>
      </c>
      <c r="T445" t="str">
        <f>Team_Level[[#This Row],[Team]]&amp;"-"&amp;Team_Level[[#This Row],[Chrono Rank]]</f>
        <v>Stevenage-</v>
      </c>
    </row>
    <row r="446" spans="1:20" x14ac:dyDescent="0.25">
      <c r="A446" t="s">
        <v>523</v>
      </c>
      <c r="B446" s="6">
        <v>46475</v>
      </c>
      <c r="C446" t="s">
        <v>0</v>
      </c>
      <c r="D446" t="s">
        <v>9</v>
      </c>
      <c r="K446">
        <v>1</v>
      </c>
      <c r="L446" t="s">
        <v>34</v>
      </c>
      <c r="Q446" t="str">
        <f>IF(Team_Level[[#This Row],[Result]]="","",COUNTIFS(Team_Level[Team],Team_Level[[#This Row],[Team]],Team_Level[Date],"&gt;="&amp;Team_Level[[#This Row],[Date]],Team_Level[Result],"&lt;&gt;"))</f>
        <v/>
      </c>
      <c r="R446" t="str">
        <f>Team_Level[[#This Row],[Team]]&amp;"-"&amp;Team_Level[[#This Row],[Recency Rank]]</f>
        <v>AFC Wimbledon-</v>
      </c>
      <c r="S446" t="str">
        <f>IF(Team_Level[[#This Row],[Result]]="","",COUNTIFS(Team_Level[Team],Team_Level[[#This Row],[Team]],Team_Level[Date],"&lt;="&amp;Team_Level[[#This Row],[Date]],Team_Level[Result],"&lt;&gt;"))</f>
        <v/>
      </c>
      <c r="T446" t="str">
        <f>Team_Level[[#This Row],[Team]]&amp;"-"&amp;Team_Level[[#This Row],[Chrono Rank]]</f>
        <v>AFC Wimbledon-</v>
      </c>
    </row>
    <row r="447" spans="1:20" x14ac:dyDescent="0.25">
      <c r="A447" t="s">
        <v>524</v>
      </c>
      <c r="B447" s="6">
        <v>46475</v>
      </c>
      <c r="C447" t="s">
        <v>1</v>
      </c>
      <c r="D447" t="s">
        <v>12</v>
      </c>
      <c r="K447">
        <v>1</v>
      </c>
      <c r="L447" t="s">
        <v>34</v>
      </c>
      <c r="Q447" t="str">
        <f>IF(Team_Level[[#This Row],[Result]]="","",COUNTIFS(Team_Level[Team],Team_Level[[#This Row],[Team]],Team_Level[Date],"&gt;="&amp;Team_Level[[#This Row],[Date]],Team_Level[Result],"&lt;&gt;"))</f>
        <v/>
      </c>
      <c r="R447" t="str">
        <f>Team_Level[[#This Row],[Team]]&amp;"-"&amp;Team_Level[[#This Row],[Recency Rank]]</f>
        <v>Barnsley-</v>
      </c>
      <c r="S447" t="str">
        <f>IF(Team_Level[[#This Row],[Result]]="","",COUNTIFS(Team_Level[Team],Team_Level[[#This Row],[Team]],Team_Level[Date],"&lt;="&amp;Team_Level[[#This Row],[Date]],Team_Level[Result],"&lt;&gt;"))</f>
        <v/>
      </c>
      <c r="T447" t="str">
        <f>Team_Level[[#This Row],[Team]]&amp;"-"&amp;Team_Level[[#This Row],[Chrono Rank]]</f>
        <v>Barnsley-</v>
      </c>
    </row>
    <row r="448" spans="1:20" x14ac:dyDescent="0.25">
      <c r="A448" t="s">
        <v>525</v>
      </c>
      <c r="B448" s="6">
        <v>46475</v>
      </c>
      <c r="C448" t="s">
        <v>2</v>
      </c>
      <c r="D448" t="s">
        <v>14</v>
      </c>
      <c r="K448">
        <v>1</v>
      </c>
      <c r="L448" t="s">
        <v>34</v>
      </c>
      <c r="Q448" t="str">
        <f>IF(Team_Level[[#This Row],[Result]]="","",COUNTIFS(Team_Level[Team],Team_Level[[#This Row],[Team]],Team_Level[Date],"&gt;="&amp;Team_Level[[#This Row],[Date]],Team_Level[Result],"&lt;&gt;"))</f>
        <v/>
      </c>
      <c r="R448" t="str">
        <f>Team_Level[[#This Row],[Team]]&amp;"-"&amp;Team_Level[[#This Row],[Recency Rank]]</f>
        <v>Blackpool-</v>
      </c>
      <c r="S448" t="str">
        <f>IF(Team_Level[[#This Row],[Result]]="","",COUNTIFS(Team_Level[Team],Team_Level[[#This Row],[Team]],Team_Level[Date],"&lt;="&amp;Team_Level[[#This Row],[Date]],Team_Level[Result],"&lt;&gt;"))</f>
        <v/>
      </c>
      <c r="T448" t="str">
        <f>Team_Level[[#This Row],[Team]]&amp;"-"&amp;Team_Level[[#This Row],[Chrono Rank]]</f>
        <v>Blackpool-</v>
      </c>
    </row>
    <row r="449" spans="1:20" x14ac:dyDescent="0.25">
      <c r="A449" t="s">
        <v>526</v>
      </c>
      <c r="B449" s="6">
        <v>46475</v>
      </c>
      <c r="C449" t="s">
        <v>4</v>
      </c>
      <c r="D449" t="s">
        <v>7</v>
      </c>
      <c r="K449">
        <v>1</v>
      </c>
      <c r="L449" t="s">
        <v>34</v>
      </c>
      <c r="Q449" t="str">
        <f>IF(Team_Level[[#This Row],[Result]]="","",COUNTIFS(Team_Level[Team],Team_Level[[#This Row],[Team]],Team_Level[Date],"&gt;="&amp;Team_Level[[#This Row],[Date]],Team_Level[Result],"&lt;&gt;"))</f>
        <v/>
      </c>
      <c r="R449" t="str">
        <f>Team_Level[[#This Row],[Team]]&amp;"-"&amp;Team_Level[[#This Row],[Recency Rank]]</f>
        <v>Bromley-</v>
      </c>
      <c r="S449" t="str">
        <f>IF(Team_Level[[#This Row],[Result]]="","",COUNTIFS(Team_Level[Team],Team_Level[[#This Row],[Team]],Team_Level[Date],"&lt;="&amp;Team_Level[[#This Row],[Date]],Team_Level[Result],"&lt;&gt;"))</f>
        <v/>
      </c>
      <c r="T449" t="str">
        <f>Team_Level[[#This Row],[Team]]&amp;"-"&amp;Team_Level[[#This Row],[Chrono Rank]]</f>
        <v>Bromley-</v>
      </c>
    </row>
    <row r="450" spans="1:20" x14ac:dyDescent="0.25">
      <c r="A450" t="s">
        <v>527</v>
      </c>
      <c r="B450" s="6">
        <v>46475</v>
      </c>
      <c r="C450" t="s">
        <v>6</v>
      </c>
      <c r="D450" t="s">
        <v>33</v>
      </c>
      <c r="K450">
        <v>1</v>
      </c>
      <c r="L450" t="s">
        <v>34</v>
      </c>
      <c r="Q450" t="str">
        <f>IF(Team_Level[[#This Row],[Result]]="","",COUNTIFS(Team_Level[Team],Team_Level[[#This Row],[Team]],Team_Level[Date],"&gt;="&amp;Team_Level[[#This Row],[Date]],Team_Level[Result],"&lt;&gt;"))</f>
        <v/>
      </c>
      <c r="R450" t="str">
        <f>Team_Level[[#This Row],[Team]]&amp;"-"&amp;Team_Level[[#This Row],[Recency Rank]]</f>
        <v>Cambridge United-</v>
      </c>
      <c r="S450" t="str">
        <f>IF(Team_Level[[#This Row],[Result]]="","",COUNTIFS(Team_Level[Team],Team_Level[[#This Row],[Team]],Team_Level[Date],"&lt;="&amp;Team_Level[[#This Row],[Date]],Team_Level[Result],"&lt;&gt;"))</f>
        <v/>
      </c>
      <c r="T450" t="str">
        <f>Team_Level[[#This Row],[Team]]&amp;"-"&amp;Team_Level[[#This Row],[Chrono Rank]]</f>
        <v>Cambridge United-</v>
      </c>
    </row>
    <row r="451" spans="1:20" x14ac:dyDescent="0.25">
      <c r="A451" t="s">
        <v>528</v>
      </c>
      <c r="B451" s="6">
        <v>46475</v>
      </c>
      <c r="C451" t="s">
        <v>10</v>
      </c>
      <c r="D451" t="s">
        <v>8</v>
      </c>
      <c r="K451">
        <v>1</v>
      </c>
      <c r="L451" t="s">
        <v>34</v>
      </c>
      <c r="Q451" t="str">
        <f>IF(Team_Level[[#This Row],[Result]]="","",COUNTIFS(Team_Level[Team],Team_Level[[#This Row],[Team]],Team_Level[Date],"&gt;="&amp;Team_Level[[#This Row],[Date]],Team_Level[Result],"&lt;&gt;"))</f>
        <v/>
      </c>
      <c r="R451" t="str">
        <f>Team_Level[[#This Row],[Team]]&amp;"-"&amp;Team_Level[[#This Row],[Recency Rank]]</f>
        <v>Leyton Orient-</v>
      </c>
      <c r="S451" t="str">
        <f>IF(Team_Level[[#This Row],[Result]]="","",COUNTIFS(Team_Level[Team],Team_Level[[#This Row],[Team]],Team_Level[Date],"&lt;="&amp;Team_Level[[#This Row],[Date]],Team_Level[Result],"&lt;&gt;"))</f>
        <v/>
      </c>
      <c r="T451" t="str">
        <f>Team_Level[[#This Row],[Team]]&amp;"-"&amp;Team_Level[[#This Row],[Chrono Rank]]</f>
        <v>Leyton Orient-</v>
      </c>
    </row>
    <row r="452" spans="1:20" x14ac:dyDescent="0.25">
      <c r="A452" t="s">
        <v>529</v>
      </c>
      <c r="B452" s="6">
        <v>46475</v>
      </c>
      <c r="C452" t="s">
        <v>16</v>
      </c>
      <c r="D452" t="s">
        <v>13</v>
      </c>
      <c r="K452">
        <v>1</v>
      </c>
      <c r="L452" t="s">
        <v>34</v>
      </c>
      <c r="Q452" t="str">
        <f>IF(Team_Level[[#This Row],[Result]]="","",COUNTIFS(Team_Level[Team],Team_Level[[#This Row],[Team]],Team_Level[Date],"&gt;="&amp;Team_Level[[#This Row],[Date]],Team_Level[Result],"&lt;&gt;"))</f>
        <v/>
      </c>
      <c r="R452" t="str">
        <f>Team_Level[[#This Row],[Team]]&amp;"-"&amp;Team_Level[[#This Row],[Recency Rank]]</f>
        <v>Plymouth Argyle-</v>
      </c>
      <c r="S452" t="str">
        <f>IF(Team_Level[[#This Row],[Result]]="","",COUNTIFS(Team_Level[Team],Team_Level[[#This Row],[Team]],Team_Level[Date],"&lt;="&amp;Team_Level[[#This Row],[Date]],Team_Level[Result],"&lt;&gt;"))</f>
        <v/>
      </c>
      <c r="T452" t="str">
        <f>Team_Level[[#This Row],[Team]]&amp;"-"&amp;Team_Level[[#This Row],[Chrono Rank]]</f>
        <v>Plymouth Argyle-</v>
      </c>
    </row>
    <row r="453" spans="1:20" x14ac:dyDescent="0.25">
      <c r="A453" t="s">
        <v>530</v>
      </c>
      <c r="B453" s="6">
        <v>46475</v>
      </c>
      <c r="C453" t="s">
        <v>17</v>
      </c>
      <c r="D453" t="s">
        <v>19</v>
      </c>
      <c r="K453">
        <v>1</v>
      </c>
      <c r="L453" t="s">
        <v>34</v>
      </c>
      <c r="Q453" t="str">
        <f>IF(Team_Level[[#This Row],[Result]]="","",COUNTIFS(Team_Level[Team],Team_Level[[#This Row],[Team]],Team_Level[Date],"&gt;="&amp;Team_Level[[#This Row],[Date]],Team_Level[Result],"&lt;&gt;"))</f>
        <v/>
      </c>
      <c r="R453" t="str">
        <f>Team_Level[[#This Row],[Team]]&amp;"-"&amp;Team_Level[[#This Row],[Recency Rank]]</f>
        <v>Reading-</v>
      </c>
      <c r="S453" t="str">
        <f>IF(Team_Level[[#This Row],[Result]]="","",COUNTIFS(Team_Level[Team],Team_Level[[#This Row],[Team]],Team_Level[Date],"&lt;="&amp;Team_Level[[#This Row],[Date]],Team_Level[Result],"&lt;&gt;"))</f>
        <v/>
      </c>
      <c r="T453" t="str">
        <f>Team_Level[[#This Row],[Team]]&amp;"-"&amp;Team_Level[[#This Row],[Chrono Rank]]</f>
        <v>Reading-</v>
      </c>
    </row>
    <row r="454" spans="1:20" x14ac:dyDescent="0.25">
      <c r="A454" t="s">
        <v>531</v>
      </c>
      <c r="B454" s="6">
        <v>46475</v>
      </c>
      <c r="C454" t="s">
        <v>18</v>
      </c>
      <c r="D454" t="s">
        <v>5</v>
      </c>
      <c r="K454">
        <v>1</v>
      </c>
      <c r="L454" t="s">
        <v>34</v>
      </c>
      <c r="Q454" t="str">
        <f>IF(Team_Level[[#This Row],[Result]]="","",COUNTIFS(Team_Level[Team],Team_Level[[#This Row],[Team]],Team_Level[Date],"&gt;="&amp;Team_Level[[#This Row],[Date]],Team_Level[Result],"&lt;&gt;"))</f>
        <v/>
      </c>
      <c r="R454" t="str">
        <f>Team_Level[[#This Row],[Team]]&amp;"-"&amp;Team_Level[[#This Row],[Recency Rank]]</f>
        <v>Sheffield Wednesday-</v>
      </c>
      <c r="S454" t="str">
        <f>IF(Team_Level[[#This Row],[Result]]="","",COUNTIFS(Team_Level[Team],Team_Level[[#This Row],[Team]],Team_Level[Date],"&lt;="&amp;Team_Level[[#This Row],[Date]],Team_Level[Result],"&lt;&gt;"))</f>
        <v/>
      </c>
      <c r="T454" t="str">
        <f>Team_Level[[#This Row],[Team]]&amp;"-"&amp;Team_Level[[#This Row],[Chrono Rank]]</f>
        <v>Sheffield Wednesday-</v>
      </c>
    </row>
    <row r="455" spans="1:20" x14ac:dyDescent="0.25">
      <c r="A455" t="s">
        <v>532</v>
      </c>
      <c r="B455" s="6">
        <v>46475</v>
      </c>
      <c r="C455" t="s">
        <v>20</v>
      </c>
      <c r="D455" t="s">
        <v>3</v>
      </c>
      <c r="K455">
        <v>1</v>
      </c>
      <c r="L455" t="s">
        <v>34</v>
      </c>
      <c r="Q455" t="str">
        <f>IF(Team_Level[[#This Row],[Result]]="","",COUNTIFS(Team_Level[Team],Team_Level[[#This Row],[Team]],Team_Level[Date],"&gt;="&amp;Team_Level[[#This Row],[Date]],Team_Level[Result],"&lt;&gt;"))</f>
        <v/>
      </c>
      <c r="R455" t="str">
        <f>Team_Level[[#This Row],[Team]]&amp;"-"&amp;Team_Level[[#This Row],[Recency Rank]]</f>
        <v>Stockport County-</v>
      </c>
      <c r="S455" t="str">
        <f>IF(Team_Level[[#This Row],[Result]]="","",COUNTIFS(Team_Level[Team],Team_Level[[#This Row],[Team]],Team_Level[Date],"&lt;="&amp;Team_Level[[#This Row],[Date]],Team_Level[Result],"&lt;&gt;"))</f>
        <v/>
      </c>
      <c r="T455" t="str">
        <f>Team_Level[[#This Row],[Team]]&amp;"-"&amp;Team_Level[[#This Row],[Chrono Rank]]</f>
        <v>Stockport County-</v>
      </c>
    </row>
    <row r="456" spans="1:20" x14ac:dyDescent="0.25">
      <c r="A456" t="s">
        <v>533</v>
      </c>
      <c r="B456" s="6">
        <v>46475</v>
      </c>
      <c r="C456" t="s">
        <v>21</v>
      </c>
      <c r="D456" t="s">
        <v>11</v>
      </c>
      <c r="K456">
        <v>1</v>
      </c>
      <c r="L456" t="s">
        <v>34</v>
      </c>
      <c r="Q456" t="str">
        <f>IF(Team_Level[[#This Row],[Result]]="","",COUNTIFS(Team_Level[Team],Team_Level[[#This Row],[Team]],Team_Level[Date],"&gt;="&amp;Team_Level[[#This Row],[Date]],Team_Level[Result],"&lt;&gt;"))</f>
        <v/>
      </c>
      <c r="R456" t="str">
        <f>Team_Level[[#This Row],[Team]]&amp;"-"&amp;Team_Level[[#This Row],[Recency Rank]]</f>
        <v>Wigan Athletic-</v>
      </c>
      <c r="S456" t="str">
        <f>IF(Team_Level[[#This Row],[Result]]="","",COUNTIFS(Team_Level[Team],Team_Level[[#This Row],[Team]],Team_Level[Date],"&lt;="&amp;Team_Level[[#This Row],[Date]],Team_Level[Result],"&lt;&gt;"))</f>
        <v/>
      </c>
      <c r="T456" t="str">
        <f>Team_Level[[#This Row],[Team]]&amp;"-"&amp;Team_Level[[#This Row],[Chrono Rank]]</f>
        <v>Wigan Athletic-</v>
      </c>
    </row>
    <row r="457" spans="1:20" x14ac:dyDescent="0.25">
      <c r="A457" t="s">
        <v>534</v>
      </c>
      <c r="B457" s="6">
        <v>46475</v>
      </c>
      <c r="C457" t="s">
        <v>22</v>
      </c>
      <c r="D457" t="s">
        <v>15</v>
      </c>
      <c r="K457">
        <v>1</v>
      </c>
      <c r="L457" t="s">
        <v>34</v>
      </c>
      <c r="Q457" t="str">
        <f>IF(Team_Level[[#This Row],[Result]]="","",COUNTIFS(Team_Level[Team],Team_Level[[#This Row],[Team]],Team_Level[Date],"&gt;="&amp;Team_Level[[#This Row],[Date]],Team_Level[Result],"&lt;&gt;"))</f>
        <v/>
      </c>
      <c r="R457" t="str">
        <f>Team_Level[[#This Row],[Team]]&amp;"-"&amp;Team_Level[[#This Row],[Recency Rank]]</f>
        <v>Wycombe Wanderers-</v>
      </c>
      <c r="S457" t="str">
        <f>IF(Team_Level[[#This Row],[Result]]="","",COUNTIFS(Team_Level[Team],Team_Level[[#This Row],[Team]],Team_Level[Date],"&lt;="&amp;Team_Level[[#This Row],[Date]],Team_Level[Result],"&lt;&gt;"))</f>
        <v/>
      </c>
      <c r="T457" t="str">
        <f>Team_Level[[#This Row],[Team]]&amp;"-"&amp;Team_Level[[#This Row],[Chrono Rank]]</f>
        <v>Wycombe Wanderers-</v>
      </c>
    </row>
    <row r="458" spans="1:20" x14ac:dyDescent="0.25">
      <c r="A458" t="s">
        <v>535</v>
      </c>
      <c r="B458" s="6">
        <v>46480</v>
      </c>
      <c r="C458" t="s">
        <v>3</v>
      </c>
      <c r="D458" t="s">
        <v>2</v>
      </c>
      <c r="K458">
        <v>1</v>
      </c>
      <c r="L458" t="s">
        <v>34</v>
      </c>
      <c r="Q458" t="str">
        <f>IF(Team_Level[[#This Row],[Result]]="","",COUNTIFS(Team_Level[Team],Team_Level[[#This Row],[Team]],Team_Level[Date],"&gt;="&amp;Team_Level[[#This Row],[Date]],Team_Level[Result],"&lt;&gt;"))</f>
        <v/>
      </c>
      <c r="R458" t="str">
        <f>Team_Level[[#This Row],[Team]]&amp;"-"&amp;Team_Level[[#This Row],[Recency Rank]]</f>
        <v>Bradford City-</v>
      </c>
      <c r="S458" t="str">
        <f>IF(Team_Level[[#This Row],[Result]]="","",COUNTIFS(Team_Level[Team],Team_Level[[#This Row],[Team]],Team_Level[Date],"&lt;="&amp;Team_Level[[#This Row],[Date]],Team_Level[Result],"&lt;&gt;"))</f>
        <v/>
      </c>
      <c r="T458" t="str">
        <f>Team_Level[[#This Row],[Team]]&amp;"-"&amp;Team_Level[[#This Row],[Chrono Rank]]</f>
        <v>Bradford City-</v>
      </c>
    </row>
    <row r="459" spans="1:20" x14ac:dyDescent="0.25">
      <c r="A459" t="s">
        <v>536</v>
      </c>
      <c r="B459" s="6">
        <v>46480</v>
      </c>
      <c r="C459" t="s">
        <v>5</v>
      </c>
      <c r="D459" t="s">
        <v>1</v>
      </c>
      <c r="K459">
        <v>1</v>
      </c>
      <c r="L459" t="s">
        <v>34</v>
      </c>
      <c r="Q459" t="str">
        <f>IF(Team_Level[[#This Row],[Result]]="","",COUNTIFS(Team_Level[Team],Team_Level[[#This Row],[Team]],Team_Level[Date],"&gt;="&amp;Team_Level[[#This Row],[Date]],Team_Level[Result],"&lt;&gt;"))</f>
        <v/>
      </c>
      <c r="R459" t="str">
        <f>Team_Level[[#This Row],[Team]]&amp;"-"&amp;Team_Level[[#This Row],[Recency Rank]]</f>
        <v>Burton Albion-</v>
      </c>
      <c r="S459" t="str">
        <f>IF(Team_Level[[#This Row],[Result]]="","",COUNTIFS(Team_Level[Team],Team_Level[[#This Row],[Team]],Team_Level[Date],"&lt;="&amp;Team_Level[[#This Row],[Date]],Team_Level[Result],"&lt;&gt;"))</f>
        <v/>
      </c>
      <c r="T459" t="str">
        <f>Team_Level[[#This Row],[Team]]&amp;"-"&amp;Team_Level[[#This Row],[Chrono Rank]]</f>
        <v>Burton Albion-</v>
      </c>
    </row>
    <row r="460" spans="1:20" x14ac:dyDescent="0.25">
      <c r="A460" t="s">
        <v>537</v>
      </c>
      <c r="B460" s="6">
        <v>46480</v>
      </c>
      <c r="C460" t="s">
        <v>7</v>
      </c>
      <c r="D460" t="s">
        <v>6</v>
      </c>
      <c r="K460">
        <v>1</v>
      </c>
      <c r="L460" t="s">
        <v>34</v>
      </c>
      <c r="Q460" t="str">
        <f>IF(Team_Level[[#This Row],[Result]]="","",COUNTIFS(Team_Level[Team],Team_Level[[#This Row],[Team]],Team_Level[Date],"&gt;="&amp;Team_Level[[#This Row],[Date]],Team_Level[Result],"&lt;&gt;"))</f>
        <v/>
      </c>
      <c r="R460" t="str">
        <f>Team_Level[[#This Row],[Team]]&amp;"-"&amp;Team_Level[[#This Row],[Recency Rank]]</f>
        <v>Doncaster Rovers-</v>
      </c>
      <c r="S460" t="str">
        <f>IF(Team_Level[[#This Row],[Result]]="","",COUNTIFS(Team_Level[Team],Team_Level[[#This Row],[Team]],Team_Level[Date],"&lt;="&amp;Team_Level[[#This Row],[Date]],Team_Level[Result],"&lt;&gt;"))</f>
        <v/>
      </c>
      <c r="T460" t="str">
        <f>Team_Level[[#This Row],[Team]]&amp;"-"&amp;Team_Level[[#This Row],[Chrono Rank]]</f>
        <v>Doncaster Rovers-</v>
      </c>
    </row>
    <row r="461" spans="1:20" x14ac:dyDescent="0.25">
      <c r="A461" t="s">
        <v>538</v>
      </c>
      <c r="B461" s="6">
        <v>46480</v>
      </c>
      <c r="C461" t="s">
        <v>8</v>
      </c>
      <c r="D461" t="s">
        <v>20</v>
      </c>
      <c r="K461">
        <v>1</v>
      </c>
      <c r="L461" t="s">
        <v>34</v>
      </c>
      <c r="Q461" t="str">
        <f>IF(Team_Level[[#This Row],[Result]]="","",COUNTIFS(Team_Level[Team],Team_Level[[#This Row],[Team]],Team_Level[Date],"&gt;="&amp;Team_Level[[#This Row],[Date]],Team_Level[Result],"&lt;&gt;"))</f>
        <v/>
      </c>
      <c r="R461" t="str">
        <f>Team_Level[[#This Row],[Team]]&amp;"-"&amp;Team_Level[[#This Row],[Recency Rank]]</f>
        <v>Huddersfield Town-</v>
      </c>
      <c r="S461" t="str">
        <f>IF(Team_Level[[#This Row],[Result]]="","",COUNTIFS(Team_Level[Team],Team_Level[[#This Row],[Team]],Team_Level[Date],"&lt;="&amp;Team_Level[[#This Row],[Date]],Team_Level[Result],"&lt;&gt;"))</f>
        <v/>
      </c>
      <c r="T461" t="str">
        <f>Team_Level[[#This Row],[Team]]&amp;"-"&amp;Team_Level[[#This Row],[Chrono Rank]]</f>
        <v>Huddersfield Town-</v>
      </c>
    </row>
    <row r="462" spans="1:20" x14ac:dyDescent="0.25">
      <c r="A462" t="s">
        <v>539</v>
      </c>
      <c r="B462" s="6">
        <v>46480</v>
      </c>
      <c r="C462" t="s">
        <v>9</v>
      </c>
      <c r="D462" t="s">
        <v>10</v>
      </c>
      <c r="K462">
        <v>1</v>
      </c>
      <c r="L462" t="s">
        <v>34</v>
      </c>
      <c r="Q462" t="str">
        <f>IF(Team_Level[[#This Row],[Result]]="","",COUNTIFS(Team_Level[Team],Team_Level[[#This Row],[Team]],Team_Level[Date],"&gt;="&amp;Team_Level[[#This Row],[Date]],Team_Level[Result],"&lt;&gt;"))</f>
        <v/>
      </c>
      <c r="R462" t="str">
        <f>Team_Level[[#This Row],[Team]]&amp;"-"&amp;Team_Level[[#This Row],[Recency Rank]]</f>
        <v>Leicester City-</v>
      </c>
      <c r="S462" t="str">
        <f>IF(Team_Level[[#This Row],[Result]]="","",COUNTIFS(Team_Level[Team],Team_Level[[#This Row],[Team]],Team_Level[Date],"&lt;="&amp;Team_Level[[#This Row],[Date]],Team_Level[Result],"&lt;&gt;"))</f>
        <v/>
      </c>
      <c r="T462" t="str">
        <f>Team_Level[[#This Row],[Team]]&amp;"-"&amp;Team_Level[[#This Row],[Chrono Rank]]</f>
        <v>Leicester City-</v>
      </c>
    </row>
    <row r="463" spans="1:20" x14ac:dyDescent="0.25">
      <c r="A463" t="s">
        <v>540</v>
      </c>
      <c r="B463" s="6">
        <v>46480</v>
      </c>
      <c r="C463" t="s">
        <v>11</v>
      </c>
      <c r="D463" t="s">
        <v>0</v>
      </c>
      <c r="K463">
        <v>1</v>
      </c>
      <c r="L463" t="s">
        <v>34</v>
      </c>
      <c r="Q463" t="str">
        <f>IF(Team_Level[[#This Row],[Result]]="","",COUNTIFS(Team_Level[Team],Team_Level[[#This Row],[Team]],Team_Level[Date],"&gt;="&amp;Team_Level[[#This Row],[Date]],Team_Level[Result],"&lt;&gt;"))</f>
        <v/>
      </c>
      <c r="R463" t="str">
        <f>Team_Level[[#This Row],[Team]]&amp;"-"&amp;Team_Level[[#This Row],[Recency Rank]]</f>
        <v>Luton Town-</v>
      </c>
      <c r="S463" t="str">
        <f>IF(Team_Level[[#This Row],[Result]]="","",COUNTIFS(Team_Level[Team],Team_Level[[#This Row],[Team]],Team_Level[Date],"&lt;="&amp;Team_Level[[#This Row],[Date]],Team_Level[Result],"&lt;&gt;"))</f>
        <v/>
      </c>
      <c r="T463" t="str">
        <f>Team_Level[[#This Row],[Team]]&amp;"-"&amp;Team_Level[[#This Row],[Chrono Rank]]</f>
        <v>Luton Town-</v>
      </c>
    </row>
    <row r="464" spans="1:20" x14ac:dyDescent="0.25">
      <c r="A464" t="s">
        <v>541</v>
      </c>
      <c r="B464" s="6">
        <v>46480</v>
      </c>
      <c r="C464" t="s">
        <v>12</v>
      </c>
      <c r="D464" t="s">
        <v>18</v>
      </c>
      <c r="K464">
        <v>1</v>
      </c>
      <c r="L464" t="s">
        <v>34</v>
      </c>
      <c r="Q464" t="str">
        <f>IF(Team_Level[[#This Row],[Result]]="","",COUNTIFS(Team_Level[Team],Team_Level[[#This Row],[Team]],Team_Level[Date],"&gt;="&amp;Team_Level[[#This Row],[Date]],Team_Level[Result],"&lt;&gt;"))</f>
        <v/>
      </c>
      <c r="R464" t="str">
        <f>Team_Level[[#This Row],[Team]]&amp;"-"&amp;Team_Level[[#This Row],[Recency Rank]]</f>
        <v>Mansfield Town-</v>
      </c>
      <c r="S464" t="str">
        <f>IF(Team_Level[[#This Row],[Result]]="","",COUNTIFS(Team_Level[Team],Team_Level[[#This Row],[Team]],Team_Level[Date],"&lt;="&amp;Team_Level[[#This Row],[Date]],Team_Level[Result],"&lt;&gt;"))</f>
        <v/>
      </c>
      <c r="T464" t="str">
        <f>Team_Level[[#This Row],[Team]]&amp;"-"&amp;Team_Level[[#This Row],[Chrono Rank]]</f>
        <v>Mansfield Town-</v>
      </c>
    </row>
    <row r="465" spans="1:20" x14ac:dyDescent="0.25">
      <c r="A465" t="s">
        <v>542</v>
      </c>
      <c r="B465" s="6">
        <v>46480</v>
      </c>
      <c r="C465" t="s">
        <v>33</v>
      </c>
      <c r="D465" t="s">
        <v>16</v>
      </c>
      <c r="K465">
        <v>1</v>
      </c>
      <c r="L465" t="s">
        <v>34</v>
      </c>
      <c r="Q465" t="str">
        <f>IF(Team_Level[[#This Row],[Result]]="","",COUNTIFS(Team_Level[Team],Team_Level[[#This Row],[Team]],Team_Level[Date],"&gt;="&amp;Team_Level[[#This Row],[Date]],Team_Level[Result],"&lt;&gt;"))</f>
        <v/>
      </c>
      <c r="R465" t="str">
        <f>Team_Level[[#This Row],[Team]]&amp;"-"&amp;Team_Level[[#This Row],[Recency Rank]]</f>
        <v>Milton Keynes Dons-</v>
      </c>
      <c r="S465" t="str">
        <f>IF(Team_Level[[#This Row],[Result]]="","",COUNTIFS(Team_Level[Team],Team_Level[[#This Row],[Team]],Team_Level[Date],"&lt;="&amp;Team_Level[[#This Row],[Date]],Team_Level[Result],"&lt;&gt;"))</f>
        <v/>
      </c>
      <c r="T465" t="str">
        <f>Team_Level[[#This Row],[Team]]&amp;"-"&amp;Team_Level[[#This Row],[Chrono Rank]]</f>
        <v>Milton Keynes Dons-</v>
      </c>
    </row>
    <row r="466" spans="1:20" x14ac:dyDescent="0.25">
      <c r="A466" t="s">
        <v>543</v>
      </c>
      <c r="B466" s="6">
        <v>46480</v>
      </c>
      <c r="C466" t="s">
        <v>13</v>
      </c>
      <c r="D466" t="s">
        <v>21</v>
      </c>
      <c r="K466">
        <v>1</v>
      </c>
      <c r="L466" t="s">
        <v>34</v>
      </c>
      <c r="Q466" t="str">
        <f>IF(Team_Level[[#This Row],[Result]]="","",COUNTIFS(Team_Level[Team],Team_Level[[#This Row],[Team]],Team_Level[Date],"&gt;="&amp;Team_Level[[#This Row],[Date]],Team_Level[Result],"&lt;&gt;"))</f>
        <v/>
      </c>
      <c r="R466" t="str">
        <f>Team_Level[[#This Row],[Team]]&amp;"-"&amp;Team_Level[[#This Row],[Recency Rank]]</f>
        <v>Notts County-</v>
      </c>
      <c r="S466" t="str">
        <f>IF(Team_Level[[#This Row],[Result]]="","",COUNTIFS(Team_Level[Team],Team_Level[[#This Row],[Team]],Team_Level[Date],"&lt;="&amp;Team_Level[[#This Row],[Date]],Team_Level[Result],"&lt;&gt;"))</f>
        <v/>
      </c>
      <c r="T466" t="str">
        <f>Team_Level[[#This Row],[Team]]&amp;"-"&amp;Team_Level[[#This Row],[Chrono Rank]]</f>
        <v>Notts County-</v>
      </c>
    </row>
    <row r="467" spans="1:20" x14ac:dyDescent="0.25">
      <c r="A467" t="s">
        <v>544</v>
      </c>
      <c r="B467" s="6">
        <v>46480</v>
      </c>
      <c r="C467" t="s">
        <v>14</v>
      </c>
      <c r="D467" t="s">
        <v>4</v>
      </c>
      <c r="K467">
        <v>1</v>
      </c>
      <c r="L467" t="s">
        <v>34</v>
      </c>
      <c r="Q467" t="str">
        <f>IF(Team_Level[[#This Row],[Result]]="","",COUNTIFS(Team_Level[Team],Team_Level[[#This Row],[Team]],Team_Level[Date],"&gt;="&amp;Team_Level[[#This Row],[Date]],Team_Level[Result],"&lt;&gt;"))</f>
        <v/>
      </c>
      <c r="R467" t="str">
        <f>Team_Level[[#This Row],[Team]]&amp;"-"&amp;Team_Level[[#This Row],[Recency Rank]]</f>
        <v>Oxford United-</v>
      </c>
      <c r="S467" t="str">
        <f>IF(Team_Level[[#This Row],[Result]]="","",COUNTIFS(Team_Level[Team],Team_Level[[#This Row],[Team]],Team_Level[Date],"&lt;="&amp;Team_Level[[#This Row],[Date]],Team_Level[Result],"&lt;&gt;"))</f>
        <v/>
      </c>
      <c r="T467" t="str">
        <f>Team_Level[[#This Row],[Team]]&amp;"-"&amp;Team_Level[[#This Row],[Chrono Rank]]</f>
        <v>Oxford United-</v>
      </c>
    </row>
    <row r="468" spans="1:20" x14ac:dyDescent="0.25">
      <c r="A468" t="s">
        <v>545</v>
      </c>
      <c r="B468" s="6">
        <v>46480</v>
      </c>
      <c r="C468" t="s">
        <v>15</v>
      </c>
      <c r="D468" t="s">
        <v>17</v>
      </c>
      <c r="K468">
        <v>1</v>
      </c>
      <c r="L468" t="s">
        <v>34</v>
      </c>
      <c r="Q468" t="str">
        <f>IF(Team_Level[[#This Row],[Result]]="","",COUNTIFS(Team_Level[Team],Team_Level[[#This Row],[Team]],Team_Level[Date],"&gt;="&amp;Team_Level[[#This Row],[Date]],Team_Level[Result],"&lt;&gt;"))</f>
        <v/>
      </c>
      <c r="R468" t="str">
        <f>Team_Level[[#This Row],[Team]]&amp;"-"&amp;Team_Level[[#This Row],[Recency Rank]]</f>
        <v>Peterborough United-</v>
      </c>
      <c r="S468" t="str">
        <f>IF(Team_Level[[#This Row],[Result]]="","",COUNTIFS(Team_Level[Team],Team_Level[[#This Row],[Team]],Team_Level[Date],"&lt;="&amp;Team_Level[[#This Row],[Date]],Team_Level[Result],"&lt;&gt;"))</f>
        <v/>
      </c>
      <c r="T468" t="str">
        <f>Team_Level[[#This Row],[Team]]&amp;"-"&amp;Team_Level[[#This Row],[Chrono Rank]]</f>
        <v>Peterborough United-</v>
      </c>
    </row>
    <row r="469" spans="1:20" x14ac:dyDescent="0.25">
      <c r="A469" t="s">
        <v>546</v>
      </c>
      <c r="B469" s="6">
        <v>46480</v>
      </c>
      <c r="C469" t="s">
        <v>19</v>
      </c>
      <c r="D469" t="s">
        <v>22</v>
      </c>
      <c r="K469">
        <v>1</v>
      </c>
      <c r="L469" t="s">
        <v>34</v>
      </c>
      <c r="Q469" t="str">
        <f>IF(Team_Level[[#This Row],[Result]]="","",COUNTIFS(Team_Level[Team],Team_Level[[#This Row],[Team]],Team_Level[Date],"&gt;="&amp;Team_Level[[#This Row],[Date]],Team_Level[Result],"&lt;&gt;"))</f>
        <v/>
      </c>
      <c r="R469" t="str">
        <f>Team_Level[[#This Row],[Team]]&amp;"-"&amp;Team_Level[[#This Row],[Recency Rank]]</f>
        <v>Stevenage-</v>
      </c>
      <c r="S469" t="str">
        <f>IF(Team_Level[[#This Row],[Result]]="","",COUNTIFS(Team_Level[Team],Team_Level[[#This Row],[Team]],Team_Level[Date],"&lt;="&amp;Team_Level[[#This Row],[Date]],Team_Level[Result],"&lt;&gt;"))</f>
        <v/>
      </c>
      <c r="T469" t="str">
        <f>Team_Level[[#This Row],[Team]]&amp;"-"&amp;Team_Level[[#This Row],[Chrono Rank]]</f>
        <v>Stevenage-</v>
      </c>
    </row>
    <row r="470" spans="1:20" x14ac:dyDescent="0.25">
      <c r="A470" t="s">
        <v>547</v>
      </c>
      <c r="B470" s="6">
        <v>46487</v>
      </c>
      <c r="C470" t="s">
        <v>0</v>
      </c>
      <c r="D470" t="s">
        <v>3</v>
      </c>
      <c r="K470">
        <v>1</v>
      </c>
      <c r="L470" t="s">
        <v>34</v>
      </c>
      <c r="Q470" t="str">
        <f>IF(Team_Level[[#This Row],[Result]]="","",COUNTIFS(Team_Level[Team],Team_Level[[#This Row],[Team]],Team_Level[Date],"&gt;="&amp;Team_Level[[#This Row],[Date]],Team_Level[Result],"&lt;&gt;"))</f>
        <v/>
      </c>
      <c r="R470" t="str">
        <f>Team_Level[[#This Row],[Team]]&amp;"-"&amp;Team_Level[[#This Row],[Recency Rank]]</f>
        <v>AFC Wimbledon-</v>
      </c>
      <c r="S470" t="str">
        <f>IF(Team_Level[[#This Row],[Result]]="","",COUNTIFS(Team_Level[Team],Team_Level[[#This Row],[Team]],Team_Level[Date],"&lt;="&amp;Team_Level[[#This Row],[Date]],Team_Level[Result],"&lt;&gt;"))</f>
        <v/>
      </c>
      <c r="T470" t="str">
        <f>Team_Level[[#This Row],[Team]]&amp;"-"&amp;Team_Level[[#This Row],[Chrono Rank]]</f>
        <v>AFC Wimbledon-</v>
      </c>
    </row>
    <row r="471" spans="1:20" x14ac:dyDescent="0.25">
      <c r="A471" t="s">
        <v>548</v>
      </c>
      <c r="B471" s="6">
        <v>46487</v>
      </c>
      <c r="C471" t="s">
        <v>1</v>
      </c>
      <c r="D471" t="s">
        <v>15</v>
      </c>
      <c r="K471">
        <v>1</v>
      </c>
      <c r="L471" t="s">
        <v>34</v>
      </c>
      <c r="Q471" t="str">
        <f>IF(Team_Level[[#This Row],[Result]]="","",COUNTIFS(Team_Level[Team],Team_Level[[#This Row],[Team]],Team_Level[Date],"&gt;="&amp;Team_Level[[#This Row],[Date]],Team_Level[Result],"&lt;&gt;"))</f>
        <v/>
      </c>
      <c r="R471" t="str">
        <f>Team_Level[[#This Row],[Team]]&amp;"-"&amp;Team_Level[[#This Row],[Recency Rank]]</f>
        <v>Barnsley-</v>
      </c>
      <c r="S471" t="str">
        <f>IF(Team_Level[[#This Row],[Result]]="","",COUNTIFS(Team_Level[Team],Team_Level[[#This Row],[Team]],Team_Level[Date],"&lt;="&amp;Team_Level[[#This Row],[Date]],Team_Level[Result],"&lt;&gt;"))</f>
        <v/>
      </c>
      <c r="T471" t="str">
        <f>Team_Level[[#This Row],[Team]]&amp;"-"&amp;Team_Level[[#This Row],[Chrono Rank]]</f>
        <v>Barnsley-</v>
      </c>
    </row>
    <row r="472" spans="1:20" x14ac:dyDescent="0.25">
      <c r="A472" t="s">
        <v>549</v>
      </c>
      <c r="B472" s="6">
        <v>46487</v>
      </c>
      <c r="C472" t="s">
        <v>2</v>
      </c>
      <c r="D472" t="s">
        <v>8</v>
      </c>
      <c r="K472">
        <v>1</v>
      </c>
      <c r="L472" t="s">
        <v>34</v>
      </c>
      <c r="Q472" t="str">
        <f>IF(Team_Level[[#This Row],[Result]]="","",COUNTIFS(Team_Level[Team],Team_Level[[#This Row],[Team]],Team_Level[Date],"&gt;="&amp;Team_Level[[#This Row],[Date]],Team_Level[Result],"&lt;&gt;"))</f>
        <v/>
      </c>
      <c r="R472" t="str">
        <f>Team_Level[[#This Row],[Team]]&amp;"-"&amp;Team_Level[[#This Row],[Recency Rank]]</f>
        <v>Blackpool-</v>
      </c>
      <c r="S472" t="str">
        <f>IF(Team_Level[[#This Row],[Result]]="","",COUNTIFS(Team_Level[Team],Team_Level[[#This Row],[Team]],Team_Level[Date],"&lt;="&amp;Team_Level[[#This Row],[Date]],Team_Level[Result],"&lt;&gt;"))</f>
        <v/>
      </c>
      <c r="T472" t="str">
        <f>Team_Level[[#This Row],[Team]]&amp;"-"&amp;Team_Level[[#This Row],[Chrono Rank]]</f>
        <v>Blackpool-</v>
      </c>
    </row>
    <row r="473" spans="1:20" x14ac:dyDescent="0.25">
      <c r="A473" t="s">
        <v>550</v>
      </c>
      <c r="B473" s="6">
        <v>46487</v>
      </c>
      <c r="C473" t="s">
        <v>4</v>
      </c>
      <c r="D473" t="s">
        <v>11</v>
      </c>
      <c r="K473">
        <v>1</v>
      </c>
      <c r="L473" t="s">
        <v>34</v>
      </c>
      <c r="Q473" t="str">
        <f>IF(Team_Level[[#This Row],[Result]]="","",COUNTIFS(Team_Level[Team],Team_Level[[#This Row],[Team]],Team_Level[Date],"&gt;="&amp;Team_Level[[#This Row],[Date]],Team_Level[Result],"&lt;&gt;"))</f>
        <v/>
      </c>
      <c r="R473" t="str">
        <f>Team_Level[[#This Row],[Team]]&amp;"-"&amp;Team_Level[[#This Row],[Recency Rank]]</f>
        <v>Bromley-</v>
      </c>
      <c r="S473" t="str">
        <f>IF(Team_Level[[#This Row],[Result]]="","",COUNTIFS(Team_Level[Team],Team_Level[[#This Row],[Team]],Team_Level[Date],"&lt;="&amp;Team_Level[[#This Row],[Date]],Team_Level[Result],"&lt;&gt;"))</f>
        <v/>
      </c>
      <c r="T473" t="str">
        <f>Team_Level[[#This Row],[Team]]&amp;"-"&amp;Team_Level[[#This Row],[Chrono Rank]]</f>
        <v>Bromley-</v>
      </c>
    </row>
    <row r="474" spans="1:20" x14ac:dyDescent="0.25">
      <c r="A474" t="s">
        <v>551</v>
      </c>
      <c r="B474" s="6">
        <v>46487</v>
      </c>
      <c r="C474" t="s">
        <v>6</v>
      </c>
      <c r="D474" t="s">
        <v>13</v>
      </c>
      <c r="K474">
        <v>1</v>
      </c>
      <c r="L474" t="s">
        <v>34</v>
      </c>
      <c r="Q474" t="str">
        <f>IF(Team_Level[[#This Row],[Result]]="","",COUNTIFS(Team_Level[Team],Team_Level[[#This Row],[Team]],Team_Level[Date],"&gt;="&amp;Team_Level[[#This Row],[Date]],Team_Level[Result],"&lt;&gt;"))</f>
        <v/>
      </c>
      <c r="R474" t="str">
        <f>Team_Level[[#This Row],[Team]]&amp;"-"&amp;Team_Level[[#This Row],[Recency Rank]]</f>
        <v>Cambridge United-</v>
      </c>
      <c r="S474" t="str">
        <f>IF(Team_Level[[#This Row],[Result]]="","",COUNTIFS(Team_Level[Team],Team_Level[[#This Row],[Team]],Team_Level[Date],"&lt;="&amp;Team_Level[[#This Row],[Date]],Team_Level[Result],"&lt;&gt;"))</f>
        <v/>
      </c>
      <c r="T474" t="str">
        <f>Team_Level[[#This Row],[Team]]&amp;"-"&amp;Team_Level[[#This Row],[Chrono Rank]]</f>
        <v>Cambridge United-</v>
      </c>
    </row>
    <row r="475" spans="1:20" x14ac:dyDescent="0.25">
      <c r="A475" t="s">
        <v>552</v>
      </c>
      <c r="B475" s="6">
        <v>46487</v>
      </c>
      <c r="C475" t="s">
        <v>10</v>
      </c>
      <c r="D475" t="s">
        <v>33</v>
      </c>
      <c r="K475">
        <v>1</v>
      </c>
      <c r="L475" t="s">
        <v>34</v>
      </c>
      <c r="Q475" t="str">
        <f>IF(Team_Level[[#This Row],[Result]]="","",COUNTIFS(Team_Level[Team],Team_Level[[#This Row],[Team]],Team_Level[Date],"&gt;="&amp;Team_Level[[#This Row],[Date]],Team_Level[Result],"&lt;&gt;"))</f>
        <v/>
      </c>
      <c r="R475" t="str">
        <f>Team_Level[[#This Row],[Team]]&amp;"-"&amp;Team_Level[[#This Row],[Recency Rank]]</f>
        <v>Leyton Orient-</v>
      </c>
      <c r="S475" t="str">
        <f>IF(Team_Level[[#This Row],[Result]]="","",COUNTIFS(Team_Level[Team],Team_Level[[#This Row],[Team]],Team_Level[Date],"&lt;="&amp;Team_Level[[#This Row],[Date]],Team_Level[Result],"&lt;&gt;"))</f>
        <v/>
      </c>
      <c r="T475" t="str">
        <f>Team_Level[[#This Row],[Team]]&amp;"-"&amp;Team_Level[[#This Row],[Chrono Rank]]</f>
        <v>Leyton Orient-</v>
      </c>
    </row>
    <row r="476" spans="1:20" x14ac:dyDescent="0.25">
      <c r="A476" t="s">
        <v>553</v>
      </c>
      <c r="B476" s="6">
        <v>46487</v>
      </c>
      <c r="C476" t="s">
        <v>16</v>
      </c>
      <c r="D476" t="s">
        <v>14</v>
      </c>
      <c r="K476">
        <v>1</v>
      </c>
      <c r="L476" t="s">
        <v>34</v>
      </c>
      <c r="Q476" t="str">
        <f>IF(Team_Level[[#This Row],[Result]]="","",COUNTIFS(Team_Level[Team],Team_Level[[#This Row],[Team]],Team_Level[Date],"&gt;="&amp;Team_Level[[#This Row],[Date]],Team_Level[Result],"&lt;&gt;"))</f>
        <v/>
      </c>
      <c r="R476" t="str">
        <f>Team_Level[[#This Row],[Team]]&amp;"-"&amp;Team_Level[[#This Row],[Recency Rank]]</f>
        <v>Plymouth Argyle-</v>
      </c>
      <c r="S476" t="str">
        <f>IF(Team_Level[[#This Row],[Result]]="","",COUNTIFS(Team_Level[Team],Team_Level[[#This Row],[Team]],Team_Level[Date],"&lt;="&amp;Team_Level[[#This Row],[Date]],Team_Level[Result],"&lt;&gt;"))</f>
        <v/>
      </c>
      <c r="T476" t="str">
        <f>Team_Level[[#This Row],[Team]]&amp;"-"&amp;Team_Level[[#This Row],[Chrono Rank]]</f>
        <v>Plymouth Argyle-</v>
      </c>
    </row>
    <row r="477" spans="1:20" x14ac:dyDescent="0.25">
      <c r="A477" t="s">
        <v>554</v>
      </c>
      <c r="B477" s="6">
        <v>46487</v>
      </c>
      <c r="C477" t="s">
        <v>17</v>
      </c>
      <c r="D477" t="s">
        <v>5</v>
      </c>
      <c r="K477">
        <v>1</v>
      </c>
      <c r="L477" t="s">
        <v>34</v>
      </c>
      <c r="Q477" t="str">
        <f>IF(Team_Level[[#This Row],[Result]]="","",COUNTIFS(Team_Level[Team],Team_Level[[#This Row],[Team]],Team_Level[Date],"&gt;="&amp;Team_Level[[#This Row],[Date]],Team_Level[Result],"&lt;&gt;"))</f>
        <v/>
      </c>
      <c r="R477" t="str">
        <f>Team_Level[[#This Row],[Team]]&amp;"-"&amp;Team_Level[[#This Row],[Recency Rank]]</f>
        <v>Reading-</v>
      </c>
      <c r="S477" t="str">
        <f>IF(Team_Level[[#This Row],[Result]]="","",COUNTIFS(Team_Level[Team],Team_Level[[#This Row],[Team]],Team_Level[Date],"&lt;="&amp;Team_Level[[#This Row],[Date]],Team_Level[Result],"&lt;&gt;"))</f>
        <v/>
      </c>
      <c r="T477" t="str">
        <f>Team_Level[[#This Row],[Team]]&amp;"-"&amp;Team_Level[[#This Row],[Chrono Rank]]</f>
        <v>Reading-</v>
      </c>
    </row>
    <row r="478" spans="1:20" x14ac:dyDescent="0.25">
      <c r="A478" t="s">
        <v>555</v>
      </c>
      <c r="B478" s="6">
        <v>46487</v>
      </c>
      <c r="C478" t="s">
        <v>18</v>
      </c>
      <c r="D478" t="s">
        <v>9</v>
      </c>
      <c r="K478">
        <v>1</v>
      </c>
      <c r="L478" t="s">
        <v>34</v>
      </c>
      <c r="Q478" t="str">
        <f>IF(Team_Level[[#This Row],[Result]]="","",COUNTIFS(Team_Level[Team],Team_Level[[#This Row],[Team]],Team_Level[Date],"&gt;="&amp;Team_Level[[#This Row],[Date]],Team_Level[Result],"&lt;&gt;"))</f>
        <v/>
      </c>
      <c r="R478" t="str">
        <f>Team_Level[[#This Row],[Team]]&amp;"-"&amp;Team_Level[[#This Row],[Recency Rank]]</f>
        <v>Sheffield Wednesday-</v>
      </c>
      <c r="S478" t="str">
        <f>IF(Team_Level[[#This Row],[Result]]="","",COUNTIFS(Team_Level[Team],Team_Level[[#This Row],[Team]],Team_Level[Date],"&lt;="&amp;Team_Level[[#This Row],[Date]],Team_Level[Result],"&lt;&gt;"))</f>
        <v/>
      </c>
      <c r="T478" t="str">
        <f>Team_Level[[#This Row],[Team]]&amp;"-"&amp;Team_Level[[#This Row],[Chrono Rank]]</f>
        <v>Sheffield Wednesday-</v>
      </c>
    </row>
    <row r="479" spans="1:20" x14ac:dyDescent="0.25">
      <c r="A479" t="s">
        <v>556</v>
      </c>
      <c r="B479" s="6">
        <v>46487</v>
      </c>
      <c r="C479" t="s">
        <v>20</v>
      </c>
      <c r="D479" t="s">
        <v>19</v>
      </c>
      <c r="K479">
        <v>1</v>
      </c>
      <c r="L479" t="s">
        <v>34</v>
      </c>
      <c r="Q479" t="str">
        <f>IF(Team_Level[[#This Row],[Result]]="","",COUNTIFS(Team_Level[Team],Team_Level[[#This Row],[Team]],Team_Level[Date],"&gt;="&amp;Team_Level[[#This Row],[Date]],Team_Level[Result],"&lt;&gt;"))</f>
        <v/>
      </c>
      <c r="R479" t="str">
        <f>Team_Level[[#This Row],[Team]]&amp;"-"&amp;Team_Level[[#This Row],[Recency Rank]]</f>
        <v>Stockport County-</v>
      </c>
      <c r="S479" t="str">
        <f>IF(Team_Level[[#This Row],[Result]]="","",COUNTIFS(Team_Level[Team],Team_Level[[#This Row],[Team]],Team_Level[Date],"&lt;="&amp;Team_Level[[#This Row],[Date]],Team_Level[Result],"&lt;&gt;"))</f>
        <v/>
      </c>
      <c r="T479" t="str">
        <f>Team_Level[[#This Row],[Team]]&amp;"-"&amp;Team_Level[[#This Row],[Chrono Rank]]</f>
        <v>Stockport County-</v>
      </c>
    </row>
    <row r="480" spans="1:20" x14ac:dyDescent="0.25">
      <c r="A480" t="s">
        <v>557</v>
      </c>
      <c r="B480" s="6">
        <v>46487</v>
      </c>
      <c r="C480" t="s">
        <v>21</v>
      </c>
      <c r="D480" t="s">
        <v>7</v>
      </c>
      <c r="K480">
        <v>1</v>
      </c>
      <c r="L480" t="s">
        <v>34</v>
      </c>
      <c r="Q480" t="str">
        <f>IF(Team_Level[[#This Row],[Result]]="","",COUNTIFS(Team_Level[Team],Team_Level[[#This Row],[Team]],Team_Level[Date],"&gt;="&amp;Team_Level[[#This Row],[Date]],Team_Level[Result],"&lt;&gt;"))</f>
        <v/>
      </c>
      <c r="R480" t="str">
        <f>Team_Level[[#This Row],[Team]]&amp;"-"&amp;Team_Level[[#This Row],[Recency Rank]]</f>
        <v>Wigan Athletic-</v>
      </c>
      <c r="S480" t="str">
        <f>IF(Team_Level[[#This Row],[Result]]="","",COUNTIFS(Team_Level[Team],Team_Level[[#This Row],[Team]],Team_Level[Date],"&lt;="&amp;Team_Level[[#This Row],[Date]],Team_Level[Result],"&lt;&gt;"))</f>
        <v/>
      </c>
      <c r="T480" t="str">
        <f>Team_Level[[#This Row],[Team]]&amp;"-"&amp;Team_Level[[#This Row],[Chrono Rank]]</f>
        <v>Wigan Athletic-</v>
      </c>
    </row>
    <row r="481" spans="1:20" x14ac:dyDescent="0.25">
      <c r="A481" t="s">
        <v>558</v>
      </c>
      <c r="B481" s="6">
        <v>46487</v>
      </c>
      <c r="C481" t="s">
        <v>22</v>
      </c>
      <c r="D481" t="s">
        <v>12</v>
      </c>
      <c r="K481">
        <v>1</v>
      </c>
      <c r="L481" t="s">
        <v>34</v>
      </c>
      <c r="Q481" t="str">
        <f>IF(Team_Level[[#This Row],[Result]]="","",COUNTIFS(Team_Level[Team],Team_Level[[#This Row],[Team]],Team_Level[Date],"&gt;="&amp;Team_Level[[#This Row],[Date]],Team_Level[Result],"&lt;&gt;"))</f>
        <v/>
      </c>
      <c r="R481" t="str">
        <f>Team_Level[[#This Row],[Team]]&amp;"-"&amp;Team_Level[[#This Row],[Recency Rank]]</f>
        <v>Wycombe Wanderers-</v>
      </c>
      <c r="S481" t="str">
        <f>IF(Team_Level[[#This Row],[Result]]="","",COUNTIFS(Team_Level[Team],Team_Level[[#This Row],[Team]],Team_Level[Date],"&lt;="&amp;Team_Level[[#This Row],[Date]],Team_Level[Result],"&lt;&gt;"))</f>
        <v/>
      </c>
      <c r="T481" t="str">
        <f>Team_Level[[#This Row],[Team]]&amp;"-"&amp;Team_Level[[#This Row],[Chrono Rank]]</f>
        <v>Wycombe Wanderers-</v>
      </c>
    </row>
    <row r="482" spans="1:20" x14ac:dyDescent="0.25">
      <c r="A482" t="s">
        <v>559</v>
      </c>
      <c r="B482" s="6">
        <v>46490</v>
      </c>
      <c r="C482" t="s">
        <v>0</v>
      </c>
      <c r="D482" t="s">
        <v>6</v>
      </c>
      <c r="K482">
        <v>1</v>
      </c>
      <c r="L482" t="s">
        <v>34</v>
      </c>
      <c r="Q482" t="str">
        <f>IF(Team_Level[[#This Row],[Result]]="","",COUNTIFS(Team_Level[Team],Team_Level[[#This Row],[Team]],Team_Level[Date],"&gt;="&amp;Team_Level[[#This Row],[Date]],Team_Level[Result],"&lt;&gt;"))</f>
        <v/>
      </c>
      <c r="R482" t="str">
        <f>Team_Level[[#This Row],[Team]]&amp;"-"&amp;Team_Level[[#This Row],[Recency Rank]]</f>
        <v>AFC Wimbledon-</v>
      </c>
      <c r="S482" t="str">
        <f>IF(Team_Level[[#This Row],[Result]]="","",COUNTIFS(Team_Level[Team],Team_Level[[#This Row],[Team]],Team_Level[Date],"&lt;="&amp;Team_Level[[#This Row],[Date]],Team_Level[Result],"&lt;&gt;"))</f>
        <v/>
      </c>
      <c r="T482" t="str">
        <f>Team_Level[[#This Row],[Team]]&amp;"-"&amp;Team_Level[[#This Row],[Chrono Rank]]</f>
        <v>AFC Wimbledon-</v>
      </c>
    </row>
    <row r="483" spans="1:20" x14ac:dyDescent="0.25">
      <c r="A483" t="s">
        <v>560</v>
      </c>
      <c r="B483" s="6">
        <v>46490</v>
      </c>
      <c r="C483" t="s">
        <v>1</v>
      </c>
      <c r="D483" t="s">
        <v>3</v>
      </c>
      <c r="K483">
        <v>1</v>
      </c>
      <c r="L483" t="s">
        <v>34</v>
      </c>
      <c r="Q483" t="str">
        <f>IF(Team_Level[[#This Row],[Result]]="","",COUNTIFS(Team_Level[Team],Team_Level[[#This Row],[Team]],Team_Level[Date],"&gt;="&amp;Team_Level[[#This Row],[Date]],Team_Level[Result],"&lt;&gt;"))</f>
        <v/>
      </c>
      <c r="R483" t="str">
        <f>Team_Level[[#This Row],[Team]]&amp;"-"&amp;Team_Level[[#This Row],[Recency Rank]]</f>
        <v>Barnsley-</v>
      </c>
      <c r="S483" t="str">
        <f>IF(Team_Level[[#This Row],[Result]]="","",COUNTIFS(Team_Level[Team],Team_Level[[#This Row],[Team]],Team_Level[Date],"&lt;="&amp;Team_Level[[#This Row],[Date]],Team_Level[Result],"&lt;&gt;"))</f>
        <v/>
      </c>
      <c r="T483" t="str">
        <f>Team_Level[[#This Row],[Team]]&amp;"-"&amp;Team_Level[[#This Row],[Chrono Rank]]</f>
        <v>Barnsley-</v>
      </c>
    </row>
    <row r="484" spans="1:20" x14ac:dyDescent="0.25">
      <c r="A484" t="s">
        <v>561</v>
      </c>
      <c r="B484" s="6">
        <v>46490</v>
      </c>
      <c r="C484" t="s">
        <v>2</v>
      </c>
      <c r="D484" t="s">
        <v>13</v>
      </c>
      <c r="K484">
        <v>1</v>
      </c>
      <c r="L484" t="s">
        <v>34</v>
      </c>
      <c r="Q484" t="str">
        <f>IF(Team_Level[[#This Row],[Result]]="","",COUNTIFS(Team_Level[Team],Team_Level[[#This Row],[Team]],Team_Level[Date],"&gt;="&amp;Team_Level[[#This Row],[Date]],Team_Level[Result],"&lt;&gt;"))</f>
        <v/>
      </c>
      <c r="R484" t="str">
        <f>Team_Level[[#This Row],[Team]]&amp;"-"&amp;Team_Level[[#This Row],[Recency Rank]]</f>
        <v>Blackpool-</v>
      </c>
      <c r="S484" t="str">
        <f>IF(Team_Level[[#This Row],[Result]]="","",COUNTIFS(Team_Level[Team],Team_Level[[#This Row],[Team]],Team_Level[Date],"&lt;="&amp;Team_Level[[#This Row],[Date]],Team_Level[Result],"&lt;&gt;"))</f>
        <v/>
      </c>
      <c r="T484" t="str">
        <f>Team_Level[[#This Row],[Team]]&amp;"-"&amp;Team_Level[[#This Row],[Chrono Rank]]</f>
        <v>Blackpool-</v>
      </c>
    </row>
    <row r="485" spans="1:20" x14ac:dyDescent="0.25">
      <c r="A485" t="s">
        <v>562</v>
      </c>
      <c r="B485" s="6">
        <v>46490</v>
      </c>
      <c r="C485" t="s">
        <v>4</v>
      </c>
      <c r="D485" t="s">
        <v>33</v>
      </c>
      <c r="K485">
        <v>1</v>
      </c>
      <c r="L485" t="s">
        <v>34</v>
      </c>
      <c r="Q485" t="str">
        <f>IF(Team_Level[[#This Row],[Result]]="","",COUNTIFS(Team_Level[Team],Team_Level[[#This Row],[Team]],Team_Level[Date],"&gt;="&amp;Team_Level[[#This Row],[Date]],Team_Level[Result],"&lt;&gt;"))</f>
        <v/>
      </c>
      <c r="R485" t="str">
        <f>Team_Level[[#This Row],[Team]]&amp;"-"&amp;Team_Level[[#This Row],[Recency Rank]]</f>
        <v>Bromley-</v>
      </c>
      <c r="S485" t="str">
        <f>IF(Team_Level[[#This Row],[Result]]="","",COUNTIFS(Team_Level[Team],Team_Level[[#This Row],[Team]],Team_Level[Date],"&lt;="&amp;Team_Level[[#This Row],[Date]],Team_Level[Result],"&lt;&gt;"))</f>
        <v/>
      </c>
      <c r="T485" t="str">
        <f>Team_Level[[#This Row],[Team]]&amp;"-"&amp;Team_Level[[#This Row],[Chrono Rank]]</f>
        <v>Bromley-</v>
      </c>
    </row>
    <row r="486" spans="1:20" x14ac:dyDescent="0.25">
      <c r="A486" t="s">
        <v>563</v>
      </c>
      <c r="B486" s="6">
        <v>46490</v>
      </c>
      <c r="C486" t="s">
        <v>5</v>
      </c>
      <c r="D486" t="s">
        <v>16</v>
      </c>
      <c r="K486">
        <v>1</v>
      </c>
      <c r="L486" t="s">
        <v>34</v>
      </c>
      <c r="Q486" t="str">
        <f>IF(Team_Level[[#This Row],[Result]]="","",COUNTIFS(Team_Level[Team],Team_Level[[#This Row],[Team]],Team_Level[Date],"&gt;="&amp;Team_Level[[#This Row],[Date]],Team_Level[Result],"&lt;&gt;"))</f>
        <v/>
      </c>
      <c r="R486" t="str">
        <f>Team_Level[[#This Row],[Team]]&amp;"-"&amp;Team_Level[[#This Row],[Recency Rank]]</f>
        <v>Burton Albion-</v>
      </c>
      <c r="S486" t="str">
        <f>IF(Team_Level[[#This Row],[Result]]="","",COUNTIFS(Team_Level[Team],Team_Level[[#This Row],[Team]],Team_Level[Date],"&lt;="&amp;Team_Level[[#This Row],[Date]],Team_Level[Result],"&lt;&gt;"))</f>
        <v/>
      </c>
      <c r="T486" t="str">
        <f>Team_Level[[#This Row],[Team]]&amp;"-"&amp;Team_Level[[#This Row],[Chrono Rank]]</f>
        <v>Burton Albion-</v>
      </c>
    </row>
    <row r="487" spans="1:20" x14ac:dyDescent="0.25">
      <c r="A487" t="s">
        <v>564</v>
      </c>
      <c r="B487" s="6">
        <v>46490</v>
      </c>
      <c r="C487" t="s">
        <v>10</v>
      </c>
      <c r="D487" t="s">
        <v>12</v>
      </c>
      <c r="K487">
        <v>1</v>
      </c>
      <c r="L487" t="s">
        <v>34</v>
      </c>
      <c r="Q487" t="str">
        <f>IF(Team_Level[[#This Row],[Result]]="","",COUNTIFS(Team_Level[Team],Team_Level[[#This Row],[Team]],Team_Level[Date],"&gt;="&amp;Team_Level[[#This Row],[Date]],Team_Level[Result],"&lt;&gt;"))</f>
        <v/>
      </c>
      <c r="R487" t="str">
        <f>Team_Level[[#This Row],[Team]]&amp;"-"&amp;Team_Level[[#This Row],[Recency Rank]]</f>
        <v>Leyton Orient-</v>
      </c>
      <c r="S487" t="str">
        <f>IF(Team_Level[[#This Row],[Result]]="","",COUNTIFS(Team_Level[Team],Team_Level[[#This Row],[Team]],Team_Level[Date],"&lt;="&amp;Team_Level[[#This Row],[Date]],Team_Level[Result],"&lt;&gt;"))</f>
        <v/>
      </c>
      <c r="T487" t="str">
        <f>Team_Level[[#This Row],[Team]]&amp;"-"&amp;Team_Level[[#This Row],[Chrono Rank]]</f>
        <v>Leyton Orient-</v>
      </c>
    </row>
    <row r="488" spans="1:20" x14ac:dyDescent="0.25">
      <c r="A488" t="s">
        <v>565</v>
      </c>
      <c r="B488" s="6">
        <v>46490</v>
      </c>
      <c r="C488" t="s">
        <v>11</v>
      </c>
      <c r="D488" t="s">
        <v>8</v>
      </c>
      <c r="K488">
        <v>1</v>
      </c>
      <c r="L488" t="s">
        <v>34</v>
      </c>
      <c r="Q488" t="str">
        <f>IF(Team_Level[[#This Row],[Result]]="","",COUNTIFS(Team_Level[Team],Team_Level[[#This Row],[Team]],Team_Level[Date],"&gt;="&amp;Team_Level[[#This Row],[Date]],Team_Level[Result],"&lt;&gt;"))</f>
        <v/>
      </c>
      <c r="R488" t="str">
        <f>Team_Level[[#This Row],[Team]]&amp;"-"&amp;Team_Level[[#This Row],[Recency Rank]]</f>
        <v>Luton Town-</v>
      </c>
      <c r="S488" t="str">
        <f>IF(Team_Level[[#This Row],[Result]]="","",COUNTIFS(Team_Level[Team],Team_Level[[#This Row],[Team]],Team_Level[Date],"&lt;="&amp;Team_Level[[#This Row],[Date]],Team_Level[Result],"&lt;&gt;"))</f>
        <v/>
      </c>
      <c r="T488" t="str">
        <f>Team_Level[[#This Row],[Team]]&amp;"-"&amp;Team_Level[[#This Row],[Chrono Rank]]</f>
        <v>Luton Town-</v>
      </c>
    </row>
    <row r="489" spans="1:20" x14ac:dyDescent="0.25">
      <c r="A489" t="s">
        <v>566</v>
      </c>
      <c r="B489" s="6">
        <v>46490</v>
      </c>
      <c r="C489" t="s">
        <v>14</v>
      </c>
      <c r="D489" t="s">
        <v>7</v>
      </c>
      <c r="K489">
        <v>1</v>
      </c>
      <c r="L489" t="s">
        <v>34</v>
      </c>
      <c r="Q489" t="str">
        <f>IF(Team_Level[[#This Row],[Result]]="","",COUNTIFS(Team_Level[Team],Team_Level[[#This Row],[Team]],Team_Level[Date],"&gt;="&amp;Team_Level[[#This Row],[Date]],Team_Level[Result],"&lt;&gt;"))</f>
        <v/>
      </c>
      <c r="R489" t="str">
        <f>Team_Level[[#This Row],[Team]]&amp;"-"&amp;Team_Level[[#This Row],[Recency Rank]]</f>
        <v>Oxford United-</v>
      </c>
      <c r="S489" t="str">
        <f>IF(Team_Level[[#This Row],[Result]]="","",COUNTIFS(Team_Level[Team],Team_Level[[#This Row],[Team]],Team_Level[Date],"&lt;="&amp;Team_Level[[#This Row],[Date]],Team_Level[Result],"&lt;&gt;"))</f>
        <v/>
      </c>
      <c r="T489" t="str">
        <f>Team_Level[[#This Row],[Team]]&amp;"-"&amp;Team_Level[[#This Row],[Chrono Rank]]</f>
        <v>Oxford United-</v>
      </c>
    </row>
    <row r="490" spans="1:20" x14ac:dyDescent="0.25">
      <c r="A490" t="s">
        <v>567</v>
      </c>
      <c r="B490" s="6">
        <v>46490</v>
      </c>
      <c r="C490" t="s">
        <v>15</v>
      </c>
      <c r="D490" t="s">
        <v>20</v>
      </c>
      <c r="K490">
        <v>1</v>
      </c>
      <c r="L490" t="s">
        <v>34</v>
      </c>
      <c r="Q490" t="str">
        <f>IF(Team_Level[[#This Row],[Result]]="","",COUNTIFS(Team_Level[Team],Team_Level[[#This Row],[Team]],Team_Level[Date],"&gt;="&amp;Team_Level[[#This Row],[Date]],Team_Level[Result],"&lt;&gt;"))</f>
        <v/>
      </c>
      <c r="R490" t="str">
        <f>Team_Level[[#This Row],[Team]]&amp;"-"&amp;Team_Level[[#This Row],[Recency Rank]]</f>
        <v>Peterborough United-</v>
      </c>
      <c r="S490" t="str">
        <f>IF(Team_Level[[#This Row],[Result]]="","",COUNTIFS(Team_Level[Team],Team_Level[[#This Row],[Team]],Team_Level[Date],"&lt;="&amp;Team_Level[[#This Row],[Date]],Team_Level[Result],"&lt;&gt;"))</f>
        <v/>
      </c>
      <c r="T490" t="str">
        <f>Team_Level[[#This Row],[Team]]&amp;"-"&amp;Team_Level[[#This Row],[Chrono Rank]]</f>
        <v>Peterborough United-</v>
      </c>
    </row>
    <row r="491" spans="1:20" x14ac:dyDescent="0.25">
      <c r="A491" t="s">
        <v>568</v>
      </c>
      <c r="B491" s="6">
        <v>46490</v>
      </c>
      <c r="C491" t="s">
        <v>17</v>
      </c>
      <c r="D491" t="s">
        <v>22</v>
      </c>
      <c r="K491">
        <v>1</v>
      </c>
      <c r="L491" t="s">
        <v>34</v>
      </c>
      <c r="Q491" t="str">
        <f>IF(Team_Level[[#This Row],[Result]]="","",COUNTIFS(Team_Level[Team],Team_Level[[#This Row],[Team]],Team_Level[Date],"&gt;="&amp;Team_Level[[#This Row],[Date]],Team_Level[Result],"&lt;&gt;"))</f>
        <v/>
      </c>
      <c r="R491" t="str">
        <f>Team_Level[[#This Row],[Team]]&amp;"-"&amp;Team_Level[[#This Row],[Recency Rank]]</f>
        <v>Reading-</v>
      </c>
      <c r="S491" t="str">
        <f>IF(Team_Level[[#This Row],[Result]]="","",COUNTIFS(Team_Level[Team],Team_Level[[#This Row],[Team]],Team_Level[Date],"&lt;="&amp;Team_Level[[#This Row],[Date]],Team_Level[Result],"&lt;&gt;"))</f>
        <v/>
      </c>
      <c r="T491" t="str">
        <f>Team_Level[[#This Row],[Team]]&amp;"-"&amp;Team_Level[[#This Row],[Chrono Rank]]</f>
        <v>Reading-</v>
      </c>
    </row>
    <row r="492" spans="1:20" x14ac:dyDescent="0.25">
      <c r="A492" t="s">
        <v>569</v>
      </c>
      <c r="B492" s="6">
        <v>46490</v>
      </c>
      <c r="C492" t="s">
        <v>18</v>
      </c>
      <c r="D492" t="s">
        <v>19</v>
      </c>
      <c r="K492">
        <v>1</v>
      </c>
      <c r="L492" t="s">
        <v>34</v>
      </c>
      <c r="Q492" t="str">
        <f>IF(Team_Level[[#This Row],[Result]]="","",COUNTIFS(Team_Level[Team],Team_Level[[#This Row],[Team]],Team_Level[Date],"&gt;="&amp;Team_Level[[#This Row],[Date]],Team_Level[Result],"&lt;&gt;"))</f>
        <v/>
      </c>
      <c r="R492" t="str">
        <f>Team_Level[[#This Row],[Team]]&amp;"-"&amp;Team_Level[[#This Row],[Recency Rank]]</f>
        <v>Sheffield Wednesday-</v>
      </c>
      <c r="S492" t="str">
        <f>IF(Team_Level[[#This Row],[Result]]="","",COUNTIFS(Team_Level[Team],Team_Level[[#This Row],[Team]],Team_Level[Date],"&lt;="&amp;Team_Level[[#This Row],[Date]],Team_Level[Result],"&lt;&gt;"))</f>
        <v/>
      </c>
      <c r="T492" t="str">
        <f>Team_Level[[#This Row],[Team]]&amp;"-"&amp;Team_Level[[#This Row],[Chrono Rank]]</f>
        <v>Sheffield Wednesday-</v>
      </c>
    </row>
    <row r="493" spans="1:20" x14ac:dyDescent="0.25">
      <c r="A493" t="s">
        <v>570</v>
      </c>
      <c r="B493" s="6">
        <v>46490</v>
      </c>
      <c r="C493" t="s">
        <v>21</v>
      </c>
      <c r="D493" t="s">
        <v>9</v>
      </c>
      <c r="K493">
        <v>1</v>
      </c>
      <c r="L493" t="s">
        <v>34</v>
      </c>
      <c r="Q493" t="str">
        <f>IF(Team_Level[[#This Row],[Result]]="","",COUNTIFS(Team_Level[Team],Team_Level[[#This Row],[Team]],Team_Level[Date],"&gt;="&amp;Team_Level[[#This Row],[Date]],Team_Level[Result],"&lt;&gt;"))</f>
        <v/>
      </c>
      <c r="R493" t="str">
        <f>Team_Level[[#This Row],[Team]]&amp;"-"&amp;Team_Level[[#This Row],[Recency Rank]]</f>
        <v>Wigan Athletic-</v>
      </c>
      <c r="S493" t="str">
        <f>IF(Team_Level[[#This Row],[Result]]="","",COUNTIFS(Team_Level[Team],Team_Level[[#This Row],[Team]],Team_Level[Date],"&lt;="&amp;Team_Level[[#This Row],[Date]],Team_Level[Result],"&lt;&gt;"))</f>
        <v/>
      </c>
      <c r="T493" t="str">
        <f>Team_Level[[#This Row],[Team]]&amp;"-"&amp;Team_Level[[#This Row],[Chrono Rank]]</f>
        <v>Wigan Athletic-</v>
      </c>
    </row>
    <row r="494" spans="1:20" x14ac:dyDescent="0.25">
      <c r="A494" t="s">
        <v>571</v>
      </c>
      <c r="B494" s="6">
        <v>46494</v>
      </c>
      <c r="C494" t="s">
        <v>3</v>
      </c>
      <c r="D494" t="s">
        <v>11</v>
      </c>
      <c r="K494">
        <v>1</v>
      </c>
      <c r="L494" t="s">
        <v>34</v>
      </c>
      <c r="Q494" t="str">
        <f>IF(Team_Level[[#This Row],[Result]]="","",COUNTIFS(Team_Level[Team],Team_Level[[#This Row],[Team]],Team_Level[Date],"&gt;="&amp;Team_Level[[#This Row],[Date]],Team_Level[Result],"&lt;&gt;"))</f>
        <v/>
      </c>
      <c r="R494" t="str">
        <f>Team_Level[[#This Row],[Team]]&amp;"-"&amp;Team_Level[[#This Row],[Recency Rank]]</f>
        <v>Bradford City-</v>
      </c>
      <c r="S494" t="str">
        <f>IF(Team_Level[[#This Row],[Result]]="","",COUNTIFS(Team_Level[Team],Team_Level[[#This Row],[Team]],Team_Level[Date],"&lt;="&amp;Team_Level[[#This Row],[Date]],Team_Level[Result],"&lt;&gt;"))</f>
        <v/>
      </c>
      <c r="T494" t="str">
        <f>Team_Level[[#This Row],[Team]]&amp;"-"&amp;Team_Level[[#This Row],[Chrono Rank]]</f>
        <v>Bradford City-</v>
      </c>
    </row>
    <row r="495" spans="1:20" x14ac:dyDescent="0.25">
      <c r="A495" t="s">
        <v>572</v>
      </c>
      <c r="B495" s="6">
        <v>46494</v>
      </c>
      <c r="C495" t="s">
        <v>6</v>
      </c>
      <c r="D495" t="s">
        <v>14</v>
      </c>
      <c r="K495">
        <v>1</v>
      </c>
      <c r="L495" t="s">
        <v>34</v>
      </c>
      <c r="Q495" t="str">
        <f>IF(Team_Level[[#This Row],[Result]]="","",COUNTIFS(Team_Level[Team],Team_Level[[#This Row],[Team]],Team_Level[Date],"&gt;="&amp;Team_Level[[#This Row],[Date]],Team_Level[Result],"&lt;&gt;"))</f>
        <v/>
      </c>
      <c r="R495" t="str">
        <f>Team_Level[[#This Row],[Team]]&amp;"-"&amp;Team_Level[[#This Row],[Recency Rank]]</f>
        <v>Cambridge United-</v>
      </c>
      <c r="S495" t="str">
        <f>IF(Team_Level[[#This Row],[Result]]="","",COUNTIFS(Team_Level[Team],Team_Level[[#This Row],[Team]],Team_Level[Date],"&lt;="&amp;Team_Level[[#This Row],[Date]],Team_Level[Result],"&lt;&gt;"))</f>
        <v/>
      </c>
      <c r="T495" t="str">
        <f>Team_Level[[#This Row],[Team]]&amp;"-"&amp;Team_Level[[#This Row],[Chrono Rank]]</f>
        <v>Cambridge United-</v>
      </c>
    </row>
    <row r="496" spans="1:20" x14ac:dyDescent="0.25">
      <c r="A496" t="s">
        <v>573</v>
      </c>
      <c r="B496" s="6">
        <v>46494</v>
      </c>
      <c r="C496" t="s">
        <v>7</v>
      </c>
      <c r="D496" t="s">
        <v>15</v>
      </c>
      <c r="K496">
        <v>1</v>
      </c>
      <c r="L496" t="s">
        <v>34</v>
      </c>
      <c r="Q496" t="str">
        <f>IF(Team_Level[[#This Row],[Result]]="","",COUNTIFS(Team_Level[Team],Team_Level[[#This Row],[Team]],Team_Level[Date],"&gt;="&amp;Team_Level[[#This Row],[Date]],Team_Level[Result],"&lt;&gt;"))</f>
        <v/>
      </c>
      <c r="R496" t="str">
        <f>Team_Level[[#This Row],[Team]]&amp;"-"&amp;Team_Level[[#This Row],[Recency Rank]]</f>
        <v>Doncaster Rovers-</v>
      </c>
      <c r="S496" t="str">
        <f>IF(Team_Level[[#This Row],[Result]]="","",COUNTIFS(Team_Level[Team],Team_Level[[#This Row],[Team]],Team_Level[Date],"&lt;="&amp;Team_Level[[#This Row],[Date]],Team_Level[Result],"&lt;&gt;"))</f>
        <v/>
      </c>
      <c r="T496" t="str">
        <f>Team_Level[[#This Row],[Team]]&amp;"-"&amp;Team_Level[[#This Row],[Chrono Rank]]</f>
        <v>Doncaster Rovers-</v>
      </c>
    </row>
    <row r="497" spans="1:20" x14ac:dyDescent="0.25">
      <c r="A497" t="s">
        <v>574</v>
      </c>
      <c r="B497" s="6">
        <v>46494</v>
      </c>
      <c r="C497" t="s">
        <v>8</v>
      </c>
      <c r="D497" t="s">
        <v>4</v>
      </c>
      <c r="K497">
        <v>1</v>
      </c>
      <c r="L497" t="s">
        <v>34</v>
      </c>
      <c r="Q497" t="str">
        <f>IF(Team_Level[[#This Row],[Result]]="","",COUNTIFS(Team_Level[Team],Team_Level[[#This Row],[Team]],Team_Level[Date],"&gt;="&amp;Team_Level[[#This Row],[Date]],Team_Level[Result],"&lt;&gt;"))</f>
        <v/>
      </c>
      <c r="R497" t="str">
        <f>Team_Level[[#This Row],[Team]]&amp;"-"&amp;Team_Level[[#This Row],[Recency Rank]]</f>
        <v>Huddersfield Town-</v>
      </c>
      <c r="S497" t="str">
        <f>IF(Team_Level[[#This Row],[Result]]="","",COUNTIFS(Team_Level[Team],Team_Level[[#This Row],[Team]],Team_Level[Date],"&lt;="&amp;Team_Level[[#This Row],[Date]],Team_Level[Result],"&lt;&gt;"))</f>
        <v/>
      </c>
      <c r="T497" t="str">
        <f>Team_Level[[#This Row],[Team]]&amp;"-"&amp;Team_Level[[#This Row],[Chrono Rank]]</f>
        <v>Huddersfield Town-</v>
      </c>
    </row>
    <row r="498" spans="1:20" x14ac:dyDescent="0.25">
      <c r="A498" t="s">
        <v>575</v>
      </c>
      <c r="B498" s="6">
        <v>46494</v>
      </c>
      <c r="C498" t="s">
        <v>9</v>
      </c>
      <c r="D498" t="s">
        <v>1</v>
      </c>
      <c r="K498">
        <v>1</v>
      </c>
      <c r="L498" t="s">
        <v>34</v>
      </c>
      <c r="Q498" t="str">
        <f>IF(Team_Level[[#This Row],[Result]]="","",COUNTIFS(Team_Level[Team],Team_Level[[#This Row],[Team]],Team_Level[Date],"&gt;="&amp;Team_Level[[#This Row],[Date]],Team_Level[Result],"&lt;&gt;"))</f>
        <v/>
      </c>
      <c r="R498" t="str">
        <f>Team_Level[[#This Row],[Team]]&amp;"-"&amp;Team_Level[[#This Row],[Recency Rank]]</f>
        <v>Leicester City-</v>
      </c>
      <c r="S498" t="str">
        <f>IF(Team_Level[[#This Row],[Result]]="","",COUNTIFS(Team_Level[Team],Team_Level[[#This Row],[Team]],Team_Level[Date],"&lt;="&amp;Team_Level[[#This Row],[Date]],Team_Level[Result],"&lt;&gt;"))</f>
        <v/>
      </c>
      <c r="T498" t="str">
        <f>Team_Level[[#This Row],[Team]]&amp;"-"&amp;Team_Level[[#This Row],[Chrono Rank]]</f>
        <v>Leicester City-</v>
      </c>
    </row>
    <row r="499" spans="1:20" x14ac:dyDescent="0.25">
      <c r="A499" t="s">
        <v>576</v>
      </c>
      <c r="B499" s="6">
        <v>46494</v>
      </c>
      <c r="C499" t="s">
        <v>12</v>
      </c>
      <c r="D499" t="s">
        <v>5</v>
      </c>
      <c r="K499">
        <v>1</v>
      </c>
      <c r="L499" t="s">
        <v>34</v>
      </c>
      <c r="Q499" t="str">
        <f>IF(Team_Level[[#This Row],[Result]]="","",COUNTIFS(Team_Level[Team],Team_Level[[#This Row],[Team]],Team_Level[Date],"&gt;="&amp;Team_Level[[#This Row],[Date]],Team_Level[Result],"&lt;&gt;"))</f>
        <v/>
      </c>
      <c r="R499" t="str">
        <f>Team_Level[[#This Row],[Team]]&amp;"-"&amp;Team_Level[[#This Row],[Recency Rank]]</f>
        <v>Mansfield Town-</v>
      </c>
      <c r="S499" t="str">
        <f>IF(Team_Level[[#This Row],[Result]]="","",COUNTIFS(Team_Level[Team],Team_Level[[#This Row],[Team]],Team_Level[Date],"&lt;="&amp;Team_Level[[#This Row],[Date]],Team_Level[Result],"&lt;&gt;"))</f>
        <v/>
      </c>
      <c r="T499" t="str">
        <f>Team_Level[[#This Row],[Team]]&amp;"-"&amp;Team_Level[[#This Row],[Chrono Rank]]</f>
        <v>Mansfield Town-</v>
      </c>
    </row>
    <row r="500" spans="1:20" x14ac:dyDescent="0.25">
      <c r="A500" t="s">
        <v>577</v>
      </c>
      <c r="B500" s="6">
        <v>46494</v>
      </c>
      <c r="C500" t="s">
        <v>33</v>
      </c>
      <c r="D500" t="s">
        <v>0</v>
      </c>
      <c r="K500">
        <v>1</v>
      </c>
      <c r="L500" t="s">
        <v>34</v>
      </c>
      <c r="Q500" t="str">
        <f>IF(Team_Level[[#This Row],[Result]]="","",COUNTIFS(Team_Level[Team],Team_Level[[#This Row],[Team]],Team_Level[Date],"&gt;="&amp;Team_Level[[#This Row],[Date]],Team_Level[Result],"&lt;&gt;"))</f>
        <v/>
      </c>
      <c r="R500" t="str">
        <f>Team_Level[[#This Row],[Team]]&amp;"-"&amp;Team_Level[[#This Row],[Recency Rank]]</f>
        <v>Milton Keynes Dons-</v>
      </c>
      <c r="S500" t="str">
        <f>IF(Team_Level[[#This Row],[Result]]="","",COUNTIFS(Team_Level[Team],Team_Level[[#This Row],[Team]],Team_Level[Date],"&lt;="&amp;Team_Level[[#This Row],[Date]],Team_Level[Result],"&lt;&gt;"))</f>
        <v/>
      </c>
      <c r="T500" t="str">
        <f>Team_Level[[#This Row],[Team]]&amp;"-"&amp;Team_Level[[#This Row],[Chrono Rank]]</f>
        <v>Milton Keynes Dons-</v>
      </c>
    </row>
    <row r="501" spans="1:20" x14ac:dyDescent="0.25">
      <c r="A501" t="s">
        <v>578</v>
      </c>
      <c r="B501" s="6">
        <v>46494</v>
      </c>
      <c r="C501" t="s">
        <v>13</v>
      </c>
      <c r="D501" t="s">
        <v>17</v>
      </c>
      <c r="K501">
        <v>1</v>
      </c>
      <c r="L501" t="s">
        <v>34</v>
      </c>
      <c r="Q501" t="str">
        <f>IF(Team_Level[[#This Row],[Result]]="","",COUNTIFS(Team_Level[Team],Team_Level[[#This Row],[Team]],Team_Level[Date],"&gt;="&amp;Team_Level[[#This Row],[Date]],Team_Level[Result],"&lt;&gt;"))</f>
        <v/>
      </c>
      <c r="R501" t="str">
        <f>Team_Level[[#This Row],[Team]]&amp;"-"&amp;Team_Level[[#This Row],[Recency Rank]]</f>
        <v>Notts County-</v>
      </c>
      <c r="S501" t="str">
        <f>IF(Team_Level[[#This Row],[Result]]="","",COUNTIFS(Team_Level[Team],Team_Level[[#This Row],[Team]],Team_Level[Date],"&lt;="&amp;Team_Level[[#This Row],[Date]],Team_Level[Result],"&lt;&gt;"))</f>
        <v/>
      </c>
      <c r="T501" t="str">
        <f>Team_Level[[#This Row],[Team]]&amp;"-"&amp;Team_Level[[#This Row],[Chrono Rank]]</f>
        <v>Notts County-</v>
      </c>
    </row>
    <row r="502" spans="1:20" x14ac:dyDescent="0.25">
      <c r="A502" t="s">
        <v>579</v>
      </c>
      <c r="B502" s="6">
        <v>46494</v>
      </c>
      <c r="C502" t="s">
        <v>16</v>
      </c>
      <c r="D502" t="s">
        <v>2</v>
      </c>
      <c r="K502">
        <v>1</v>
      </c>
      <c r="L502" t="s">
        <v>34</v>
      </c>
      <c r="Q502" t="str">
        <f>IF(Team_Level[[#This Row],[Result]]="","",COUNTIFS(Team_Level[Team],Team_Level[[#This Row],[Team]],Team_Level[Date],"&gt;="&amp;Team_Level[[#This Row],[Date]],Team_Level[Result],"&lt;&gt;"))</f>
        <v/>
      </c>
      <c r="R502" t="str">
        <f>Team_Level[[#This Row],[Team]]&amp;"-"&amp;Team_Level[[#This Row],[Recency Rank]]</f>
        <v>Plymouth Argyle-</v>
      </c>
      <c r="S502" t="str">
        <f>IF(Team_Level[[#This Row],[Result]]="","",COUNTIFS(Team_Level[Team],Team_Level[[#This Row],[Team]],Team_Level[Date],"&lt;="&amp;Team_Level[[#This Row],[Date]],Team_Level[Result],"&lt;&gt;"))</f>
        <v/>
      </c>
      <c r="T502" t="str">
        <f>Team_Level[[#This Row],[Team]]&amp;"-"&amp;Team_Level[[#This Row],[Chrono Rank]]</f>
        <v>Plymouth Argyle-</v>
      </c>
    </row>
    <row r="503" spans="1:20" x14ac:dyDescent="0.25">
      <c r="A503" t="s">
        <v>580</v>
      </c>
      <c r="B503" s="6">
        <v>46494</v>
      </c>
      <c r="C503" t="s">
        <v>19</v>
      </c>
      <c r="D503" t="s">
        <v>10</v>
      </c>
      <c r="K503">
        <v>1</v>
      </c>
      <c r="L503" t="s">
        <v>34</v>
      </c>
      <c r="Q503" t="str">
        <f>IF(Team_Level[[#This Row],[Result]]="","",COUNTIFS(Team_Level[Team],Team_Level[[#This Row],[Team]],Team_Level[Date],"&gt;="&amp;Team_Level[[#This Row],[Date]],Team_Level[Result],"&lt;&gt;"))</f>
        <v/>
      </c>
      <c r="R503" t="str">
        <f>Team_Level[[#This Row],[Team]]&amp;"-"&amp;Team_Level[[#This Row],[Recency Rank]]</f>
        <v>Stevenage-</v>
      </c>
      <c r="S503" t="str">
        <f>IF(Team_Level[[#This Row],[Result]]="","",COUNTIFS(Team_Level[Team],Team_Level[[#This Row],[Team]],Team_Level[Date],"&lt;="&amp;Team_Level[[#This Row],[Date]],Team_Level[Result],"&lt;&gt;"))</f>
        <v/>
      </c>
      <c r="T503" t="str">
        <f>Team_Level[[#This Row],[Team]]&amp;"-"&amp;Team_Level[[#This Row],[Chrono Rank]]</f>
        <v>Stevenage-</v>
      </c>
    </row>
    <row r="504" spans="1:20" x14ac:dyDescent="0.25">
      <c r="A504" t="s">
        <v>581</v>
      </c>
      <c r="B504" s="6">
        <v>46494</v>
      </c>
      <c r="C504" t="s">
        <v>20</v>
      </c>
      <c r="D504" t="s">
        <v>18</v>
      </c>
      <c r="K504">
        <v>1</v>
      </c>
      <c r="L504" t="s">
        <v>34</v>
      </c>
      <c r="Q504" t="str">
        <f>IF(Team_Level[[#This Row],[Result]]="","",COUNTIFS(Team_Level[Team],Team_Level[[#This Row],[Team]],Team_Level[Date],"&gt;="&amp;Team_Level[[#This Row],[Date]],Team_Level[Result],"&lt;&gt;"))</f>
        <v/>
      </c>
      <c r="R504" t="str">
        <f>Team_Level[[#This Row],[Team]]&amp;"-"&amp;Team_Level[[#This Row],[Recency Rank]]</f>
        <v>Stockport County-</v>
      </c>
      <c r="S504" t="str">
        <f>IF(Team_Level[[#This Row],[Result]]="","",COUNTIFS(Team_Level[Team],Team_Level[[#This Row],[Team]],Team_Level[Date],"&lt;="&amp;Team_Level[[#This Row],[Date]],Team_Level[Result],"&lt;&gt;"))</f>
        <v/>
      </c>
      <c r="T504" t="str">
        <f>Team_Level[[#This Row],[Team]]&amp;"-"&amp;Team_Level[[#This Row],[Chrono Rank]]</f>
        <v>Stockport County-</v>
      </c>
    </row>
    <row r="505" spans="1:20" x14ac:dyDescent="0.25">
      <c r="A505" t="s">
        <v>582</v>
      </c>
      <c r="B505" s="6">
        <v>46494</v>
      </c>
      <c r="C505" t="s">
        <v>22</v>
      </c>
      <c r="D505" t="s">
        <v>21</v>
      </c>
      <c r="K505">
        <v>1</v>
      </c>
      <c r="L505" t="s">
        <v>34</v>
      </c>
      <c r="Q505" t="str">
        <f>IF(Team_Level[[#This Row],[Result]]="","",COUNTIFS(Team_Level[Team],Team_Level[[#This Row],[Team]],Team_Level[Date],"&gt;="&amp;Team_Level[[#This Row],[Date]],Team_Level[Result],"&lt;&gt;"))</f>
        <v/>
      </c>
      <c r="R505" t="str">
        <f>Team_Level[[#This Row],[Team]]&amp;"-"&amp;Team_Level[[#This Row],[Recency Rank]]</f>
        <v>Wycombe Wanderers-</v>
      </c>
      <c r="S505" t="str">
        <f>IF(Team_Level[[#This Row],[Result]]="","",COUNTIFS(Team_Level[Team],Team_Level[[#This Row],[Team]],Team_Level[Date],"&lt;="&amp;Team_Level[[#This Row],[Date]],Team_Level[Result],"&lt;&gt;"))</f>
        <v/>
      </c>
      <c r="T505" t="str">
        <f>Team_Level[[#This Row],[Team]]&amp;"-"&amp;Team_Level[[#This Row],[Chrono Rank]]</f>
        <v>Wycombe Wanderers-</v>
      </c>
    </row>
    <row r="506" spans="1:20" x14ac:dyDescent="0.25">
      <c r="A506" t="s">
        <v>583</v>
      </c>
      <c r="B506" s="6">
        <v>46501</v>
      </c>
      <c r="C506" t="s">
        <v>0</v>
      </c>
      <c r="D506" t="s">
        <v>16</v>
      </c>
      <c r="K506">
        <v>1</v>
      </c>
      <c r="L506" t="s">
        <v>34</v>
      </c>
      <c r="Q506" t="str">
        <f>IF(Team_Level[[#This Row],[Result]]="","",COUNTIFS(Team_Level[Team],Team_Level[[#This Row],[Team]],Team_Level[Date],"&gt;="&amp;Team_Level[[#This Row],[Date]],Team_Level[Result],"&lt;&gt;"))</f>
        <v/>
      </c>
      <c r="R506" t="str">
        <f>Team_Level[[#This Row],[Team]]&amp;"-"&amp;Team_Level[[#This Row],[Recency Rank]]</f>
        <v>AFC Wimbledon-</v>
      </c>
      <c r="S506" t="str">
        <f>IF(Team_Level[[#This Row],[Result]]="","",COUNTIFS(Team_Level[Team],Team_Level[[#This Row],[Team]],Team_Level[Date],"&lt;="&amp;Team_Level[[#This Row],[Date]],Team_Level[Result],"&lt;&gt;"))</f>
        <v/>
      </c>
      <c r="T506" t="str">
        <f>Team_Level[[#This Row],[Team]]&amp;"-"&amp;Team_Level[[#This Row],[Chrono Rank]]</f>
        <v>AFC Wimbledon-</v>
      </c>
    </row>
    <row r="507" spans="1:20" x14ac:dyDescent="0.25">
      <c r="A507" t="s">
        <v>584</v>
      </c>
      <c r="B507" s="6">
        <v>46501</v>
      </c>
      <c r="C507" t="s">
        <v>1</v>
      </c>
      <c r="D507" t="s">
        <v>20</v>
      </c>
      <c r="K507">
        <v>1</v>
      </c>
      <c r="L507" t="s">
        <v>34</v>
      </c>
      <c r="Q507" t="str">
        <f>IF(Team_Level[[#This Row],[Result]]="","",COUNTIFS(Team_Level[Team],Team_Level[[#This Row],[Team]],Team_Level[Date],"&gt;="&amp;Team_Level[[#This Row],[Date]],Team_Level[Result],"&lt;&gt;"))</f>
        <v/>
      </c>
      <c r="R507" t="str">
        <f>Team_Level[[#This Row],[Team]]&amp;"-"&amp;Team_Level[[#This Row],[Recency Rank]]</f>
        <v>Barnsley-</v>
      </c>
      <c r="S507" t="str">
        <f>IF(Team_Level[[#This Row],[Result]]="","",COUNTIFS(Team_Level[Team],Team_Level[[#This Row],[Team]],Team_Level[Date],"&lt;="&amp;Team_Level[[#This Row],[Date]],Team_Level[Result],"&lt;&gt;"))</f>
        <v/>
      </c>
      <c r="T507" t="str">
        <f>Team_Level[[#This Row],[Team]]&amp;"-"&amp;Team_Level[[#This Row],[Chrono Rank]]</f>
        <v>Barnsley-</v>
      </c>
    </row>
    <row r="508" spans="1:20" x14ac:dyDescent="0.25">
      <c r="A508" t="s">
        <v>585</v>
      </c>
      <c r="B508" s="6">
        <v>46501</v>
      </c>
      <c r="C508" t="s">
        <v>2</v>
      </c>
      <c r="D508" t="s">
        <v>6</v>
      </c>
      <c r="K508">
        <v>1</v>
      </c>
      <c r="L508" t="s">
        <v>34</v>
      </c>
      <c r="Q508" t="str">
        <f>IF(Team_Level[[#This Row],[Result]]="","",COUNTIFS(Team_Level[Team],Team_Level[[#This Row],[Team]],Team_Level[Date],"&gt;="&amp;Team_Level[[#This Row],[Date]],Team_Level[Result],"&lt;&gt;"))</f>
        <v/>
      </c>
      <c r="R508" t="str">
        <f>Team_Level[[#This Row],[Team]]&amp;"-"&amp;Team_Level[[#This Row],[Recency Rank]]</f>
        <v>Blackpool-</v>
      </c>
      <c r="S508" t="str">
        <f>IF(Team_Level[[#This Row],[Result]]="","",COUNTIFS(Team_Level[Team],Team_Level[[#This Row],[Team]],Team_Level[Date],"&lt;="&amp;Team_Level[[#This Row],[Date]],Team_Level[Result],"&lt;&gt;"))</f>
        <v/>
      </c>
      <c r="T508" t="str">
        <f>Team_Level[[#This Row],[Team]]&amp;"-"&amp;Team_Level[[#This Row],[Chrono Rank]]</f>
        <v>Blackpool-</v>
      </c>
    </row>
    <row r="509" spans="1:20" x14ac:dyDescent="0.25">
      <c r="A509" t="s">
        <v>586</v>
      </c>
      <c r="B509" s="6">
        <v>46501</v>
      </c>
      <c r="C509" t="s">
        <v>4</v>
      </c>
      <c r="D509" t="s">
        <v>12</v>
      </c>
      <c r="K509">
        <v>1</v>
      </c>
      <c r="L509" t="s">
        <v>34</v>
      </c>
      <c r="Q509" t="str">
        <f>IF(Team_Level[[#This Row],[Result]]="","",COUNTIFS(Team_Level[Team],Team_Level[[#This Row],[Team]],Team_Level[Date],"&gt;="&amp;Team_Level[[#This Row],[Date]],Team_Level[Result],"&lt;&gt;"))</f>
        <v/>
      </c>
      <c r="R509" t="str">
        <f>Team_Level[[#This Row],[Team]]&amp;"-"&amp;Team_Level[[#This Row],[Recency Rank]]</f>
        <v>Bromley-</v>
      </c>
      <c r="S509" t="str">
        <f>IF(Team_Level[[#This Row],[Result]]="","",COUNTIFS(Team_Level[Team],Team_Level[[#This Row],[Team]],Team_Level[Date],"&lt;="&amp;Team_Level[[#This Row],[Date]],Team_Level[Result],"&lt;&gt;"))</f>
        <v/>
      </c>
      <c r="T509" t="str">
        <f>Team_Level[[#This Row],[Team]]&amp;"-"&amp;Team_Level[[#This Row],[Chrono Rank]]</f>
        <v>Bromley-</v>
      </c>
    </row>
    <row r="510" spans="1:20" x14ac:dyDescent="0.25">
      <c r="A510" t="s">
        <v>587</v>
      </c>
      <c r="B510" s="6">
        <v>46501</v>
      </c>
      <c r="C510" t="s">
        <v>5</v>
      </c>
      <c r="D510" t="s">
        <v>7</v>
      </c>
      <c r="K510">
        <v>1</v>
      </c>
      <c r="L510" t="s">
        <v>34</v>
      </c>
      <c r="Q510" t="str">
        <f>IF(Team_Level[[#This Row],[Result]]="","",COUNTIFS(Team_Level[Team],Team_Level[[#This Row],[Team]],Team_Level[Date],"&gt;="&amp;Team_Level[[#This Row],[Date]],Team_Level[Result],"&lt;&gt;"))</f>
        <v/>
      </c>
      <c r="R510" t="str">
        <f>Team_Level[[#This Row],[Team]]&amp;"-"&amp;Team_Level[[#This Row],[Recency Rank]]</f>
        <v>Burton Albion-</v>
      </c>
      <c r="S510" t="str">
        <f>IF(Team_Level[[#This Row],[Result]]="","",COUNTIFS(Team_Level[Team],Team_Level[[#This Row],[Team]],Team_Level[Date],"&lt;="&amp;Team_Level[[#This Row],[Date]],Team_Level[Result],"&lt;&gt;"))</f>
        <v/>
      </c>
      <c r="T510" t="str">
        <f>Team_Level[[#This Row],[Team]]&amp;"-"&amp;Team_Level[[#This Row],[Chrono Rank]]</f>
        <v>Burton Albion-</v>
      </c>
    </row>
    <row r="511" spans="1:20" x14ac:dyDescent="0.25">
      <c r="A511" t="s">
        <v>588</v>
      </c>
      <c r="B511" s="6">
        <v>46501</v>
      </c>
      <c r="C511" t="s">
        <v>10</v>
      </c>
      <c r="D511" t="s">
        <v>3</v>
      </c>
      <c r="K511">
        <v>1</v>
      </c>
      <c r="L511" t="s">
        <v>34</v>
      </c>
      <c r="Q511" t="str">
        <f>IF(Team_Level[[#This Row],[Result]]="","",COUNTIFS(Team_Level[Team],Team_Level[[#This Row],[Team]],Team_Level[Date],"&gt;="&amp;Team_Level[[#This Row],[Date]],Team_Level[Result],"&lt;&gt;"))</f>
        <v/>
      </c>
      <c r="R511" t="str">
        <f>Team_Level[[#This Row],[Team]]&amp;"-"&amp;Team_Level[[#This Row],[Recency Rank]]</f>
        <v>Leyton Orient-</v>
      </c>
      <c r="S511" t="str">
        <f>IF(Team_Level[[#This Row],[Result]]="","",COUNTIFS(Team_Level[Team],Team_Level[[#This Row],[Team]],Team_Level[Date],"&lt;="&amp;Team_Level[[#This Row],[Date]],Team_Level[Result],"&lt;&gt;"))</f>
        <v/>
      </c>
      <c r="T511" t="str">
        <f>Team_Level[[#This Row],[Team]]&amp;"-"&amp;Team_Level[[#This Row],[Chrono Rank]]</f>
        <v>Leyton Orient-</v>
      </c>
    </row>
    <row r="512" spans="1:20" x14ac:dyDescent="0.25">
      <c r="A512" t="s">
        <v>589</v>
      </c>
      <c r="B512" s="6">
        <v>46501</v>
      </c>
      <c r="C512" t="s">
        <v>11</v>
      </c>
      <c r="D512" t="s">
        <v>22</v>
      </c>
      <c r="K512">
        <v>1</v>
      </c>
      <c r="L512" t="s">
        <v>34</v>
      </c>
      <c r="Q512" t="str">
        <f>IF(Team_Level[[#This Row],[Result]]="","",COUNTIFS(Team_Level[Team],Team_Level[[#This Row],[Team]],Team_Level[Date],"&gt;="&amp;Team_Level[[#This Row],[Date]],Team_Level[Result],"&lt;&gt;"))</f>
        <v/>
      </c>
      <c r="R512" t="str">
        <f>Team_Level[[#This Row],[Team]]&amp;"-"&amp;Team_Level[[#This Row],[Recency Rank]]</f>
        <v>Luton Town-</v>
      </c>
      <c r="S512" t="str">
        <f>IF(Team_Level[[#This Row],[Result]]="","",COUNTIFS(Team_Level[Team],Team_Level[[#This Row],[Team]],Team_Level[Date],"&lt;="&amp;Team_Level[[#This Row],[Date]],Team_Level[Result],"&lt;&gt;"))</f>
        <v/>
      </c>
      <c r="T512" t="str">
        <f>Team_Level[[#This Row],[Team]]&amp;"-"&amp;Team_Level[[#This Row],[Chrono Rank]]</f>
        <v>Luton Town-</v>
      </c>
    </row>
    <row r="513" spans="1:20" x14ac:dyDescent="0.25">
      <c r="A513" t="s">
        <v>590</v>
      </c>
      <c r="B513" s="6">
        <v>46501</v>
      </c>
      <c r="C513" t="s">
        <v>14</v>
      </c>
      <c r="D513" t="s">
        <v>13</v>
      </c>
      <c r="K513">
        <v>1</v>
      </c>
      <c r="L513" t="s">
        <v>34</v>
      </c>
      <c r="Q513" t="str">
        <f>IF(Team_Level[[#This Row],[Result]]="","",COUNTIFS(Team_Level[Team],Team_Level[[#This Row],[Team]],Team_Level[Date],"&gt;="&amp;Team_Level[[#This Row],[Date]],Team_Level[Result],"&lt;&gt;"))</f>
        <v/>
      </c>
      <c r="R513" t="str">
        <f>Team_Level[[#This Row],[Team]]&amp;"-"&amp;Team_Level[[#This Row],[Recency Rank]]</f>
        <v>Oxford United-</v>
      </c>
      <c r="S513" t="str">
        <f>IF(Team_Level[[#This Row],[Result]]="","",COUNTIFS(Team_Level[Team],Team_Level[[#This Row],[Team]],Team_Level[Date],"&lt;="&amp;Team_Level[[#This Row],[Date]],Team_Level[Result],"&lt;&gt;"))</f>
        <v/>
      </c>
      <c r="T513" t="str">
        <f>Team_Level[[#This Row],[Team]]&amp;"-"&amp;Team_Level[[#This Row],[Chrono Rank]]</f>
        <v>Oxford United-</v>
      </c>
    </row>
    <row r="514" spans="1:20" x14ac:dyDescent="0.25">
      <c r="A514" t="s">
        <v>591</v>
      </c>
      <c r="B514" s="6">
        <v>46501</v>
      </c>
      <c r="C514" t="s">
        <v>15</v>
      </c>
      <c r="D514" t="s">
        <v>9</v>
      </c>
      <c r="K514">
        <v>1</v>
      </c>
      <c r="L514" t="s">
        <v>34</v>
      </c>
      <c r="Q514" t="str">
        <f>IF(Team_Level[[#This Row],[Result]]="","",COUNTIFS(Team_Level[Team],Team_Level[[#This Row],[Team]],Team_Level[Date],"&gt;="&amp;Team_Level[[#This Row],[Date]],Team_Level[Result],"&lt;&gt;"))</f>
        <v/>
      </c>
      <c r="R514" t="str">
        <f>Team_Level[[#This Row],[Team]]&amp;"-"&amp;Team_Level[[#This Row],[Recency Rank]]</f>
        <v>Peterborough United-</v>
      </c>
      <c r="S514" t="str">
        <f>IF(Team_Level[[#This Row],[Result]]="","",COUNTIFS(Team_Level[Team],Team_Level[[#This Row],[Team]],Team_Level[Date],"&lt;="&amp;Team_Level[[#This Row],[Date]],Team_Level[Result],"&lt;&gt;"))</f>
        <v/>
      </c>
      <c r="T514" t="str">
        <f>Team_Level[[#This Row],[Team]]&amp;"-"&amp;Team_Level[[#This Row],[Chrono Rank]]</f>
        <v>Peterborough United-</v>
      </c>
    </row>
    <row r="515" spans="1:20" x14ac:dyDescent="0.25">
      <c r="A515" t="s">
        <v>592</v>
      </c>
      <c r="B515" s="6">
        <v>46501</v>
      </c>
      <c r="C515" t="s">
        <v>17</v>
      </c>
      <c r="D515" t="s">
        <v>8</v>
      </c>
      <c r="K515">
        <v>1</v>
      </c>
      <c r="L515" t="s">
        <v>34</v>
      </c>
      <c r="Q515" t="str">
        <f>IF(Team_Level[[#This Row],[Result]]="","",COUNTIFS(Team_Level[Team],Team_Level[[#This Row],[Team]],Team_Level[Date],"&gt;="&amp;Team_Level[[#This Row],[Date]],Team_Level[Result],"&lt;&gt;"))</f>
        <v/>
      </c>
      <c r="R515" t="str">
        <f>Team_Level[[#This Row],[Team]]&amp;"-"&amp;Team_Level[[#This Row],[Recency Rank]]</f>
        <v>Reading-</v>
      </c>
      <c r="S515" t="str">
        <f>IF(Team_Level[[#This Row],[Result]]="","",COUNTIFS(Team_Level[Team],Team_Level[[#This Row],[Team]],Team_Level[Date],"&lt;="&amp;Team_Level[[#This Row],[Date]],Team_Level[Result],"&lt;&gt;"))</f>
        <v/>
      </c>
      <c r="T515" t="str">
        <f>Team_Level[[#This Row],[Team]]&amp;"-"&amp;Team_Level[[#This Row],[Chrono Rank]]</f>
        <v>Reading-</v>
      </c>
    </row>
    <row r="516" spans="1:20" x14ac:dyDescent="0.25">
      <c r="A516" t="s">
        <v>593</v>
      </c>
      <c r="B516" s="6">
        <v>46501</v>
      </c>
      <c r="C516" t="s">
        <v>18</v>
      </c>
      <c r="D516" t="s">
        <v>33</v>
      </c>
      <c r="K516">
        <v>1</v>
      </c>
      <c r="L516" t="s">
        <v>34</v>
      </c>
      <c r="Q516" t="str">
        <f>IF(Team_Level[[#This Row],[Result]]="","",COUNTIFS(Team_Level[Team],Team_Level[[#This Row],[Team]],Team_Level[Date],"&gt;="&amp;Team_Level[[#This Row],[Date]],Team_Level[Result],"&lt;&gt;"))</f>
        <v/>
      </c>
      <c r="R516" t="str">
        <f>Team_Level[[#This Row],[Team]]&amp;"-"&amp;Team_Level[[#This Row],[Recency Rank]]</f>
        <v>Sheffield Wednesday-</v>
      </c>
      <c r="S516" t="str">
        <f>IF(Team_Level[[#This Row],[Result]]="","",COUNTIFS(Team_Level[Team],Team_Level[[#This Row],[Team]],Team_Level[Date],"&lt;="&amp;Team_Level[[#This Row],[Date]],Team_Level[Result],"&lt;&gt;"))</f>
        <v/>
      </c>
      <c r="T516" t="str">
        <f>Team_Level[[#This Row],[Team]]&amp;"-"&amp;Team_Level[[#This Row],[Chrono Rank]]</f>
        <v>Sheffield Wednesday-</v>
      </c>
    </row>
    <row r="517" spans="1:20" x14ac:dyDescent="0.25">
      <c r="A517" t="s">
        <v>594</v>
      </c>
      <c r="B517" s="6">
        <v>46501</v>
      </c>
      <c r="C517" t="s">
        <v>21</v>
      </c>
      <c r="D517" t="s">
        <v>19</v>
      </c>
      <c r="K517">
        <v>1</v>
      </c>
      <c r="L517" t="s">
        <v>34</v>
      </c>
      <c r="Q517" t="str">
        <f>IF(Team_Level[[#This Row],[Result]]="","",COUNTIFS(Team_Level[Team],Team_Level[[#This Row],[Team]],Team_Level[Date],"&gt;="&amp;Team_Level[[#This Row],[Date]],Team_Level[Result],"&lt;&gt;"))</f>
        <v/>
      </c>
      <c r="R517" t="str">
        <f>Team_Level[[#This Row],[Team]]&amp;"-"&amp;Team_Level[[#This Row],[Recency Rank]]</f>
        <v>Wigan Athletic-</v>
      </c>
      <c r="S517" t="str">
        <f>IF(Team_Level[[#This Row],[Result]]="","",COUNTIFS(Team_Level[Team],Team_Level[[#This Row],[Team]],Team_Level[Date],"&lt;="&amp;Team_Level[[#This Row],[Date]],Team_Level[Result],"&lt;&gt;"))</f>
        <v/>
      </c>
      <c r="T517" t="str">
        <f>Team_Level[[#This Row],[Team]]&amp;"-"&amp;Team_Level[[#This Row],[Chrono Rank]]</f>
        <v>Wigan Athletic-</v>
      </c>
    </row>
    <row r="518" spans="1:20" x14ac:dyDescent="0.25">
      <c r="A518" t="s">
        <v>595</v>
      </c>
      <c r="B518" s="6">
        <v>46504</v>
      </c>
      <c r="C518" t="s">
        <v>3</v>
      </c>
      <c r="D518" t="s">
        <v>17</v>
      </c>
      <c r="K518">
        <v>1</v>
      </c>
      <c r="L518" t="s">
        <v>34</v>
      </c>
      <c r="Q518" t="str">
        <f>IF(Team_Level[[#This Row],[Result]]="","",COUNTIFS(Team_Level[Team],Team_Level[[#This Row],[Team]],Team_Level[Date],"&gt;="&amp;Team_Level[[#This Row],[Date]],Team_Level[Result],"&lt;&gt;"))</f>
        <v/>
      </c>
      <c r="R518" t="str">
        <f>Team_Level[[#This Row],[Team]]&amp;"-"&amp;Team_Level[[#This Row],[Recency Rank]]</f>
        <v>Bradford City-</v>
      </c>
      <c r="S518" t="str">
        <f>IF(Team_Level[[#This Row],[Result]]="","",COUNTIFS(Team_Level[Team],Team_Level[[#This Row],[Team]],Team_Level[Date],"&lt;="&amp;Team_Level[[#This Row],[Date]],Team_Level[Result],"&lt;&gt;"))</f>
        <v/>
      </c>
      <c r="T518" t="str">
        <f>Team_Level[[#This Row],[Team]]&amp;"-"&amp;Team_Level[[#This Row],[Chrono Rank]]</f>
        <v>Bradford City-</v>
      </c>
    </row>
    <row r="519" spans="1:20" x14ac:dyDescent="0.25">
      <c r="A519" t="s">
        <v>596</v>
      </c>
      <c r="B519" s="6">
        <v>46504</v>
      </c>
      <c r="C519" t="s">
        <v>6</v>
      </c>
      <c r="D519" t="s">
        <v>18</v>
      </c>
      <c r="K519">
        <v>1</v>
      </c>
      <c r="L519" t="s">
        <v>34</v>
      </c>
      <c r="Q519" t="str">
        <f>IF(Team_Level[[#This Row],[Result]]="","",COUNTIFS(Team_Level[Team],Team_Level[[#This Row],[Team]],Team_Level[Date],"&gt;="&amp;Team_Level[[#This Row],[Date]],Team_Level[Result],"&lt;&gt;"))</f>
        <v/>
      </c>
      <c r="R519" t="str">
        <f>Team_Level[[#This Row],[Team]]&amp;"-"&amp;Team_Level[[#This Row],[Recency Rank]]</f>
        <v>Cambridge United-</v>
      </c>
      <c r="S519" t="str">
        <f>IF(Team_Level[[#This Row],[Result]]="","",COUNTIFS(Team_Level[Team],Team_Level[[#This Row],[Team]],Team_Level[Date],"&lt;="&amp;Team_Level[[#This Row],[Date]],Team_Level[Result],"&lt;&gt;"))</f>
        <v/>
      </c>
      <c r="T519" t="str">
        <f>Team_Level[[#This Row],[Team]]&amp;"-"&amp;Team_Level[[#This Row],[Chrono Rank]]</f>
        <v>Cambridge United-</v>
      </c>
    </row>
    <row r="520" spans="1:20" x14ac:dyDescent="0.25">
      <c r="A520" t="s">
        <v>597</v>
      </c>
      <c r="B520" s="6">
        <v>46504</v>
      </c>
      <c r="C520" t="s">
        <v>7</v>
      </c>
      <c r="D520" t="s">
        <v>11</v>
      </c>
      <c r="K520">
        <v>1</v>
      </c>
      <c r="L520" t="s">
        <v>34</v>
      </c>
      <c r="Q520" t="str">
        <f>IF(Team_Level[[#This Row],[Result]]="","",COUNTIFS(Team_Level[Team],Team_Level[[#This Row],[Team]],Team_Level[Date],"&gt;="&amp;Team_Level[[#This Row],[Date]],Team_Level[Result],"&lt;&gt;"))</f>
        <v/>
      </c>
      <c r="R520" t="str">
        <f>Team_Level[[#This Row],[Team]]&amp;"-"&amp;Team_Level[[#This Row],[Recency Rank]]</f>
        <v>Doncaster Rovers-</v>
      </c>
      <c r="S520" t="str">
        <f>IF(Team_Level[[#This Row],[Result]]="","",COUNTIFS(Team_Level[Team],Team_Level[[#This Row],[Team]],Team_Level[Date],"&lt;="&amp;Team_Level[[#This Row],[Date]],Team_Level[Result],"&lt;&gt;"))</f>
        <v/>
      </c>
      <c r="T520" t="str">
        <f>Team_Level[[#This Row],[Team]]&amp;"-"&amp;Team_Level[[#This Row],[Chrono Rank]]</f>
        <v>Doncaster Rovers-</v>
      </c>
    </row>
    <row r="521" spans="1:20" x14ac:dyDescent="0.25">
      <c r="A521" t="s">
        <v>598</v>
      </c>
      <c r="B521" s="6">
        <v>46504</v>
      </c>
      <c r="C521" t="s">
        <v>8</v>
      </c>
      <c r="D521" t="s">
        <v>5</v>
      </c>
      <c r="K521">
        <v>1</v>
      </c>
      <c r="L521" t="s">
        <v>34</v>
      </c>
      <c r="Q521" t="str">
        <f>IF(Team_Level[[#This Row],[Result]]="","",COUNTIFS(Team_Level[Team],Team_Level[[#This Row],[Team]],Team_Level[Date],"&gt;="&amp;Team_Level[[#This Row],[Date]],Team_Level[Result],"&lt;&gt;"))</f>
        <v/>
      </c>
      <c r="R521" t="str">
        <f>Team_Level[[#This Row],[Team]]&amp;"-"&amp;Team_Level[[#This Row],[Recency Rank]]</f>
        <v>Huddersfield Town-</v>
      </c>
      <c r="S521" t="str">
        <f>IF(Team_Level[[#This Row],[Result]]="","",COUNTIFS(Team_Level[Team],Team_Level[[#This Row],[Team]],Team_Level[Date],"&lt;="&amp;Team_Level[[#This Row],[Date]],Team_Level[Result],"&lt;&gt;"))</f>
        <v/>
      </c>
      <c r="T521" t="str">
        <f>Team_Level[[#This Row],[Team]]&amp;"-"&amp;Team_Level[[#This Row],[Chrono Rank]]</f>
        <v>Huddersfield Town-</v>
      </c>
    </row>
    <row r="522" spans="1:20" x14ac:dyDescent="0.25">
      <c r="A522" t="s">
        <v>599</v>
      </c>
      <c r="B522" s="6">
        <v>46504</v>
      </c>
      <c r="C522" t="s">
        <v>9</v>
      </c>
      <c r="D522" t="s">
        <v>2</v>
      </c>
      <c r="K522">
        <v>1</v>
      </c>
      <c r="L522" t="s">
        <v>34</v>
      </c>
      <c r="Q522" t="str">
        <f>IF(Team_Level[[#This Row],[Result]]="","",COUNTIFS(Team_Level[Team],Team_Level[[#This Row],[Team]],Team_Level[Date],"&gt;="&amp;Team_Level[[#This Row],[Date]],Team_Level[Result],"&lt;&gt;"))</f>
        <v/>
      </c>
      <c r="R522" t="str">
        <f>Team_Level[[#This Row],[Team]]&amp;"-"&amp;Team_Level[[#This Row],[Recency Rank]]</f>
        <v>Leicester City-</v>
      </c>
      <c r="S522" t="str">
        <f>IF(Team_Level[[#This Row],[Result]]="","",COUNTIFS(Team_Level[Team],Team_Level[[#This Row],[Team]],Team_Level[Date],"&lt;="&amp;Team_Level[[#This Row],[Date]],Team_Level[Result],"&lt;&gt;"))</f>
        <v/>
      </c>
      <c r="T522" t="str">
        <f>Team_Level[[#This Row],[Team]]&amp;"-"&amp;Team_Level[[#This Row],[Chrono Rank]]</f>
        <v>Leicester City-</v>
      </c>
    </row>
    <row r="523" spans="1:20" x14ac:dyDescent="0.25">
      <c r="A523" t="s">
        <v>600</v>
      </c>
      <c r="B523" s="6">
        <v>46504</v>
      </c>
      <c r="C523" t="s">
        <v>12</v>
      </c>
      <c r="D523" t="s">
        <v>21</v>
      </c>
      <c r="K523">
        <v>1</v>
      </c>
      <c r="L523" t="s">
        <v>34</v>
      </c>
      <c r="Q523" t="str">
        <f>IF(Team_Level[[#This Row],[Result]]="","",COUNTIFS(Team_Level[Team],Team_Level[[#This Row],[Team]],Team_Level[Date],"&gt;="&amp;Team_Level[[#This Row],[Date]],Team_Level[Result],"&lt;&gt;"))</f>
        <v/>
      </c>
      <c r="R523" t="str">
        <f>Team_Level[[#This Row],[Team]]&amp;"-"&amp;Team_Level[[#This Row],[Recency Rank]]</f>
        <v>Mansfield Town-</v>
      </c>
      <c r="S523" t="str">
        <f>IF(Team_Level[[#This Row],[Result]]="","",COUNTIFS(Team_Level[Team],Team_Level[[#This Row],[Team]],Team_Level[Date],"&lt;="&amp;Team_Level[[#This Row],[Date]],Team_Level[Result],"&lt;&gt;"))</f>
        <v/>
      </c>
      <c r="T523" t="str">
        <f>Team_Level[[#This Row],[Team]]&amp;"-"&amp;Team_Level[[#This Row],[Chrono Rank]]</f>
        <v>Mansfield Town-</v>
      </c>
    </row>
    <row r="524" spans="1:20" x14ac:dyDescent="0.25">
      <c r="A524" t="s">
        <v>601</v>
      </c>
      <c r="B524" s="6">
        <v>46504</v>
      </c>
      <c r="C524" t="s">
        <v>33</v>
      </c>
      <c r="D524" t="s">
        <v>1</v>
      </c>
      <c r="K524">
        <v>1</v>
      </c>
      <c r="L524" t="s">
        <v>34</v>
      </c>
      <c r="Q524" t="str">
        <f>IF(Team_Level[[#This Row],[Result]]="","",COUNTIFS(Team_Level[Team],Team_Level[[#This Row],[Team]],Team_Level[Date],"&gt;="&amp;Team_Level[[#This Row],[Date]],Team_Level[Result],"&lt;&gt;"))</f>
        <v/>
      </c>
      <c r="R524" t="str">
        <f>Team_Level[[#This Row],[Team]]&amp;"-"&amp;Team_Level[[#This Row],[Recency Rank]]</f>
        <v>Milton Keynes Dons-</v>
      </c>
      <c r="S524" t="str">
        <f>IF(Team_Level[[#This Row],[Result]]="","",COUNTIFS(Team_Level[Team],Team_Level[[#This Row],[Team]],Team_Level[Date],"&lt;="&amp;Team_Level[[#This Row],[Date]],Team_Level[Result],"&lt;&gt;"))</f>
        <v/>
      </c>
      <c r="T524" t="str">
        <f>Team_Level[[#This Row],[Team]]&amp;"-"&amp;Team_Level[[#This Row],[Chrono Rank]]</f>
        <v>Milton Keynes Dons-</v>
      </c>
    </row>
    <row r="525" spans="1:20" x14ac:dyDescent="0.25">
      <c r="A525" t="s">
        <v>602</v>
      </c>
      <c r="B525" s="6">
        <v>46504</v>
      </c>
      <c r="C525" t="s">
        <v>13</v>
      </c>
      <c r="D525" t="s">
        <v>15</v>
      </c>
      <c r="K525">
        <v>1</v>
      </c>
      <c r="L525" t="s">
        <v>34</v>
      </c>
      <c r="Q525" t="str">
        <f>IF(Team_Level[[#This Row],[Result]]="","",COUNTIFS(Team_Level[Team],Team_Level[[#This Row],[Team]],Team_Level[Date],"&gt;="&amp;Team_Level[[#This Row],[Date]],Team_Level[Result],"&lt;&gt;"))</f>
        <v/>
      </c>
      <c r="R525" t="str">
        <f>Team_Level[[#This Row],[Team]]&amp;"-"&amp;Team_Level[[#This Row],[Recency Rank]]</f>
        <v>Notts County-</v>
      </c>
      <c r="S525" t="str">
        <f>IF(Team_Level[[#This Row],[Result]]="","",COUNTIFS(Team_Level[Team],Team_Level[[#This Row],[Team]],Team_Level[Date],"&lt;="&amp;Team_Level[[#This Row],[Date]],Team_Level[Result],"&lt;&gt;"))</f>
        <v/>
      </c>
      <c r="T525" t="str">
        <f>Team_Level[[#This Row],[Team]]&amp;"-"&amp;Team_Level[[#This Row],[Chrono Rank]]</f>
        <v>Notts County-</v>
      </c>
    </row>
    <row r="526" spans="1:20" x14ac:dyDescent="0.25">
      <c r="A526" t="s">
        <v>603</v>
      </c>
      <c r="B526" s="6">
        <v>46504</v>
      </c>
      <c r="C526" t="s">
        <v>16</v>
      </c>
      <c r="D526" t="s">
        <v>10</v>
      </c>
      <c r="K526">
        <v>1</v>
      </c>
      <c r="L526" t="s">
        <v>34</v>
      </c>
      <c r="Q526" t="str">
        <f>IF(Team_Level[[#This Row],[Result]]="","",COUNTIFS(Team_Level[Team],Team_Level[[#This Row],[Team]],Team_Level[Date],"&gt;="&amp;Team_Level[[#This Row],[Date]],Team_Level[Result],"&lt;&gt;"))</f>
        <v/>
      </c>
      <c r="R526" t="str">
        <f>Team_Level[[#This Row],[Team]]&amp;"-"&amp;Team_Level[[#This Row],[Recency Rank]]</f>
        <v>Plymouth Argyle-</v>
      </c>
      <c r="S526" t="str">
        <f>IF(Team_Level[[#This Row],[Result]]="","",COUNTIFS(Team_Level[Team],Team_Level[[#This Row],[Team]],Team_Level[Date],"&lt;="&amp;Team_Level[[#This Row],[Date]],Team_Level[Result],"&lt;&gt;"))</f>
        <v/>
      </c>
      <c r="T526" t="str">
        <f>Team_Level[[#This Row],[Team]]&amp;"-"&amp;Team_Level[[#This Row],[Chrono Rank]]</f>
        <v>Plymouth Argyle-</v>
      </c>
    </row>
    <row r="527" spans="1:20" x14ac:dyDescent="0.25">
      <c r="A527" t="s">
        <v>604</v>
      </c>
      <c r="B527" s="6">
        <v>46504</v>
      </c>
      <c r="C527" t="s">
        <v>19</v>
      </c>
      <c r="D527" t="s">
        <v>0</v>
      </c>
      <c r="K527">
        <v>1</v>
      </c>
      <c r="L527" t="s">
        <v>34</v>
      </c>
      <c r="Q527" t="str">
        <f>IF(Team_Level[[#This Row],[Result]]="","",COUNTIFS(Team_Level[Team],Team_Level[[#This Row],[Team]],Team_Level[Date],"&gt;="&amp;Team_Level[[#This Row],[Date]],Team_Level[Result],"&lt;&gt;"))</f>
        <v/>
      </c>
      <c r="R527" t="str">
        <f>Team_Level[[#This Row],[Team]]&amp;"-"&amp;Team_Level[[#This Row],[Recency Rank]]</f>
        <v>Stevenage-</v>
      </c>
      <c r="S527" t="str">
        <f>IF(Team_Level[[#This Row],[Result]]="","",COUNTIFS(Team_Level[Team],Team_Level[[#This Row],[Team]],Team_Level[Date],"&lt;="&amp;Team_Level[[#This Row],[Date]],Team_Level[Result],"&lt;&gt;"))</f>
        <v/>
      </c>
      <c r="T527" t="str">
        <f>Team_Level[[#This Row],[Team]]&amp;"-"&amp;Team_Level[[#This Row],[Chrono Rank]]</f>
        <v>Stevenage-</v>
      </c>
    </row>
    <row r="528" spans="1:20" x14ac:dyDescent="0.25">
      <c r="A528" t="s">
        <v>605</v>
      </c>
      <c r="B528" s="6">
        <v>46504</v>
      </c>
      <c r="C528" t="s">
        <v>20</v>
      </c>
      <c r="D528" t="s">
        <v>14</v>
      </c>
      <c r="K528">
        <v>1</v>
      </c>
      <c r="L528" t="s">
        <v>34</v>
      </c>
      <c r="Q528" t="str">
        <f>IF(Team_Level[[#This Row],[Result]]="","",COUNTIFS(Team_Level[Team],Team_Level[[#This Row],[Team]],Team_Level[Date],"&gt;="&amp;Team_Level[[#This Row],[Date]],Team_Level[Result],"&lt;&gt;"))</f>
        <v/>
      </c>
      <c r="R528" t="str">
        <f>Team_Level[[#This Row],[Team]]&amp;"-"&amp;Team_Level[[#This Row],[Recency Rank]]</f>
        <v>Stockport County-</v>
      </c>
      <c r="S528" t="str">
        <f>IF(Team_Level[[#This Row],[Result]]="","",COUNTIFS(Team_Level[Team],Team_Level[[#This Row],[Team]],Team_Level[Date],"&lt;="&amp;Team_Level[[#This Row],[Date]],Team_Level[Result],"&lt;&gt;"))</f>
        <v/>
      </c>
      <c r="T528" t="str">
        <f>Team_Level[[#This Row],[Team]]&amp;"-"&amp;Team_Level[[#This Row],[Chrono Rank]]</f>
        <v>Stockport County-</v>
      </c>
    </row>
    <row r="529" spans="1:20" x14ac:dyDescent="0.25">
      <c r="A529" t="s">
        <v>606</v>
      </c>
      <c r="B529" s="6">
        <v>46504</v>
      </c>
      <c r="C529" t="s">
        <v>22</v>
      </c>
      <c r="D529" t="s">
        <v>4</v>
      </c>
      <c r="K529">
        <v>1</v>
      </c>
      <c r="L529" t="s">
        <v>34</v>
      </c>
      <c r="Q529" t="str">
        <f>IF(Team_Level[[#This Row],[Result]]="","",COUNTIFS(Team_Level[Team],Team_Level[[#This Row],[Team]],Team_Level[Date],"&gt;="&amp;Team_Level[[#This Row],[Date]],Team_Level[Result],"&lt;&gt;"))</f>
        <v/>
      </c>
      <c r="R529" t="str">
        <f>Team_Level[[#This Row],[Team]]&amp;"-"&amp;Team_Level[[#This Row],[Recency Rank]]</f>
        <v>Wycombe Wanderers-</v>
      </c>
      <c r="S529" t="str">
        <f>IF(Team_Level[[#This Row],[Result]]="","",COUNTIFS(Team_Level[Team],Team_Level[[#This Row],[Team]],Team_Level[Date],"&lt;="&amp;Team_Level[[#This Row],[Date]],Team_Level[Result],"&lt;&gt;"))</f>
        <v/>
      </c>
      <c r="T529" t="str">
        <f>Team_Level[[#This Row],[Team]]&amp;"-"&amp;Team_Level[[#This Row],[Chrono Rank]]</f>
        <v>Wycombe Wanderers-</v>
      </c>
    </row>
    <row r="530" spans="1:20" x14ac:dyDescent="0.25">
      <c r="A530" t="s">
        <v>607</v>
      </c>
      <c r="B530" s="6">
        <v>46508</v>
      </c>
      <c r="C530" t="s">
        <v>1</v>
      </c>
      <c r="D530" t="s">
        <v>0</v>
      </c>
      <c r="K530">
        <v>1</v>
      </c>
      <c r="L530" t="s">
        <v>34</v>
      </c>
      <c r="Q530" t="str">
        <f>IF(Team_Level[[#This Row],[Result]]="","",COUNTIFS(Team_Level[Team],Team_Level[[#This Row],[Team]],Team_Level[Date],"&gt;="&amp;Team_Level[[#This Row],[Date]],Team_Level[Result],"&lt;&gt;"))</f>
        <v/>
      </c>
      <c r="R530" t="str">
        <f>Team_Level[[#This Row],[Team]]&amp;"-"&amp;Team_Level[[#This Row],[Recency Rank]]</f>
        <v>Barnsley-</v>
      </c>
      <c r="S530" t="str">
        <f>IF(Team_Level[[#This Row],[Result]]="","",COUNTIFS(Team_Level[Team],Team_Level[[#This Row],[Team]],Team_Level[Date],"&lt;="&amp;Team_Level[[#This Row],[Date]],Team_Level[Result],"&lt;&gt;"))</f>
        <v/>
      </c>
      <c r="T530" t="str">
        <f>Team_Level[[#This Row],[Team]]&amp;"-"&amp;Team_Level[[#This Row],[Chrono Rank]]</f>
        <v>Barnsley-</v>
      </c>
    </row>
    <row r="531" spans="1:20" x14ac:dyDescent="0.25">
      <c r="A531" t="s">
        <v>608</v>
      </c>
      <c r="B531" s="6">
        <v>46508</v>
      </c>
      <c r="C531" t="s">
        <v>2</v>
      </c>
      <c r="D531" t="s">
        <v>19</v>
      </c>
      <c r="K531">
        <v>1</v>
      </c>
      <c r="L531" t="s">
        <v>34</v>
      </c>
      <c r="Q531" t="str">
        <f>IF(Team_Level[[#This Row],[Result]]="","",COUNTIFS(Team_Level[Team],Team_Level[[#This Row],[Team]],Team_Level[Date],"&gt;="&amp;Team_Level[[#This Row],[Date]],Team_Level[Result],"&lt;&gt;"))</f>
        <v/>
      </c>
      <c r="R531" t="str">
        <f>Team_Level[[#This Row],[Team]]&amp;"-"&amp;Team_Level[[#This Row],[Recency Rank]]</f>
        <v>Blackpool-</v>
      </c>
      <c r="S531" t="str">
        <f>IF(Team_Level[[#This Row],[Result]]="","",COUNTIFS(Team_Level[Team],Team_Level[[#This Row],[Team]],Team_Level[Date],"&lt;="&amp;Team_Level[[#This Row],[Date]],Team_Level[Result],"&lt;&gt;"))</f>
        <v/>
      </c>
      <c r="T531" t="str">
        <f>Team_Level[[#This Row],[Team]]&amp;"-"&amp;Team_Level[[#This Row],[Chrono Rank]]</f>
        <v>Blackpool-</v>
      </c>
    </row>
    <row r="532" spans="1:20" x14ac:dyDescent="0.25">
      <c r="A532" t="s">
        <v>609</v>
      </c>
      <c r="B532" s="6">
        <v>46508</v>
      </c>
      <c r="C532" t="s">
        <v>3</v>
      </c>
      <c r="D532" t="s">
        <v>22</v>
      </c>
      <c r="K532">
        <v>1</v>
      </c>
      <c r="L532" t="s">
        <v>34</v>
      </c>
      <c r="Q532" t="str">
        <f>IF(Team_Level[[#This Row],[Result]]="","",COUNTIFS(Team_Level[Team],Team_Level[[#This Row],[Team]],Team_Level[Date],"&gt;="&amp;Team_Level[[#This Row],[Date]],Team_Level[Result],"&lt;&gt;"))</f>
        <v/>
      </c>
      <c r="R532" t="str">
        <f>Team_Level[[#This Row],[Team]]&amp;"-"&amp;Team_Level[[#This Row],[Recency Rank]]</f>
        <v>Bradford City-</v>
      </c>
      <c r="S532" t="str">
        <f>IF(Team_Level[[#This Row],[Result]]="","",COUNTIFS(Team_Level[Team],Team_Level[[#This Row],[Team]],Team_Level[Date],"&lt;="&amp;Team_Level[[#This Row],[Date]],Team_Level[Result],"&lt;&gt;"))</f>
        <v/>
      </c>
      <c r="T532" t="str">
        <f>Team_Level[[#This Row],[Team]]&amp;"-"&amp;Team_Level[[#This Row],[Chrono Rank]]</f>
        <v>Bradford City-</v>
      </c>
    </row>
    <row r="533" spans="1:20" x14ac:dyDescent="0.25">
      <c r="A533" t="s">
        <v>610</v>
      </c>
      <c r="B533" s="6">
        <v>46508</v>
      </c>
      <c r="C533" t="s">
        <v>5</v>
      </c>
      <c r="D533" t="s">
        <v>4</v>
      </c>
      <c r="K533">
        <v>1</v>
      </c>
      <c r="L533" t="s">
        <v>34</v>
      </c>
      <c r="Q533" t="str">
        <f>IF(Team_Level[[#This Row],[Result]]="","",COUNTIFS(Team_Level[Team],Team_Level[[#This Row],[Team]],Team_Level[Date],"&gt;="&amp;Team_Level[[#This Row],[Date]],Team_Level[Result],"&lt;&gt;"))</f>
        <v/>
      </c>
      <c r="R533" t="str">
        <f>Team_Level[[#This Row],[Team]]&amp;"-"&amp;Team_Level[[#This Row],[Recency Rank]]</f>
        <v>Burton Albion-</v>
      </c>
      <c r="S533" t="str">
        <f>IF(Team_Level[[#This Row],[Result]]="","",COUNTIFS(Team_Level[Team],Team_Level[[#This Row],[Team]],Team_Level[Date],"&lt;="&amp;Team_Level[[#This Row],[Date]],Team_Level[Result],"&lt;&gt;"))</f>
        <v/>
      </c>
      <c r="T533" t="str">
        <f>Team_Level[[#This Row],[Team]]&amp;"-"&amp;Team_Level[[#This Row],[Chrono Rank]]</f>
        <v>Burton Albion-</v>
      </c>
    </row>
    <row r="534" spans="1:20" x14ac:dyDescent="0.25">
      <c r="A534" t="s">
        <v>611</v>
      </c>
      <c r="B534" s="6">
        <v>46508</v>
      </c>
      <c r="C534" t="s">
        <v>6</v>
      </c>
      <c r="D534" t="s">
        <v>11</v>
      </c>
      <c r="K534">
        <v>1</v>
      </c>
      <c r="L534" t="s">
        <v>34</v>
      </c>
      <c r="Q534" t="str">
        <f>IF(Team_Level[[#This Row],[Result]]="","",COUNTIFS(Team_Level[Team],Team_Level[[#This Row],[Team]],Team_Level[Date],"&gt;="&amp;Team_Level[[#This Row],[Date]],Team_Level[Result],"&lt;&gt;"))</f>
        <v/>
      </c>
      <c r="R534" t="str">
        <f>Team_Level[[#This Row],[Team]]&amp;"-"&amp;Team_Level[[#This Row],[Recency Rank]]</f>
        <v>Cambridge United-</v>
      </c>
      <c r="S534" t="str">
        <f>IF(Team_Level[[#This Row],[Result]]="","",COUNTIFS(Team_Level[Team],Team_Level[[#This Row],[Team]],Team_Level[Date],"&lt;="&amp;Team_Level[[#This Row],[Date]],Team_Level[Result],"&lt;&gt;"))</f>
        <v/>
      </c>
      <c r="T534" t="str">
        <f>Team_Level[[#This Row],[Team]]&amp;"-"&amp;Team_Level[[#This Row],[Chrono Rank]]</f>
        <v>Cambridge United-</v>
      </c>
    </row>
    <row r="535" spans="1:20" x14ac:dyDescent="0.25">
      <c r="A535" t="s">
        <v>612</v>
      </c>
      <c r="B535" s="6">
        <v>46508</v>
      </c>
      <c r="C535" t="s">
        <v>8</v>
      </c>
      <c r="D535" t="s">
        <v>7</v>
      </c>
      <c r="K535">
        <v>1</v>
      </c>
      <c r="L535" t="s">
        <v>34</v>
      </c>
      <c r="Q535" t="str">
        <f>IF(Team_Level[[#This Row],[Result]]="","",COUNTIFS(Team_Level[Team],Team_Level[[#This Row],[Team]],Team_Level[Date],"&gt;="&amp;Team_Level[[#This Row],[Date]],Team_Level[Result],"&lt;&gt;"))</f>
        <v/>
      </c>
      <c r="R535" t="str">
        <f>Team_Level[[#This Row],[Team]]&amp;"-"&amp;Team_Level[[#This Row],[Recency Rank]]</f>
        <v>Huddersfield Town-</v>
      </c>
      <c r="S535" t="str">
        <f>IF(Team_Level[[#This Row],[Result]]="","",COUNTIFS(Team_Level[Team],Team_Level[[#This Row],[Team]],Team_Level[Date],"&lt;="&amp;Team_Level[[#This Row],[Date]],Team_Level[Result],"&lt;&gt;"))</f>
        <v/>
      </c>
      <c r="T535" t="str">
        <f>Team_Level[[#This Row],[Team]]&amp;"-"&amp;Team_Level[[#This Row],[Chrono Rank]]</f>
        <v>Huddersfield Town-</v>
      </c>
    </row>
    <row r="536" spans="1:20" x14ac:dyDescent="0.25">
      <c r="A536" t="s">
        <v>613</v>
      </c>
      <c r="B536" s="6">
        <v>46508</v>
      </c>
      <c r="C536" t="s">
        <v>10</v>
      </c>
      <c r="D536" t="s">
        <v>20</v>
      </c>
      <c r="K536">
        <v>1</v>
      </c>
      <c r="L536" t="s">
        <v>34</v>
      </c>
      <c r="Q536" t="str">
        <f>IF(Team_Level[[#This Row],[Result]]="","",COUNTIFS(Team_Level[Team],Team_Level[[#This Row],[Team]],Team_Level[Date],"&gt;="&amp;Team_Level[[#This Row],[Date]],Team_Level[Result],"&lt;&gt;"))</f>
        <v/>
      </c>
      <c r="R536" t="str">
        <f>Team_Level[[#This Row],[Team]]&amp;"-"&amp;Team_Level[[#This Row],[Recency Rank]]</f>
        <v>Leyton Orient-</v>
      </c>
      <c r="S536" t="str">
        <f>IF(Team_Level[[#This Row],[Result]]="","",COUNTIFS(Team_Level[Team],Team_Level[[#This Row],[Team]],Team_Level[Date],"&lt;="&amp;Team_Level[[#This Row],[Date]],Team_Level[Result],"&lt;&gt;"))</f>
        <v/>
      </c>
      <c r="T536" t="str">
        <f>Team_Level[[#This Row],[Team]]&amp;"-"&amp;Team_Level[[#This Row],[Chrono Rank]]</f>
        <v>Leyton Orient-</v>
      </c>
    </row>
    <row r="537" spans="1:20" x14ac:dyDescent="0.25">
      <c r="A537" t="s">
        <v>614</v>
      </c>
      <c r="B537" s="6">
        <v>46508</v>
      </c>
      <c r="C537" t="s">
        <v>12</v>
      </c>
      <c r="D537" t="s">
        <v>9</v>
      </c>
      <c r="K537">
        <v>1</v>
      </c>
      <c r="L537" t="s">
        <v>34</v>
      </c>
      <c r="Q537" t="str">
        <f>IF(Team_Level[[#This Row],[Result]]="","",COUNTIFS(Team_Level[Team],Team_Level[[#This Row],[Team]],Team_Level[Date],"&gt;="&amp;Team_Level[[#This Row],[Date]],Team_Level[Result],"&lt;&gt;"))</f>
        <v/>
      </c>
      <c r="R537" t="str">
        <f>Team_Level[[#This Row],[Team]]&amp;"-"&amp;Team_Level[[#This Row],[Recency Rank]]</f>
        <v>Mansfield Town-</v>
      </c>
      <c r="S537" t="str">
        <f>IF(Team_Level[[#This Row],[Result]]="","",COUNTIFS(Team_Level[Team],Team_Level[[#This Row],[Team]],Team_Level[Date],"&lt;="&amp;Team_Level[[#This Row],[Date]],Team_Level[Result],"&lt;&gt;"))</f>
        <v/>
      </c>
      <c r="T537" t="str">
        <f>Team_Level[[#This Row],[Team]]&amp;"-"&amp;Team_Level[[#This Row],[Chrono Rank]]</f>
        <v>Mansfield Town-</v>
      </c>
    </row>
    <row r="538" spans="1:20" x14ac:dyDescent="0.25">
      <c r="A538" t="s">
        <v>615</v>
      </c>
      <c r="B538" s="6">
        <v>46508</v>
      </c>
      <c r="C538" t="s">
        <v>13</v>
      </c>
      <c r="D538" t="s">
        <v>33</v>
      </c>
      <c r="K538">
        <v>1</v>
      </c>
      <c r="L538" t="s">
        <v>34</v>
      </c>
      <c r="Q538" t="str">
        <f>IF(Team_Level[[#This Row],[Result]]="","",COUNTIFS(Team_Level[Team],Team_Level[[#This Row],[Team]],Team_Level[Date],"&gt;="&amp;Team_Level[[#This Row],[Date]],Team_Level[Result],"&lt;&gt;"))</f>
        <v/>
      </c>
      <c r="R538" t="str">
        <f>Team_Level[[#This Row],[Team]]&amp;"-"&amp;Team_Level[[#This Row],[Recency Rank]]</f>
        <v>Notts County-</v>
      </c>
      <c r="S538" t="str">
        <f>IF(Team_Level[[#This Row],[Result]]="","",COUNTIFS(Team_Level[Team],Team_Level[[#This Row],[Team]],Team_Level[Date],"&lt;="&amp;Team_Level[[#This Row],[Date]],Team_Level[Result],"&lt;&gt;"))</f>
        <v/>
      </c>
      <c r="T538" t="str">
        <f>Team_Level[[#This Row],[Team]]&amp;"-"&amp;Team_Level[[#This Row],[Chrono Rank]]</f>
        <v>Notts County-</v>
      </c>
    </row>
    <row r="539" spans="1:20" x14ac:dyDescent="0.25">
      <c r="A539" t="s">
        <v>616</v>
      </c>
      <c r="B539" s="6">
        <v>46508</v>
      </c>
      <c r="C539" t="s">
        <v>14</v>
      </c>
      <c r="D539" t="s">
        <v>15</v>
      </c>
      <c r="K539">
        <v>1</v>
      </c>
      <c r="L539" t="s">
        <v>34</v>
      </c>
      <c r="Q539" t="str">
        <f>IF(Team_Level[[#This Row],[Result]]="","",COUNTIFS(Team_Level[Team],Team_Level[[#This Row],[Team]],Team_Level[Date],"&gt;="&amp;Team_Level[[#This Row],[Date]],Team_Level[Result],"&lt;&gt;"))</f>
        <v/>
      </c>
      <c r="R539" t="str">
        <f>Team_Level[[#This Row],[Team]]&amp;"-"&amp;Team_Level[[#This Row],[Recency Rank]]</f>
        <v>Oxford United-</v>
      </c>
      <c r="S539" t="str">
        <f>IF(Team_Level[[#This Row],[Result]]="","",COUNTIFS(Team_Level[Team],Team_Level[[#This Row],[Team]],Team_Level[Date],"&lt;="&amp;Team_Level[[#This Row],[Date]],Team_Level[Result],"&lt;&gt;"))</f>
        <v/>
      </c>
      <c r="T539" t="str">
        <f>Team_Level[[#This Row],[Team]]&amp;"-"&amp;Team_Level[[#This Row],[Chrono Rank]]</f>
        <v>Oxford United-</v>
      </c>
    </row>
    <row r="540" spans="1:20" x14ac:dyDescent="0.25">
      <c r="A540" t="s">
        <v>617</v>
      </c>
      <c r="B540" s="6">
        <v>46508</v>
      </c>
      <c r="C540" t="s">
        <v>16</v>
      </c>
      <c r="D540" t="s">
        <v>21</v>
      </c>
      <c r="K540">
        <v>1</v>
      </c>
      <c r="L540" t="s">
        <v>34</v>
      </c>
      <c r="Q540" t="str">
        <f>IF(Team_Level[[#This Row],[Result]]="","",COUNTIFS(Team_Level[Team],Team_Level[[#This Row],[Team]],Team_Level[Date],"&gt;="&amp;Team_Level[[#This Row],[Date]],Team_Level[Result],"&lt;&gt;"))</f>
        <v/>
      </c>
      <c r="R540" t="str">
        <f>Team_Level[[#This Row],[Team]]&amp;"-"&amp;Team_Level[[#This Row],[Recency Rank]]</f>
        <v>Plymouth Argyle-</v>
      </c>
      <c r="S540" t="str">
        <f>IF(Team_Level[[#This Row],[Result]]="","",COUNTIFS(Team_Level[Team],Team_Level[[#This Row],[Team]],Team_Level[Date],"&lt;="&amp;Team_Level[[#This Row],[Date]],Team_Level[Result],"&lt;&gt;"))</f>
        <v/>
      </c>
      <c r="T540" t="str">
        <f>Team_Level[[#This Row],[Team]]&amp;"-"&amp;Team_Level[[#This Row],[Chrono Rank]]</f>
        <v>Plymouth Argyle-</v>
      </c>
    </row>
    <row r="541" spans="1:20" x14ac:dyDescent="0.25">
      <c r="A541" t="s">
        <v>618</v>
      </c>
      <c r="B541" s="6">
        <v>46508</v>
      </c>
      <c r="C541" t="s">
        <v>17</v>
      </c>
      <c r="D541" t="s">
        <v>18</v>
      </c>
      <c r="K541">
        <v>1</v>
      </c>
      <c r="L541" t="s">
        <v>34</v>
      </c>
      <c r="Q541" t="str">
        <f>IF(Team_Level[[#This Row],[Result]]="","",COUNTIFS(Team_Level[Team],Team_Level[[#This Row],[Team]],Team_Level[Date],"&gt;="&amp;Team_Level[[#This Row],[Date]],Team_Level[Result],"&lt;&gt;"))</f>
        <v/>
      </c>
      <c r="R541" t="str">
        <f>Team_Level[[#This Row],[Team]]&amp;"-"&amp;Team_Level[[#This Row],[Recency Rank]]</f>
        <v>Reading-</v>
      </c>
      <c r="S541" t="str">
        <f>IF(Team_Level[[#This Row],[Result]]="","",COUNTIFS(Team_Level[Team],Team_Level[[#This Row],[Team]],Team_Level[Date],"&lt;="&amp;Team_Level[[#This Row],[Date]],Team_Level[Result],"&lt;&gt;"))</f>
        <v/>
      </c>
      <c r="T541" t="str">
        <f>Team_Level[[#This Row],[Team]]&amp;"-"&amp;Team_Level[[#This Row],[Chrono Rank]]</f>
        <v>Reading-</v>
      </c>
    </row>
    <row r="542" spans="1:20" x14ac:dyDescent="0.25">
      <c r="A542" t="s">
        <v>619</v>
      </c>
      <c r="B542" s="6">
        <v>46515</v>
      </c>
      <c r="C542" t="s">
        <v>0</v>
      </c>
      <c r="D542" t="s">
        <v>13</v>
      </c>
      <c r="K542">
        <v>1</v>
      </c>
      <c r="L542" t="s">
        <v>34</v>
      </c>
      <c r="Q542" t="str">
        <f>IF(Team_Level[[#This Row],[Result]]="","",COUNTIFS(Team_Level[Team],Team_Level[[#This Row],[Team]],Team_Level[Date],"&gt;="&amp;Team_Level[[#This Row],[Date]],Team_Level[Result],"&lt;&gt;"))</f>
        <v/>
      </c>
      <c r="R542" t="str">
        <f>Team_Level[[#This Row],[Team]]&amp;"-"&amp;Team_Level[[#This Row],[Recency Rank]]</f>
        <v>AFC Wimbledon-</v>
      </c>
      <c r="S542" t="str">
        <f>IF(Team_Level[[#This Row],[Result]]="","",COUNTIFS(Team_Level[Team],Team_Level[[#This Row],[Team]],Team_Level[Date],"&lt;="&amp;Team_Level[[#This Row],[Date]],Team_Level[Result],"&lt;&gt;"))</f>
        <v/>
      </c>
      <c r="T542" t="str">
        <f>Team_Level[[#This Row],[Team]]&amp;"-"&amp;Team_Level[[#This Row],[Chrono Rank]]</f>
        <v>AFC Wimbledon-</v>
      </c>
    </row>
    <row r="543" spans="1:20" x14ac:dyDescent="0.25">
      <c r="A543" t="s">
        <v>620</v>
      </c>
      <c r="B543" s="6">
        <v>46515</v>
      </c>
      <c r="C543" t="s">
        <v>4</v>
      </c>
      <c r="D543" t="s">
        <v>16</v>
      </c>
      <c r="K543">
        <v>1</v>
      </c>
      <c r="L543" t="s">
        <v>34</v>
      </c>
      <c r="Q543" t="str">
        <f>IF(Team_Level[[#This Row],[Result]]="","",COUNTIFS(Team_Level[Team],Team_Level[[#This Row],[Team]],Team_Level[Date],"&gt;="&amp;Team_Level[[#This Row],[Date]],Team_Level[Result],"&lt;&gt;"))</f>
        <v/>
      </c>
      <c r="R543" t="str">
        <f>Team_Level[[#This Row],[Team]]&amp;"-"&amp;Team_Level[[#This Row],[Recency Rank]]</f>
        <v>Bromley-</v>
      </c>
      <c r="S543" t="str">
        <f>IF(Team_Level[[#This Row],[Result]]="","",COUNTIFS(Team_Level[Team],Team_Level[[#This Row],[Team]],Team_Level[Date],"&lt;="&amp;Team_Level[[#This Row],[Date]],Team_Level[Result],"&lt;&gt;"))</f>
        <v/>
      </c>
      <c r="T543" t="str">
        <f>Team_Level[[#This Row],[Team]]&amp;"-"&amp;Team_Level[[#This Row],[Chrono Rank]]</f>
        <v>Bromley-</v>
      </c>
    </row>
    <row r="544" spans="1:20" x14ac:dyDescent="0.25">
      <c r="A544" t="s">
        <v>621</v>
      </c>
      <c r="B544" s="6">
        <v>46515</v>
      </c>
      <c r="C544" t="s">
        <v>7</v>
      </c>
      <c r="D544" t="s">
        <v>17</v>
      </c>
      <c r="K544">
        <v>1</v>
      </c>
      <c r="L544" t="s">
        <v>34</v>
      </c>
      <c r="Q544" t="str">
        <f>IF(Team_Level[[#This Row],[Result]]="","",COUNTIFS(Team_Level[Team],Team_Level[[#This Row],[Team]],Team_Level[Date],"&gt;="&amp;Team_Level[[#This Row],[Date]],Team_Level[Result],"&lt;&gt;"))</f>
        <v/>
      </c>
      <c r="R544" t="str">
        <f>Team_Level[[#This Row],[Team]]&amp;"-"&amp;Team_Level[[#This Row],[Recency Rank]]</f>
        <v>Doncaster Rovers-</v>
      </c>
      <c r="S544" t="str">
        <f>IF(Team_Level[[#This Row],[Result]]="","",COUNTIFS(Team_Level[Team],Team_Level[[#This Row],[Team]],Team_Level[Date],"&lt;="&amp;Team_Level[[#This Row],[Date]],Team_Level[Result],"&lt;&gt;"))</f>
        <v/>
      </c>
      <c r="T544" t="str">
        <f>Team_Level[[#This Row],[Team]]&amp;"-"&amp;Team_Level[[#This Row],[Chrono Rank]]</f>
        <v>Doncaster Rovers-</v>
      </c>
    </row>
    <row r="545" spans="1:20" x14ac:dyDescent="0.25">
      <c r="A545" t="s">
        <v>622</v>
      </c>
      <c r="B545" s="6">
        <v>46515</v>
      </c>
      <c r="C545" t="s">
        <v>9</v>
      </c>
      <c r="D545" t="s">
        <v>6</v>
      </c>
      <c r="K545">
        <v>1</v>
      </c>
      <c r="L545" t="s">
        <v>34</v>
      </c>
      <c r="Q545" t="str">
        <f>IF(Team_Level[[#This Row],[Result]]="","",COUNTIFS(Team_Level[Team],Team_Level[[#This Row],[Team]],Team_Level[Date],"&gt;="&amp;Team_Level[[#This Row],[Date]],Team_Level[Result],"&lt;&gt;"))</f>
        <v/>
      </c>
      <c r="R545" t="str">
        <f>Team_Level[[#This Row],[Team]]&amp;"-"&amp;Team_Level[[#This Row],[Recency Rank]]</f>
        <v>Leicester City-</v>
      </c>
      <c r="S545" t="str">
        <f>IF(Team_Level[[#This Row],[Result]]="","",COUNTIFS(Team_Level[Team],Team_Level[[#This Row],[Team]],Team_Level[Date],"&lt;="&amp;Team_Level[[#This Row],[Date]],Team_Level[Result],"&lt;&gt;"))</f>
        <v/>
      </c>
      <c r="T545" t="str">
        <f>Team_Level[[#This Row],[Team]]&amp;"-"&amp;Team_Level[[#This Row],[Chrono Rank]]</f>
        <v>Leicester City-</v>
      </c>
    </row>
    <row r="546" spans="1:20" x14ac:dyDescent="0.25">
      <c r="A546" t="s">
        <v>623</v>
      </c>
      <c r="B546" s="6">
        <v>46515</v>
      </c>
      <c r="C546" t="s">
        <v>11</v>
      </c>
      <c r="D546" t="s">
        <v>2</v>
      </c>
      <c r="K546">
        <v>1</v>
      </c>
      <c r="L546" t="s">
        <v>34</v>
      </c>
      <c r="Q546" t="str">
        <f>IF(Team_Level[[#This Row],[Result]]="","",COUNTIFS(Team_Level[Team],Team_Level[[#This Row],[Team]],Team_Level[Date],"&gt;="&amp;Team_Level[[#This Row],[Date]],Team_Level[Result],"&lt;&gt;"))</f>
        <v/>
      </c>
      <c r="R546" t="str">
        <f>Team_Level[[#This Row],[Team]]&amp;"-"&amp;Team_Level[[#This Row],[Recency Rank]]</f>
        <v>Luton Town-</v>
      </c>
      <c r="S546" t="str">
        <f>IF(Team_Level[[#This Row],[Result]]="","",COUNTIFS(Team_Level[Team],Team_Level[[#This Row],[Team]],Team_Level[Date],"&lt;="&amp;Team_Level[[#This Row],[Date]],Team_Level[Result],"&lt;&gt;"))</f>
        <v/>
      </c>
      <c r="T546" t="str">
        <f>Team_Level[[#This Row],[Team]]&amp;"-"&amp;Team_Level[[#This Row],[Chrono Rank]]</f>
        <v>Luton Town-</v>
      </c>
    </row>
    <row r="547" spans="1:20" x14ac:dyDescent="0.25">
      <c r="A547" t="s">
        <v>624</v>
      </c>
      <c r="B547" s="6">
        <v>46515</v>
      </c>
      <c r="C547" t="s">
        <v>33</v>
      </c>
      <c r="D547" t="s">
        <v>3</v>
      </c>
      <c r="K547">
        <v>1</v>
      </c>
      <c r="L547" t="s">
        <v>34</v>
      </c>
      <c r="Q547" t="str">
        <f>IF(Team_Level[[#This Row],[Result]]="","",COUNTIFS(Team_Level[Team],Team_Level[[#This Row],[Team]],Team_Level[Date],"&gt;="&amp;Team_Level[[#This Row],[Date]],Team_Level[Result],"&lt;&gt;"))</f>
        <v/>
      </c>
      <c r="R547" t="str">
        <f>Team_Level[[#This Row],[Team]]&amp;"-"&amp;Team_Level[[#This Row],[Recency Rank]]</f>
        <v>Milton Keynes Dons-</v>
      </c>
      <c r="S547" t="str">
        <f>IF(Team_Level[[#This Row],[Result]]="","",COUNTIFS(Team_Level[Team],Team_Level[[#This Row],[Team]],Team_Level[Date],"&lt;="&amp;Team_Level[[#This Row],[Date]],Team_Level[Result],"&lt;&gt;"))</f>
        <v/>
      </c>
      <c r="T547" t="str">
        <f>Team_Level[[#This Row],[Team]]&amp;"-"&amp;Team_Level[[#This Row],[Chrono Rank]]</f>
        <v>Milton Keynes Dons-</v>
      </c>
    </row>
    <row r="548" spans="1:20" x14ac:dyDescent="0.25">
      <c r="A548" t="s">
        <v>625</v>
      </c>
      <c r="B548" s="6">
        <v>46515</v>
      </c>
      <c r="C548" t="s">
        <v>15</v>
      </c>
      <c r="D548" t="s">
        <v>10</v>
      </c>
      <c r="K548">
        <v>1</v>
      </c>
      <c r="L548" t="s">
        <v>34</v>
      </c>
      <c r="Q548" t="str">
        <f>IF(Team_Level[[#This Row],[Result]]="","",COUNTIFS(Team_Level[Team],Team_Level[[#This Row],[Team]],Team_Level[Date],"&gt;="&amp;Team_Level[[#This Row],[Date]],Team_Level[Result],"&lt;&gt;"))</f>
        <v/>
      </c>
      <c r="R548" t="str">
        <f>Team_Level[[#This Row],[Team]]&amp;"-"&amp;Team_Level[[#This Row],[Recency Rank]]</f>
        <v>Peterborough United-</v>
      </c>
      <c r="S548" t="str">
        <f>IF(Team_Level[[#This Row],[Result]]="","",COUNTIFS(Team_Level[Team],Team_Level[[#This Row],[Team]],Team_Level[Date],"&lt;="&amp;Team_Level[[#This Row],[Date]],Team_Level[Result],"&lt;&gt;"))</f>
        <v/>
      </c>
      <c r="T548" t="str">
        <f>Team_Level[[#This Row],[Team]]&amp;"-"&amp;Team_Level[[#This Row],[Chrono Rank]]</f>
        <v>Peterborough United-</v>
      </c>
    </row>
    <row r="549" spans="1:20" x14ac:dyDescent="0.25">
      <c r="A549" t="s">
        <v>626</v>
      </c>
      <c r="B549" s="6">
        <v>46515</v>
      </c>
      <c r="C549" t="s">
        <v>18</v>
      </c>
      <c r="D549" t="s">
        <v>14</v>
      </c>
      <c r="K549">
        <v>1</v>
      </c>
      <c r="L549" t="s">
        <v>34</v>
      </c>
      <c r="Q549" t="str">
        <f>IF(Team_Level[[#This Row],[Result]]="","",COUNTIFS(Team_Level[Team],Team_Level[[#This Row],[Team]],Team_Level[Date],"&gt;="&amp;Team_Level[[#This Row],[Date]],Team_Level[Result],"&lt;&gt;"))</f>
        <v/>
      </c>
      <c r="R549" t="str">
        <f>Team_Level[[#This Row],[Team]]&amp;"-"&amp;Team_Level[[#This Row],[Recency Rank]]</f>
        <v>Sheffield Wednesday-</v>
      </c>
      <c r="S549" t="str">
        <f>IF(Team_Level[[#This Row],[Result]]="","",COUNTIFS(Team_Level[Team],Team_Level[[#This Row],[Team]],Team_Level[Date],"&lt;="&amp;Team_Level[[#This Row],[Date]],Team_Level[Result],"&lt;&gt;"))</f>
        <v/>
      </c>
      <c r="T549" t="str">
        <f>Team_Level[[#This Row],[Team]]&amp;"-"&amp;Team_Level[[#This Row],[Chrono Rank]]</f>
        <v>Sheffield Wednesday-</v>
      </c>
    </row>
    <row r="550" spans="1:20" x14ac:dyDescent="0.25">
      <c r="A550" t="s">
        <v>627</v>
      </c>
      <c r="B550" s="6">
        <v>46515</v>
      </c>
      <c r="C550" t="s">
        <v>19</v>
      </c>
      <c r="D550" t="s">
        <v>8</v>
      </c>
      <c r="K550">
        <v>1</v>
      </c>
      <c r="L550" t="s">
        <v>34</v>
      </c>
      <c r="Q550" t="str">
        <f>IF(Team_Level[[#This Row],[Result]]="","",COUNTIFS(Team_Level[Team],Team_Level[[#This Row],[Team]],Team_Level[Date],"&gt;="&amp;Team_Level[[#This Row],[Date]],Team_Level[Result],"&lt;&gt;"))</f>
        <v/>
      </c>
      <c r="R550" t="str">
        <f>Team_Level[[#This Row],[Team]]&amp;"-"&amp;Team_Level[[#This Row],[Recency Rank]]</f>
        <v>Stevenage-</v>
      </c>
      <c r="S550" t="str">
        <f>IF(Team_Level[[#This Row],[Result]]="","",COUNTIFS(Team_Level[Team],Team_Level[[#This Row],[Team]],Team_Level[Date],"&lt;="&amp;Team_Level[[#This Row],[Date]],Team_Level[Result],"&lt;&gt;"))</f>
        <v/>
      </c>
      <c r="T550" t="str">
        <f>Team_Level[[#This Row],[Team]]&amp;"-"&amp;Team_Level[[#This Row],[Chrono Rank]]</f>
        <v>Stevenage-</v>
      </c>
    </row>
    <row r="551" spans="1:20" x14ac:dyDescent="0.25">
      <c r="A551" t="s">
        <v>628</v>
      </c>
      <c r="B551" s="6">
        <v>46515</v>
      </c>
      <c r="C551" t="s">
        <v>20</v>
      </c>
      <c r="D551" t="s">
        <v>12</v>
      </c>
      <c r="K551">
        <v>1</v>
      </c>
      <c r="L551" t="s">
        <v>34</v>
      </c>
      <c r="Q551" t="str">
        <f>IF(Team_Level[[#This Row],[Result]]="","",COUNTIFS(Team_Level[Team],Team_Level[[#This Row],[Team]],Team_Level[Date],"&gt;="&amp;Team_Level[[#This Row],[Date]],Team_Level[Result],"&lt;&gt;"))</f>
        <v/>
      </c>
      <c r="R551" t="str">
        <f>Team_Level[[#This Row],[Team]]&amp;"-"&amp;Team_Level[[#This Row],[Recency Rank]]</f>
        <v>Stockport County-</v>
      </c>
      <c r="S551" t="str">
        <f>IF(Team_Level[[#This Row],[Result]]="","",COUNTIFS(Team_Level[Team],Team_Level[[#This Row],[Team]],Team_Level[Date],"&lt;="&amp;Team_Level[[#This Row],[Date]],Team_Level[Result],"&lt;&gt;"))</f>
        <v/>
      </c>
      <c r="T551" t="str">
        <f>Team_Level[[#This Row],[Team]]&amp;"-"&amp;Team_Level[[#This Row],[Chrono Rank]]</f>
        <v>Stockport County-</v>
      </c>
    </row>
    <row r="552" spans="1:20" x14ac:dyDescent="0.25">
      <c r="A552" t="s">
        <v>629</v>
      </c>
      <c r="B552" s="6">
        <v>46515</v>
      </c>
      <c r="C552" t="s">
        <v>21</v>
      </c>
      <c r="D552" t="s">
        <v>5</v>
      </c>
      <c r="K552">
        <v>1</v>
      </c>
      <c r="L552" t="s">
        <v>34</v>
      </c>
      <c r="Q552" t="str">
        <f>IF(Team_Level[[#This Row],[Result]]="","",COUNTIFS(Team_Level[Team],Team_Level[[#This Row],[Team]],Team_Level[Date],"&gt;="&amp;Team_Level[[#This Row],[Date]],Team_Level[Result],"&lt;&gt;"))</f>
        <v/>
      </c>
      <c r="R552" t="str">
        <f>Team_Level[[#This Row],[Team]]&amp;"-"&amp;Team_Level[[#This Row],[Recency Rank]]</f>
        <v>Wigan Athletic-</v>
      </c>
      <c r="S552" t="str">
        <f>IF(Team_Level[[#This Row],[Result]]="","",COUNTIFS(Team_Level[Team],Team_Level[[#This Row],[Team]],Team_Level[Date],"&lt;="&amp;Team_Level[[#This Row],[Date]],Team_Level[Result],"&lt;&gt;"))</f>
        <v/>
      </c>
      <c r="T552" t="str">
        <f>Team_Level[[#This Row],[Team]]&amp;"-"&amp;Team_Level[[#This Row],[Chrono Rank]]</f>
        <v>Wigan Athletic-</v>
      </c>
    </row>
    <row r="553" spans="1:20" x14ac:dyDescent="0.25">
      <c r="A553" t="s">
        <v>630</v>
      </c>
      <c r="B553" s="6">
        <v>46515</v>
      </c>
      <c r="C553" t="s">
        <v>22</v>
      </c>
      <c r="D553" t="s">
        <v>1</v>
      </c>
      <c r="K553">
        <v>1</v>
      </c>
      <c r="L553" t="s">
        <v>34</v>
      </c>
      <c r="Q553" t="str">
        <f>IF(Team_Level[[#This Row],[Result]]="","",COUNTIFS(Team_Level[Team],Team_Level[[#This Row],[Team]],Team_Level[Date],"&gt;="&amp;Team_Level[[#This Row],[Date]],Team_Level[Result],"&lt;&gt;"))</f>
        <v/>
      </c>
      <c r="R553" t="str">
        <f>Team_Level[[#This Row],[Team]]&amp;"-"&amp;Team_Level[[#This Row],[Recency Rank]]</f>
        <v>Wycombe Wanderers-</v>
      </c>
      <c r="S553" t="str">
        <f>IF(Team_Level[[#This Row],[Result]]="","",COUNTIFS(Team_Level[Team],Team_Level[[#This Row],[Team]],Team_Level[Date],"&lt;="&amp;Team_Level[[#This Row],[Date]],Team_Level[Result],"&lt;&gt;"))</f>
        <v/>
      </c>
      <c r="T553" t="str">
        <f>Team_Level[[#This Row],[Team]]&amp;"-"&amp;Team_Level[[#This Row],[Chrono Rank]]</f>
        <v>Wycombe Wanderers-</v>
      </c>
    </row>
    <row r="554" spans="1:20" x14ac:dyDescent="0.25">
      <c r="A554" t="s">
        <v>79</v>
      </c>
      <c r="B554" s="6">
        <v>46249</v>
      </c>
      <c r="C554" t="s">
        <v>4</v>
      </c>
      <c r="D554" t="s">
        <v>1</v>
      </c>
      <c r="E554">
        <v>1.42</v>
      </c>
      <c r="F554">
        <v>1.32</v>
      </c>
      <c r="G554">
        <v>1</v>
      </c>
      <c r="H554">
        <v>0</v>
      </c>
      <c r="I554">
        <v>2.74</v>
      </c>
      <c r="J554">
        <v>1</v>
      </c>
      <c r="K554">
        <v>1</v>
      </c>
      <c r="L554" t="s">
        <v>35</v>
      </c>
      <c r="M554">
        <v>9.9999999999999867E-2</v>
      </c>
      <c r="N554">
        <v>1</v>
      </c>
      <c r="O554">
        <v>-0.41999999999999993</v>
      </c>
      <c r="P554" t="s">
        <v>54</v>
      </c>
      <c r="Q554">
        <f>IF(Team_Level[[#This Row],[Result]]="","",COUNTIFS(Team_Level[Team],Team_Level[[#This Row],[Team]],Team_Level[Date],"&gt;="&amp;Team_Level[[#This Row],[Date]],Team_Level[Result],"&lt;&gt;"))</f>
        <v>6</v>
      </c>
      <c r="R554" t="str">
        <f>Team_Level[[#This Row],[Team]]&amp;"-"&amp;Team_Level[[#This Row],[Recency Rank]]</f>
        <v>Bromley-6</v>
      </c>
      <c r="S554">
        <f>IF(Team_Level[[#This Row],[Result]]="","",COUNTIFS(Team_Level[Team],Team_Level[[#This Row],[Team]],Team_Level[Date],"&lt;="&amp;Team_Level[[#This Row],[Date]],Team_Level[Result],"&lt;&gt;"))</f>
        <v>1</v>
      </c>
      <c r="T554" t="str">
        <f>Team_Level[[#This Row],[Team]]&amp;"-"&amp;Team_Level[[#This Row],[Chrono Rank]]</f>
        <v>Bromley-1</v>
      </c>
    </row>
    <row r="555" spans="1:20" x14ac:dyDescent="0.25">
      <c r="A555" t="s">
        <v>80</v>
      </c>
      <c r="B555" s="6">
        <v>46249</v>
      </c>
      <c r="C555" t="s">
        <v>22</v>
      </c>
      <c r="D555" t="s">
        <v>2</v>
      </c>
      <c r="E555">
        <v>1.29</v>
      </c>
      <c r="F555">
        <v>2.37</v>
      </c>
      <c r="G555">
        <v>1</v>
      </c>
      <c r="H555">
        <v>1</v>
      </c>
      <c r="I555">
        <v>3.66</v>
      </c>
      <c r="J555">
        <v>2</v>
      </c>
      <c r="K555">
        <v>1</v>
      </c>
      <c r="L555" t="s">
        <v>35</v>
      </c>
      <c r="M555">
        <v>-1.08</v>
      </c>
      <c r="N555">
        <v>0</v>
      </c>
      <c r="O555">
        <v>-0.29000000000000004</v>
      </c>
      <c r="P555" t="s">
        <v>53</v>
      </c>
      <c r="Q555">
        <f>IF(Team_Level[[#This Row],[Result]]="","",COUNTIFS(Team_Level[Team],Team_Level[[#This Row],[Team]],Team_Level[Date],"&gt;="&amp;Team_Level[[#This Row],[Date]],Team_Level[Result],"&lt;&gt;"))</f>
        <v>6</v>
      </c>
      <c r="R555" t="str">
        <f>Team_Level[[#This Row],[Team]]&amp;"-"&amp;Team_Level[[#This Row],[Recency Rank]]</f>
        <v>Wycombe Wanderers-6</v>
      </c>
      <c r="S555">
        <f>IF(Team_Level[[#This Row],[Result]]="","",COUNTIFS(Team_Level[Team],Team_Level[[#This Row],[Team]],Team_Level[Date],"&lt;="&amp;Team_Level[[#This Row],[Date]],Team_Level[Result],"&lt;&gt;"))</f>
        <v>1</v>
      </c>
      <c r="T555" t="str">
        <f>Team_Level[[#This Row],[Team]]&amp;"-"&amp;Team_Level[[#This Row],[Chrono Rank]]</f>
        <v>Wycombe Wanderers-1</v>
      </c>
    </row>
    <row r="556" spans="1:20" x14ac:dyDescent="0.25">
      <c r="A556" t="s">
        <v>81</v>
      </c>
      <c r="B556" s="6">
        <v>46249</v>
      </c>
      <c r="C556" t="s">
        <v>15</v>
      </c>
      <c r="D556" t="s">
        <v>3</v>
      </c>
      <c r="E556">
        <v>1.1100000000000001</v>
      </c>
      <c r="F556">
        <v>1.97</v>
      </c>
      <c r="G556">
        <v>0</v>
      </c>
      <c r="H556">
        <v>2</v>
      </c>
      <c r="I556">
        <v>3.08</v>
      </c>
      <c r="J556">
        <v>2</v>
      </c>
      <c r="K556">
        <v>1</v>
      </c>
      <c r="L556" t="s">
        <v>35</v>
      </c>
      <c r="M556">
        <v>-0.85999999999999988</v>
      </c>
      <c r="N556">
        <v>-2</v>
      </c>
      <c r="O556">
        <v>-1.1100000000000001</v>
      </c>
      <c r="P556" t="s">
        <v>52</v>
      </c>
      <c r="Q556">
        <f>IF(Team_Level[[#This Row],[Result]]="","",COUNTIFS(Team_Level[Team],Team_Level[[#This Row],[Team]],Team_Level[Date],"&gt;="&amp;Team_Level[[#This Row],[Date]],Team_Level[Result],"&lt;&gt;"))</f>
        <v>6</v>
      </c>
      <c r="R556" t="str">
        <f>Team_Level[[#This Row],[Team]]&amp;"-"&amp;Team_Level[[#This Row],[Recency Rank]]</f>
        <v>Peterborough United-6</v>
      </c>
      <c r="S556">
        <f>IF(Team_Level[[#This Row],[Result]]="","",COUNTIFS(Team_Level[Team],Team_Level[[#This Row],[Team]],Team_Level[Date],"&lt;="&amp;Team_Level[[#This Row],[Date]],Team_Level[Result],"&lt;&gt;"))</f>
        <v>1</v>
      </c>
      <c r="T556" t="str">
        <f>Team_Level[[#This Row],[Team]]&amp;"-"&amp;Team_Level[[#This Row],[Chrono Rank]]</f>
        <v>Peterborough United-1</v>
      </c>
    </row>
    <row r="557" spans="1:20" x14ac:dyDescent="0.25">
      <c r="A557" t="s">
        <v>82</v>
      </c>
      <c r="B557" s="6">
        <v>46249</v>
      </c>
      <c r="C557" t="s">
        <v>19</v>
      </c>
      <c r="D557" t="s">
        <v>5</v>
      </c>
      <c r="E557">
        <v>0.53</v>
      </c>
      <c r="F557">
        <v>0.94</v>
      </c>
      <c r="G557">
        <v>1</v>
      </c>
      <c r="H557">
        <v>1</v>
      </c>
      <c r="I557">
        <v>1.47</v>
      </c>
      <c r="J557">
        <v>2</v>
      </c>
      <c r="K557">
        <v>1</v>
      </c>
      <c r="L557" t="s">
        <v>35</v>
      </c>
      <c r="M557">
        <v>-0.40999999999999992</v>
      </c>
      <c r="N557">
        <v>0</v>
      </c>
      <c r="O557">
        <v>0.47</v>
      </c>
      <c r="P557" t="s">
        <v>53</v>
      </c>
      <c r="Q557">
        <f>IF(Team_Level[[#This Row],[Result]]="","",COUNTIFS(Team_Level[Team],Team_Level[[#This Row],[Team]],Team_Level[Date],"&gt;="&amp;Team_Level[[#This Row],[Date]],Team_Level[Result],"&lt;&gt;"))</f>
        <v>6</v>
      </c>
      <c r="R557" t="str">
        <f>Team_Level[[#This Row],[Team]]&amp;"-"&amp;Team_Level[[#This Row],[Recency Rank]]</f>
        <v>Stevenage-6</v>
      </c>
      <c r="S557">
        <f>IF(Team_Level[[#This Row],[Result]]="","",COUNTIFS(Team_Level[Team],Team_Level[[#This Row],[Team]],Team_Level[Date],"&lt;="&amp;Team_Level[[#This Row],[Date]],Team_Level[Result],"&lt;&gt;"))</f>
        <v>1</v>
      </c>
      <c r="T557" t="str">
        <f>Team_Level[[#This Row],[Team]]&amp;"-"&amp;Team_Level[[#This Row],[Chrono Rank]]</f>
        <v>Stevenage-1</v>
      </c>
    </row>
    <row r="558" spans="1:20" x14ac:dyDescent="0.25">
      <c r="A558" t="s">
        <v>83</v>
      </c>
      <c r="B558" s="6">
        <v>46249</v>
      </c>
      <c r="C558" t="s">
        <v>21</v>
      </c>
      <c r="D558" t="s">
        <v>6</v>
      </c>
      <c r="E558">
        <v>2.2000000000000002</v>
      </c>
      <c r="F558">
        <v>1.74</v>
      </c>
      <c r="G558">
        <v>2</v>
      </c>
      <c r="H558">
        <v>3</v>
      </c>
      <c r="I558">
        <v>3.9400000000000004</v>
      </c>
      <c r="J558">
        <v>5</v>
      </c>
      <c r="K558">
        <v>1</v>
      </c>
      <c r="L558" t="s">
        <v>35</v>
      </c>
      <c r="M558">
        <v>0.46000000000000019</v>
      </c>
      <c r="N558">
        <v>-1</v>
      </c>
      <c r="O558">
        <v>-0.20000000000000018</v>
      </c>
      <c r="P558" t="s">
        <v>52</v>
      </c>
      <c r="Q558">
        <f>IF(Team_Level[[#This Row],[Result]]="","",COUNTIFS(Team_Level[Team],Team_Level[[#This Row],[Team]],Team_Level[Date],"&gt;="&amp;Team_Level[[#This Row],[Date]],Team_Level[Result],"&lt;&gt;"))</f>
        <v>6</v>
      </c>
      <c r="R558" t="str">
        <f>Team_Level[[#This Row],[Team]]&amp;"-"&amp;Team_Level[[#This Row],[Recency Rank]]</f>
        <v>Wigan Athletic-6</v>
      </c>
      <c r="S558">
        <f>IF(Team_Level[[#This Row],[Result]]="","",COUNTIFS(Team_Level[Team],Team_Level[[#This Row],[Team]],Team_Level[Date],"&lt;="&amp;Team_Level[[#This Row],[Date]],Team_Level[Result],"&lt;&gt;"))</f>
        <v>1</v>
      </c>
      <c r="T558" t="str">
        <f>Team_Level[[#This Row],[Team]]&amp;"-"&amp;Team_Level[[#This Row],[Chrono Rank]]</f>
        <v>Wigan Athletic-1</v>
      </c>
    </row>
    <row r="559" spans="1:20" x14ac:dyDescent="0.25">
      <c r="A559" t="s">
        <v>84</v>
      </c>
      <c r="B559" s="6">
        <v>46249</v>
      </c>
      <c r="C559" t="s">
        <v>0</v>
      </c>
      <c r="D559" t="s">
        <v>8</v>
      </c>
      <c r="E559">
        <v>0.38</v>
      </c>
      <c r="F559">
        <v>1.24</v>
      </c>
      <c r="G559">
        <v>0</v>
      </c>
      <c r="H559">
        <v>3</v>
      </c>
      <c r="I559">
        <v>1.62</v>
      </c>
      <c r="J559">
        <v>3</v>
      </c>
      <c r="K559">
        <v>1</v>
      </c>
      <c r="L559" t="s">
        <v>35</v>
      </c>
      <c r="M559">
        <v>-0.86</v>
      </c>
      <c r="N559">
        <v>-3</v>
      </c>
      <c r="O559">
        <v>-0.38</v>
      </c>
      <c r="P559" t="s">
        <v>52</v>
      </c>
      <c r="Q559">
        <f>IF(Team_Level[[#This Row],[Result]]="","",COUNTIFS(Team_Level[Team],Team_Level[[#This Row],[Team]],Team_Level[Date],"&gt;="&amp;Team_Level[[#This Row],[Date]],Team_Level[Result],"&lt;&gt;"))</f>
        <v>6</v>
      </c>
      <c r="R559" t="str">
        <f>Team_Level[[#This Row],[Team]]&amp;"-"&amp;Team_Level[[#This Row],[Recency Rank]]</f>
        <v>AFC Wimbledon-6</v>
      </c>
      <c r="S559">
        <f>IF(Team_Level[[#This Row],[Result]]="","",COUNTIFS(Team_Level[Team],Team_Level[[#This Row],[Team]],Team_Level[Date],"&lt;="&amp;Team_Level[[#This Row],[Date]],Team_Level[Result],"&lt;&gt;"))</f>
        <v>1</v>
      </c>
      <c r="T559" t="str">
        <f>Team_Level[[#This Row],[Team]]&amp;"-"&amp;Team_Level[[#This Row],[Chrono Rank]]</f>
        <v>AFC Wimbledon-1</v>
      </c>
    </row>
    <row r="560" spans="1:20" x14ac:dyDescent="0.25">
      <c r="A560" t="s">
        <v>85</v>
      </c>
      <c r="B560" s="6">
        <v>46249</v>
      </c>
      <c r="C560" t="s">
        <v>18</v>
      </c>
      <c r="D560" t="s">
        <v>10</v>
      </c>
      <c r="E560">
        <v>2.84</v>
      </c>
      <c r="F560">
        <v>1.38</v>
      </c>
      <c r="G560">
        <v>2</v>
      </c>
      <c r="H560">
        <v>1</v>
      </c>
      <c r="I560">
        <v>4.22</v>
      </c>
      <c r="J560">
        <v>3</v>
      </c>
      <c r="K560">
        <v>1</v>
      </c>
      <c r="L560" t="s">
        <v>35</v>
      </c>
      <c r="M560">
        <v>1.46</v>
      </c>
      <c r="N560">
        <v>1</v>
      </c>
      <c r="O560">
        <v>-0.83999999999999986</v>
      </c>
      <c r="P560" t="s">
        <v>54</v>
      </c>
      <c r="Q560">
        <f>IF(Team_Level[[#This Row],[Result]]="","",COUNTIFS(Team_Level[Team],Team_Level[[#This Row],[Team]],Team_Level[Date],"&gt;="&amp;Team_Level[[#This Row],[Date]],Team_Level[Result],"&lt;&gt;"))</f>
        <v>6</v>
      </c>
      <c r="R560" t="str">
        <f>Team_Level[[#This Row],[Team]]&amp;"-"&amp;Team_Level[[#This Row],[Recency Rank]]</f>
        <v>Sheffield Wednesday-6</v>
      </c>
      <c r="S560">
        <f>IF(Team_Level[[#This Row],[Result]]="","",COUNTIFS(Team_Level[Team],Team_Level[[#This Row],[Team]],Team_Level[Date],"&lt;="&amp;Team_Level[[#This Row],[Date]],Team_Level[Result],"&lt;&gt;"))</f>
        <v>1</v>
      </c>
      <c r="T560" t="str">
        <f>Team_Level[[#This Row],[Team]]&amp;"-"&amp;Team_Level[[#This Row],[Chrono Rank]]</f>
        <v>Sheffield Wednesday-1</v>
      </c>
    </row>
    <row r="561" spans="1:20" x14ac:dyDescent="0.25">
      <c r="A561" t="s">
        <v>86</v>
      </c>
      <c r="B561" s="6">
        <v>46249</v>
      </c>
      <c r="C561" t="s">
        <v>7</v>
      </c>
      <c r="D561" t="s">
        <v>12</v>
      </c>
      <c r="E561">
        <v>1.06</v>
      </c>
      <c r="F561">
        <v>1.44</v>
      </c>
      <c r="G561">
        <v>1</v>
      </c>
      <c r="H561">
        <v>2</v>
      </c>
      <c r="I561">
        <v>2.5</v>
      </c>
      <c r="J561">
        <v>3</v>
      </c>
      <c r="K561">
        <v>1</v>
      </c>
      <c r="L561" t="s">
        <v>35</v>
      </c>
      <c r="M561">
        <v>-0.37999999999999989</v>
      </c>
      <c r="N561">
        <v>-1</v>
      </c>
      <c r="O561">
        <v>-6.0000000000000053E-2</v>
      </c>
      <c r="P561" t="s">
        <v>52</v>
      </c>
      <c r="Q561">
        <f>IF(Team_Level[[#This Row],[Result]]="","",COUNTIFS(Team_Level[Team],Team_Level[[#This Row],[Team]],Team_Level[Date],"&gt;="&amp;Team_Level[[#This Row],[Date]],Team_Level[Result],"&lt;&gt;"))</f>
        <v>6</v>
      </c>
      <c r="R561" t="str">
        <f>Team_Level[[#This Row],[Team]]&amp;"-"&amp;Team_Level[[#This Row],[Recency Rank]]</f>
        <v>Doncaster Rovers-6</v>
      </c>
      <c r="S561">
        <f>IF(Team_Level[[#This Row],[Result]]="","",COUNTIFS(Team_Level[Team],Team_Level[[#This Row],[Team]],Team_Level[Date],"&lt;="&amp;Team_Level[[#This Row],[Date]],Team_Level[Result],"&lt;&gt;"))</f>
        <v>1</v>
      </c>
      <c r="T561" t="str">
        <f>Team_Level[[#This Row],[Team]]&amp;"-"&amp;Team_Level[[#This Row],[Chrono Rank]]</f>
        <v>Doncaster Rovers-1</v>
      </c>
    </row>
    <row r="562" spans="1:20" x14ac:dyDescent="0.25">
      <c r="A562" t="s">
        <v>87</v>
      </c>
      <c r="B562" s="6">
        <v>46249</v>
      </c>
      <c r="C562" t="s">
        <v>9</v>
      </c>
      <c r="D562" t="s">
        <v>13</v>
      </c>
      <c r="E562">
        <v>0.74</v>
      </c>
      <c r="F562">
        <v>2.1800000000000002</v>
      </c>
      <c r="G562">
        <v>1</v>
      </c>
      <c r="H562">
        <v>1</v>
      </c>
      <c r="I562">
        <v>2.92</v>
      </c>
      <c r="J562">
        <v>2</v>
      </c>
      <c r="K562">
        <v>1</v>
      </c>
      <c r="L562" t="s">
        <v>35</v>
      </c>
      <c r="M562">
        <v>-1.4400000000000002</v>
      </c>
      <c r="N562">
        <v>0</v>
      </c>
      <c r="O562">
        <v>0.26</v>
      </c>
      <c r="P562" t="s">
        <v>53</v>
      </c>
      <c r="Q562">
        <f>IF(Team_Level[[#This Row],[Result]]="","",COUNTIFS(Team_Level[Team],Team_Level[[#This Row],[Team]],Team_Level[Date],"&gt;="&amp;Team_Level[[#This Row],[Date]],Team_Level[Result],"&lt;&gt;"))</f>
        <v>6</v>
      </c>
      <c r="R562" t="str">
        <f>Team_Level[[#This Row],[Team]]&amp;"-"&amp;Team_Level[[#This Row],[Recency Rank]]</f>
        <v>Leicester City-6</v>
      </c>
      <c r="S562">
        <f>IF(Team_Level[[#This Row],[Result]]="","",COUNTIFS(Team_Level[Team],Team_Level[[#This Row],[Team]],Team_Level[Date],"&lt;="&amp;Team_Level[[#This Row],[Date]],Team_Level[Result],"&lt;&gt;"))</f>
        <v>1</v>
      </c>
      <c r="T562" t="str">
        <f>Team_Level[[#This Row],[Team]]&amp;"-"&amp;Team_Level[[#This Row],[Chrono Rank]]</f>
        <v>Leicester City-1</v>
      </c>
    </row>
    <row r="563" spans="1:20" x14ac:dyDescent="0.25">
      <c r="A563" t="s">
        <v>88</v>
      </c>
      <c r="B563" s="6">
        <v>46249</v>
      </c>
      <c r="C563" t="s">
        <v>33</v>
      </c>
      <c r="D563" t="s">
        <v>14</v>
      </c>
      <c r="E563">
        <v>2.2000000000000002</v>
      </c>
      <c r="F563">
        <v>1.83</v>
      </c>
      <c r="G563">
        <v>2</v>
      </c>
      <c r="H563">
        <v>2</v>
      </c>
      <c r="I563">
        <v>4.03</v>
      </c>
      <c r="J563">
        <v>4</v>
      </c>
      <c r="K563">
        <v>1</v>
      </c>
      <c r="L563" t="s">
        <v>35</v>
      </c>
      <c r="M563">
        <v>0.37000000000000011</v>
      </c>
      <c r="N563">
        <v>0</v>
      </c>
      <c r="O563">
        <v>-0.20000000000000018</v>
      </c>
      <c r="P563" t="s">
        <v>53</v>
      </c>
      <c r="Q563">
        <f>IF(Team_Level[[#This Row],[Result]]="","",COUNTIFS(Team_Level[Team],Team_Level[[#This Row],[Team]],Team_Level[Date],"&gt;="&amp;Team_Level[[#This Row],[Date]],Team_Level[Result],"&lt;&gt;"))</f>
        <v>6</v>
      </c>
      <c r="R563" t="str">
        <f>Team_Level[[#This Row],[Team]]&amp;"-"&amp;Team_Level[[#This Row],[Recency Rank]]</f>
        <v>Milton Keynes Dons-6</v>
      </c>
      <c r="S563">
        <f>IF(Team_Level[[#This Row],[Result]]="","",COUNTIFS(Team_Level[Team],Team_Level[[#This Row],[Team]],Team_Level[Date],"&lt;="&amp;Team_Level[[#This Row],[Date]],Team_Level[Result],"&lt;&gt;"))</f>
        <v>1</v>
      </c>
      <c r="T563" t="str">
        <f>Team_Level[[#This Row],[Team]]&amp;"-"&amp;Team_Level[[#This Row],[Chrono Rank]]</f>
        <v>Milton Keynes Dons-1</v>
      </c>
    </row>
    <row r="564" spans="1:20" x14ac:dyDescent="0.25">
      <c r="A564" t="s">
        <v>89</v>
      </c>
      <c r="B564" s="6">
        <v>46249</v>
      </c>
      <c r="C564" t="s">
        <v>20</v>
      </c>
      <c r="D564" t="s">
        <v>16</v>
      </c>
      <c r="E564">
        <v>1.81</v>
      </c>
      <c r="F564">
        <v>0.92</v>
      </c>
      <c r="G564">
        <v>3</v>
      </c>
      <c r="H564">
        <v>1</v>
      </c>
      <c r="I564">
        <v>2.73</v>
      </c>
      <c r="J564">
        <v>4</v>
      </c>
      <c r="K564">
        <v>1</v>
      </c>
      <c r="L564" t="s">
        <v>35</v>
      </c>
      <c r="M564">
        <v>0.89</v>
      </c>
      <c r="N564">
        <v>2</v>
      </c>
      <c r="O564">
        <v>1.19</v>
      </c>
      <c r="P564" t="s">
        <v>54</v>
      </c>
      <c r="Q564">
        <f>IF(Team_Level[[#This Row],[Result]]="","",COUNTIFS(Team_Level[Team],Team_Level[[#This Row],[Team]],Team_Level[Date],"&gt;="&amp;Team_Level[[#This Row],[Date]],Team_Level[Result],"&lt;&gt;"))</f>
        <v>6</v>
      </c>
      <c r="R564" t="str">
        <f>Team_Level[[#This Row],[Team]]&amp;"-"&amp;Team_Level[[#This Row],[Recency Rank]]</f>
        <v>Stockport County-6</v>
      </c>
      <c r="S564">
        <f>IF(Team_Level[[#This Row],[Result]]="","",COUNTIFS(Team_Level[Team],Team_Level[[#This Row],[Team]],Team_Level[Date],"&lt;="&amp;Team_Level[[#This Row],[Date]],Team_Level[Result],"&lt;&gt;"))</f>
        <v>1</v>
      </c>
      <c r="T564" t="str">
        <f>Team_Level[[#This Row],[Team]]&amp;"-"&amp;Team_Level[[#This Row],[Chrono Rank]]</f>
        <v>Stockport County-1</v>
      </c>
    </row>
    <row r="565" spans="1:20" x14ac:dyDescent="0.25">
      <c r="A565" t="s">
        <v>90</v>
      </c>
      <c r="B565" s="6">
        <v>46249</v>
      </c>
      <c r="C565" t="s">
        <v>11</v>
      </c>
      <c r="D565" t="s">
        <v>17</v>
      </c>
      <c r="E565">
        <v>1.65</v>
      </c>
      <c r="F565">
        <v>1.61</v>
      </c>
      <c r="G565">
        <v>4</v>
      </c>
      <c r="H565">
        <v>3</v>
      </c>
      <c r="I565">
        <v>3.26</v>
      </c>
      <c r="J565">
        <v>7</v>
      </c>
      <c r="K565">
        <v>1</v>
      </c>
      <c r="L565" t="s">
        <v>35</v>
      </c>
      <c r="M565">
        <v>3.9999999999999813E-2</v>
      </c>
      <c r="N565">
        <v>1</v>
      </c>
      <c r="O565">
        <v>2.35</v>
      </c>
      <c r="P565" t="s">
        <v>54</v>
      </c>
      <c r="Q565">
        <f>IF(Team_Level[[#This Row],[Result]]="","",COUNTIFS(Team_Level[Team],Team_Level[[#This Row],[Team]],Team_Level[Date],"&gt;="&amp;Team_Level[[#This Row],[Date]],Team_Level[Result],"&lt;&gt;"))</f>
        <v>6</v>
      </c>
      <c r="R565" t="str">
        <f>Team_Level[[#This Row],[Team]]&amp;"-"&amp;Team_Level[[#This Row],[Recency Rank]]</f>
        <v>Luton Town-6</v>
      </c>
      <c r="S565">
        <f>IF(Team_Level[[#This Row],[Result]]="","",COUNTIFS(Team_Level[Team],Team_Level[[#This Row],[Team]],Team_Level[Date],"&lt;="&amp;Team_Level[[#This Row],[Date]],Team_Level[Result],"&lt;&gt;"))</f>
        <v>1</v>
      </c>
      <c r="T565" t="str">
        <f>Team_Level[[#This Row],[Team]]&amp;"-"&amp;Team_Level[[#This Row],[Chrono Rank]]</f>
        <v>Luton Town-1</v>
      </c>
    </row>
    <row r="566" spans="1:20" x14ac:dyDescent="0.25">
      <c r="A566" t="s">
        <v>91</v>
      </c>
      <c r="B566" s="6">
        <v>46254</v>
      </c>
      <c r="C566" t="s">
        <v>3</v>
      </c>
      <c r="D566" t="s">
        <v>18</v>
      </c>
      <c r="E566">
        <v>0.59</v>
      </c>
      <c r="F566">
        <v>1.49</v>
      </c>
      <c r="G566">
        <v>1</v>
      </c>
      <c r="H566">
        <v>0</v>
      </c>
      <c r="I566">
        <v>2.08</v>
      </c>
      <c r="J566">
        <v>1</v>
      </c>
      <c r="K566">
        <v>1</v>
      </c>
      <c r="L566" t="s">
        <v>35</v>
      </c>
      <c r="M566">
        <v>-0.9</v>
      </c>
      <c r="N566">
        <v>1</v>
      </c>
      <c r="O566">
        <v>0.41000000000000003</v>
      </c>
      <c r="P566" t="s">
        <v>54</v>
      </c>
      <c r="Q566">
        <f>IF(Team_Level[[#This Row],[Result]]="","",COUNTIFS(Team_Level[Team],Team_Level[[#This Row],[Team]],Team_Level[Date],"&gt;="&amp;Team_Level[[#This Row],[Date]],Team_Level[Result],"&lt;&gt;"))</f>
        <v>5</v>
      </c>
      <c r="R566" t="str">
        <f>Team_Level[[#This Row],[Team]]&amp;"-"&amp;Team_Level[[#This Row],[Recency Rank]]</f>
        <v>Bradford City-5</v>
      </c>
      <c r="S566">
        <f>IF(Team_Level[[#This Row],[Result]]="","",COUNTIFS(Team_Level[Team],Team_Level[[#This Row],[Team]],Team_Level[Date],"&lt;="&amp;Team_Level[[#This Row],[Date]],Team_Level[Result],"&lt;&gt;"))</f>
        <v>2</v>
      </c>
      <c r="T566" t="str">
        <f>Team_Level[[#This Row],[Team]]&amp;"-"&amp;Team_Level[[#This Row],[Chrono Rank]]</f>
        <v>Bradford City-2</v>
      </c>
    </row>
    <row r="567" spans="1:20" x14ac:dyDescent="0.25">
      <c r="A567" t="s">
        <v>92</v>
      </c>
      <c r="B567" s="6">
        <v>46256</v>
      </c>
      <c r="C567" t="s">
        <v>17</v>
      </c>
      <c r="D567" t="s">
        <v>0</v>
      </c>
      <c r="E567">
        <v>1.28</v>
      </c>
      <c r="F567">
        <v>0.37</v>
      </c>
      <c r="G567">
        <v>0</v>
      </c>
      <c r="H567">
        <v>0</v>
      </c>
      <c r="I567">
        <v>1.65</v>
      </c>
      <c r="J567">
        <v>0</v>
      </c>
      <c r="K567">
        <v>1</v>
      </c>
      <c r="L567" t="s">
        <v>35</v>
      </c>
      <c r="M567">
        <v>0.91</v>
      </c>
      <c r="N567">
        <v>0</v>
      </c>
      <c r="O567">
        <v>-1.28</v>
      </c>
      <c r="P567" t="s">
        <v>53</v>
      </c>
      <c r="Q567">
        <f>IF(Team_Level[[#This Row],[Result]]="","",COUNTIFS(Team_Level[Team],Team_Level[[#This Row],[Team]],Team_Level[Date],"&gt;="&amp;Team_Level[[#This Row],[Date]],Team_Level[Result],"&lt;&gt;"))</f>
        <v>4</v>
      </c>
      <c r="R567" t="str">
        <f>Team_Level[[#This Row],[Team]]&amp;"-"&amp;Team_Level[[#This Row],[Recency Rank]]</f>
        <v>Reading-4</v>
      </c>
      <c r="S567">
        <f>IF(Team_Level[[#This Row],[Result]]="","",COUNTIFS(Team_Level[Team],Team_Level[[#This Row],[Team]],Team_Level[Date],"&lt;="&amp;Team_Level[[#This Row],[Date]],Team_Level[Result],"&lt;&gt;"))</f>
        <v>2</v>
      </c>
      <c r="T567" t="str">
        <f>Team_Level[[#This Row],[Team]]&amp;"-"&amp;Team_Level[[#This Row],[Chrono Rank]]</f>
        <v>Reading-2</v>
      </c>
    </row>
    <row r="568" spans="1:20" x14ac:dyDescent="0.25">
      <c r="A568" t="s">
        <v>93</v>
      </c>
      <c r="B568" s="6">
        <v>46256</v>
      </c>
      <c r="C568" t="s">
        <v>6</v>
      </c>
      <c r="D568" t="s">
        <v>4</v>
      </c>
      <c r="E568">
        <v>0.59</v>
      </c>
      <c r="F568">
        <v>0.57999999999999996</v>
      </c>
      <c r="G568">
        <v>1</v>
      </c>
      <c r="H568">
        <v>1</v>
      </c>
      <c r="I568">
        <v>1.17</v>
      </c>
      <c r="J568">
        <v>2</v>
      </c>
      <c r="K568">
        <v>1</v>
      </c>
      <c r="L568" t="s">
        <v>35</v>
      </c>
      <c r="M568">
        <v>1.0000000000000009E-2</v>
      </c>
      <c r="N568">
        <v>0</v>
      </c>
      <c r="O568">
        <v>0.41000000000000003</v>
      </c>
      <c r="P568" t="s">
        <v>53</v>
      </c>
      <c r="Q568">
        <f>IF(Team_Level[[#This Row],[Result]]="","",COUNTIFS(Team_Level[Team],Team_Level[[#This Row],[Team]],Team_Level[Date],"&gt;="&amp;Team_Level[[#This Row],[Date]],Team_Level[Result],"&lt;&gt;"))</f>
        <v>5</v>
      </c>
      <c r="R568" t="str">
        <f>Team_Level[[#This Row],[Team]]&amp;"-"&amp;Team_Level[[#This Row],[Recency Rank]]</f>
        <v>Cambridge United-5</v>
      </c>
      <c r="S568">
        <f>IF(Team_Level[[#This Row],[Result]]="","",COUNTIFS(Team_Level[Team],Team_Level[[#This Row],[Team]],Team_Level[Date],"&lt;="&amp;Team_Level[[#This Row],[Date]],Team_Level[Result],"&lt;&gt;"))</f>
        <v>2</v>
      </c>
      <c r="T568" t="str">
        <f>Team_Level[[#This Row],[Team]]&amp;"-"&amp;Team_Level[[#This Row],[Chrono Rank]]</f>
        <v>Cambridge United-2</v>
      </c>
    </row>
    <row r="569" spans="1:20" x14ac:dyDescent="0.25">
      <c r="A569" t="s">
        <v>94</v>
      </c>
      <c r="B569" s="6">
        <v>46256</v>
      </c>
      <c r="C569" t="s">
        <v>1</v>
      </c>
      <c r="D569" t="s">
        <v>7</v>
      </c>
      <c r="E569">
        <v>0.45</v>
      </c>
      <c r="F569">
        <v>1.82</v>
      </c>
      <c r="G569">
        <v>0</v>
      </c>
      <c r="H569">
        <v>0</v>
      </c>
      <c r="I569">
        <v>2.27</v>
      </c>
      <c r="J569">
        <v>0</v>
      </c>
      <c r="K569">
        <v>1</v>
      </c>
      <c r="L569" t="s">
        <v>35</v>
      </c>
      <c r="M569">
        <v>-1.37</v>
      </c>
      <c r="N569">
        <v>0</v>
      </c>
      <c r="O569">
        <v>-0.45</v>
      </c>
      <c r="P569" t="s">
        <v>53</v>
      </c>
      <c r="Q569">
        <f>IF(Team_Level[[#This Row],[Result]]="","",COUNTIFS(Team_Level[Team],Team_Level[[#This Row],[Team]],Team_Level[Date],"&gt;="&amp;Team_Level[[#This Row],[Date]],Team_Level[Result],"&lt;&gt;"))</f>
        <v>5</v>
      </c>
      <c r="R569" t="str">
        <f>Team_Level[[#This Row],[Team]]&amp;"-"&amp;Team_Level[[#This Row],[Recency Rank]]</f>
        <v>Barnsley-5</v>
      </c>
      <c r="S569">
        <f>IF(Team_Level[[#This Row],[Result]]="","",COUNTIFS(Team_Level[Team],Team_Level[[#This Row],[Team]],Team_Level[Date],"&lt;="&amp;Team_Level[[#This Row],[Date]],Team_Level[Result],"&lt;&gt;"))</f>
        <v>2</v>
      </c>
      <c r="T569" t="str">
        <f>Team_Level[[#This Row],[Team]]&amp;"-"&amp;Team_Level[[#This Row],[Chrono Rank]]</f>
        <v>Barnsley-2</v>
      </c>
    </row>
    <row r="570" spans="1:20" x14ac:dyDescent="0.25">
      <c r="A570" t="s">
        <v>95</v>
      </c>
      <c r="B570" s="6">
        <v>46256</v>
      </c>
      <c r="C570" t="s">
        <v>5</v>
      </c>
      <c r="D570" t="s">
        <v>9</v>
      </c>
      <c r="E570">
        <v>0.81</v>
      </c>
      <c r="F570">
        <v>1.31</v>
      </c>
      <c r="G570">
        <v>2</v>
      </c>
      <c r="H570">
        <v>1</v>
      </c>
      <c r="I570">
        <v>2.12</v>
      </c>
      <c r="J570">
        <v>3</v>
      </c>
      <c r="K570">
        <v>1</v>
      </c>
      <c r="L570" t="s">
        <v>35</v>
      </c>
      <c r="M570">
        <v>-0.5</v>
      </c>
      <c r="N570">
        <v>1</v>
      </c>
      <c r="O570">
        <v>1.19</v>
      </c>
      <c r="P570" t="s">
        <v>54</v>
      </c>
      <c r="Q570">
        <f>IF(Team_Level[[#This Row],[Result]]="","",COUNTIFS(Team_Level[Team],Team_Level[[#This Row],[Team]],Team_Level[Date],"&gt;="&amp;Team_Level[[#This Row],[Date]],Team_Level[Result],"&lt;&gt;"))</f>
        <v>5</v>
      </c>
      <c r="R570" t="str">
        <f>Team_Level[[#This Row],[Team]]&amp;"-"&amp;Team_Level[[#This Row],[Recency Rank]]</f>
        <v>Burton Albion-5</v>
      </c>
      <c r="S570">
        <f>IF(Team_Level[[#This Row],[Result]]="","",COUNTIFS(Team_Level[Team],Team_Level[[#This Row],[Team]],Team_Level[Date],"&lt;="&amp;Team_Level[[#This Row],[Date]],Team_Level[Result],"&lt;&gt;"))</f>
        <v>2</v>
      </c>
      <c r="T570" t="str">
        <f>Team_Level[[#This Row],[Team]]&amp;"-"&amp;Team_Level[[#This Row],[Chrono Rank]]</f>
        <v>Burton Albion-2</v>
      </c>
    </row>
    <row r="571" spans="1:20" x14ac:dyDescent="0.25">
      <c r="A571" t="s">
        <v>96</v>
      </c>
      <c r="B571" s="6">
        <v>46256</v>
      </c>
      <c r="C571" t="s">
        <v>13</v>
      </c>
      <c r="D571" t="s">
        <v>11</v>
      </c>
      <c r="E571">
        <v>0.76</v>
      </c>
      <c r="F571">
        <v>1.85</v>
      </c>
      <c r="G571">
        <v>2</v>
      </c>
      <c r="H571">
        <v>2</v>
      </c>
      <c r="I571">
        <v>2.6100000000000003</v>
      </c>
      <c r="J571">
        <v>4</v>
      </c>
      <c r="K571">
        <v>1</v>
      </c>
      <c r="L571" t="s">
        <v>35</v>
      </c>
      <c r="M571">
        <v>-1.0900000000000001</v>
      </c>
      <c r="N571">
        <v>0</v>
      </c>
      <c r="O571">
        <v>1.24</v>
      </c>
      <c r="P571" t="s">
        <v>53</v>
      </c>
      <c r="Q571">
        <f>IF(Team_Level[[#This Row],[Result]]="","",COUNTIFS(Team_Level[Team],Team_Level[[#This Row],[Team]],Team_Level[Date],"&gt;="&amp;Team_Level[[#This Row],[Date]],Team_Level[Result],"&lt;&gt;"))</f>
        <v>5</v>
      </c>
      <c r="R571" t="str">
        <f>Team_Level[[#This Row],[Team]]&amp;"-"&amp;Team_Level[[#This Row],[Recency Rank]]</f>
        <v>Notts County-5</v>
      </c>
      <c r="S571">
        <f>IF(Team_Level[[#This Row],[Result]]="","",COUNTIFS(Team_Level[Team],Team_Level[[#This Row],[Team]],Team_Level[Date],"&lt;="&amp;Team_Level[[#This Row],[Date]],Team_Level[Result],"&lt;&gt;"))</f>
        <v>2</v>
      </c>
      <c r="T571" t="str">
        <f>Team_Level[[#This Row],[Team]]&amp;"-"&amp;Team_Level[[#This Row],[Chrono Rank]]</f>
        <v>Notts County-2</v>
      </c>
    </row>
    <row r="572" spans="1:20" x14ac:dyDescent="0.25">
      <c r="A572" t="s">
        <v>97</v>
      </c>
      <c r="B572" s="6">
        <v>46256</v>
      </c>
      <c r="C572" t="s">
        <v>8</v>
      </c>
      <c r="D572" t="s">
        <v>33</v>
      </c>
      <c r="E572">
        <v>2.2799999999999998</v>
      </c>
      <c r="F572">
        <v>1.54</v>
      </c>
      <c r="G572">
        <v>1</v>
      </c>
      <c r="H572">
        <v>1</v>
      </c>
      <c r="I572">
        <v>3.82</v>
      </c>
      <c r="J572">
        <v>2</v>
      </c>
      <c r="K572">
        <v>1</v>
      </c>
      <c r="L572" t="s">
        <v>35</v>
      </c>
      <c r="M572">
        <v>0.73999999999999977</v>
      </c>
      <c r="N572">
        <v>0</v>
      </c>
      <c r="O572">
        <v>-1.2799999999999998</v>
      </c>
      <c r="P572" t="s">
        <v>53</v>
      </c>
      <c r="Q572">
        <f>IF(Team_Level[[#This Row],[Result]]="","",COUNTIFS(Team_Level[Team],Team_Level[[#This Row],[Team]],Team_Level[Date],"&gt;="&amp;Team_Level[[#This Row],[Date]],Team_Level[Result],"&lt;&gt;"))</f>
        <v>5</v>
      </c>
      <c r="R572" t="str">
        <f>Team_Level[[#This Row],[Team]]&amp;"-"&amp;Team_Level[[#This Row],[Recency Rank]]</f>
        <v>Huddersfield Town-5</v>
      </c>
      <c r="S572">
        <f>IF(Team_Level[[#This Row],[Result]]="","",COUNTIFS(Team_Level[Team],Team_Level[[#This Row],[Team]],Team_Level[Date],"&lt;="&amp;Team_Level[[#This Row],[Date]],Team_Level[Result],"&lt;&gt;"))</f>
        <v>2</v>
      </c>
      <c r="T572" t="str">
        <f>Team_Level[[#This Row],[Team]]&amp;"-"&amp;Team_Level[[#This Row],[Chrono Rank]]</f>
        <v>Huddersfield Town-2</v>
      </c>
    </row>
    <row r="573" spans="1:20" x14ac:dyDescent="0.25">
      <c r="A573" t="s">
        <v>98</v>
      </c>
      <c r="B573" s="6">
        <v>46256</v>
      </c>
      <c r="C573" t="s">
        <v>12</v>
      </c>
      <c r="D573" t="s">
        <v>15</v>
      </c>
      <c r="E573">
        <v>1.25</v>
      </c>
      <c r="F573">
        <v>1.39</v>
      </c>
      <c r="G573">
        <v>1</v>
      </c>
      <c r="H573">
        <v>2</v>
      </c>
      <c r="I573">
        <v>2.6399999999999997</v>
      </c>
      <c r="J573">
        <v>3</v>
      </c>
      <c r="K573">
        <v>1</v>
      </c>
      <c r="L573" t="s">
        <v>35</v>
      </c>
      <c r="M573">
        <v>-0.1399999999999999</v>
      </c>
      <c r="N573">
        <v>-1</v>
      </c>
      <c r="O573">
        <v>-0.25</v>
      </c>
      <c r="P573" t="s">
        <v>52</v>
      </c>
      <c r="Q573">
        <f>IF(Team_Level[[#This Row],[Result]]="","",COUNTIFS(Team_Level[Team],Team_Level[[#This Row],[Team]],Team_Level[Date],"&gt;="&amp;Team_Level[[#This Row],[Date]],Team_Level[Result],"&lt;&gt;"))</f>
        <v>5</v>
      </c>
      <c r="R573" t="str">
        <f>Team_Level[[#This Row],[Team]]&amp;"-"&amp;Team_Level[[#This Row],[Recency Rank]]</f>
        <v>Mansfield Town-5</v>
      </c>
      <c r="S573">
        <f>IF(Team_Level[[#This Row],[Result]]="","",COUNTIFS(Team_Level[Team],Team_Level[[#This Row],[Team]],Team_Level[Date],"&lt;="&amp;Team_Level[[#This Row],[Date]],Team_Level[Result],"&lt;&gt;"))</f>
        <v>2</v>
      </c>
      <c r="T573" t="str">
        <f>Team_Level[[#This Row],[Team]]&amp;"-"&amp;Team_Level[[#This Row],[Chrono Rank]]</f>
        <v>Mansfield Town-2</v>
      </c>
    </row>
    <row r="574" spans="1:20" x14ac:dyDescent="0.25">
      <c r="A574" t="s">
        <v>99</v>
      </c>
      <c r="B574" s="6">
        <v>46256</v>
      </c>
      <c r="C574" t="s">
        <v>14</v>
      </c>
      <c r="D574" t="s">
        <v>19</v>
      </c>
      <c r="E574">
        <v>1.36</v>
      </c>
      <c r="F574">
        <v>1.17</v>
      </c>
      <c r="G574">
        <v>2</v>
      </c>
      <c r="H574">
        <v>1</v>
      </c>
      <c r="I574">
        <v>2.5300000000000002</v>
      </c>
      <c r="J574">
        <v>3</v>
      </c>
      <c r="K574">
        <v>1</v>
      </c>
      <c r="L574" t="s">
        <v>35</v>
      </c>
      <c r="M574">
        <v>0.19000000000000017</v>
      </c>
      <c r="N574">
        <v>1</v>
      </c>
      <c r="O574">
        <v>0.6399999999999999</v>
      </c>
      <c r="P574" t="s">
        <v>54</v>
      </c>
      <c r="Q574">
        <f>IF(Team_Level[[#This Row],[Result]]="","",COUNTIFS(Team_Level[Team],Team_Level[[#This Row],[Team]],Team_Level[Date],"&gt;="&amp;Team_Level[[#This Row],[Date]],Team_Level[Result],"&lt;&gt;"))</f>
        <v>4</v>
      </c>
      <c r="R574" t="str">
        <f>Team_Level[[#This Row],[Team]]&amp;"-"&amp;Team_Level[[#This Row],[Recency Rank]]</f>
        <v>Oxford United-4</v>
      </c>
      <c r="S574">
        <f>IF(Team_Level[[#This Row],[Result]]="","",COUNTIFS(Team_Level[Team],Team_Level[[#This Row],[Team]],Team_Level[Date],"&lt;="&amp;Team_Level[[#This Row],[Date]],Team_Level[Result],"&lt;&gt;"))</f>
        <v>2</v>
      </c>
      <c r="T574" t="str">
        <f>Team_Level[[#This Row],[Team]]&amp;"-"&amp;Team_Level[[#This Row],[Chrono Rank]]</f>
        <v>Oxford United-2</v>
      </c>
    </row>
    <row r="575" spans="1:20" x14ac:dyDescent="0.25">
      <c r="A575" t="s">
        <v>100</v>
      </c>
      <c r="B575" s="6">
        <v>46256</v>
      </c>
      <c r="C575" t="s">
        <v>2</v>
      </c>
      <c r="D575" t="s">
        <v>20</v>
      </c>
      <c r="E575">
        <v>1.79</v>
      </c>
      <c r="F575">
        <v>3.54</v>
      </c>
      <c r="G575">
        <v>2</v>
      </c>
      <c r="H575">
        <v>1</v>
      </c>
      <c r="I575">
        <v>5.33</v>
      </c>
      <c r="J575">
        <v>3</v>
      </c>
      <c r="K575">
        <v>1</v>
      </c>
      <c r="L575" t="s">
        <v>35</v>
      </c>
      <c r="M575">
        <v>-1.75</v>
      </c>
      <c r="N575">
        <v>1</v>
      </c>
      <c r="O575">
        <v>0.20999999999999996</v>
      </c>
      <c r="P575" t="s">
        <v>54</v>
      </c>
      <c r="Q575">
        <f>IF(Team_Level[[#This Row],[Result]]="","",COUNTIFS(Team_Level[Team],Team_Level[[#This Row],[Team]],Team_Level[Date],"&gt;="&amp;Team_Level[[#This Row],[Date]],Team_Level[Result],"&lt;&gt;"))</f>
        <v>5</v>
      </c>
      <c r="R575" t="str">
        <f>Team_Level[[#This Row],[Team]]&amp;"-"&amp;Team_Level[[#This Row],[Recency Rank]]</f>
        <v>Blackpool-5</v>
      </c>
      <c r="S575">
        <f>IF(Team_Level[[#This Row],[Result]]="","",COUNTIFS(Team_Level[Team],Team_Level[[#This Row],[Team]],Team_Level[Date],"&lt;="&amp;Team_Level[[#This Row],[Date]],Team_Level[Result],"&lt;&gt;"))</f>
        <v>2</v>
      </c>
      <c r="T575" t="str">
        <f>Team_Level[[#This Row],[Team]]&amp;"-"&amp;Team_Level[[#This Row],[Chrono Rank]]</f>
        <v>Blackpool-2</v>
      </c>
    </row>
    <row r="576" spans="1:20" x14ac:dyDescent="0.25">
      <c r="A576" t="s">
        <v>101</v>
      </c>
      <c r="B576" s="6">
        <v>46256</v>
      </c>
      <c r="C576" t="s">
        <v>10</v>
      </c>
      <c r="D576" t="s">
        <v>21</v>
      </c>
      <c r="E576">
        <v>1.25</v>
      </c>
      <c r="F576">
        <v>1.6</v>
      </c>
      <c r="G576">
        <v>2</v>
      </c>
      <c r="H576">
        <v>0</v>
      </c>
      <c r="I576">
        <v>2.85</v>
      </c>
      <c r="J576">
        <v>2</v>
      </c>
      <c r="K576">
        <v>1</v>
      </c>
      <c r="L576" t="s">
        <v>35</v>
      </c>
      <c r="M576">
        <v>-0.35000000000000009</v>
      </c>
      <c r="N576">
        <v>2</v>
      </c>
      <c r="O576">
        <v>0.75</v>
      </c>
      <c r="P576" t="s">
        <v>54</v>
      </c>
      <c r="Q576">
        <f>IF(Team_Level[[#This Row],[Result]]="","",COUNTIFS(Team_Level[Team],Team_Level[[#This Row],[Team]],Team_Level[Date],"&gt;="&amp;Team_Level[[#This Row],[Date]],Team_Level[Result],"&lt;&gt;"))</f>
        <v>5</v>
      </c>
      <c r="R576" t="str">
        <f>Team_Level[[#This Row],[Team]]&amp;"-"&amp;Team_Level[[#This Row],[Recency Rank]]</f>
        <v>Leyton Orient-5</v>
      </c>
      <c r="S576">
        <f>IF(Team_Level[[#This Row],[Result]]="","",COUNTIFS(Team_Level[Team],Team_Level[[#This Row],[Team]],Team_Level[Date],"&lt;="&amp;Team_Level[[#This Row],[Date]],Team_Level[Result],"&lt;&gt;"))</f>
        <v>2</v>
      </c>
      <c r="T576" t="str">
        <f>Team_Level[[#This Row],[Team]]&amp;"-"&amp;Team_Level[[#This Row],[Chrono Rank]]</f>
        <v>Leyton Orient-2</v>
      </c>
    </row>
    <row r="577" spans="1:20" x14ac:dyDescent="0.25">
      <c r="A577" t="s">
        <v>102</v>
      </c>
      <c r="B577" s="6">
        <v>46256</v>
      </c>
      <c r="C577" t="s">
        <v>16</v>
      </c>
      <c r="D577" t="s">
        <v>22</v>
      </c>
      <c r="E577">
        <v>0.76</v>
      </c>
      <c r="F577">
        <v>1.89</v>
      </c>
      <c r="G577">
        <v>1</v>
      </c>
      <c r="H577">
        <v>1</v>
      </c>
      <c r="I577">
        <v>2.65</v>
      </c>
      <c r="J577">
        <v>2</v>
      </c>
      <c r="K577">
        <v>1</v>
      </c>
      <c r="L577" t="s">
        <v>35</v>
      </c>
      <c r="M577">
        <v>-1.1299999999999999</v>
      </c>
      <c r="N577">
        <v>0</v>
      </c>
      <c r="O577">
        <v>0.24</v>
      </c>
      <c r="P577" t="s">
        <v>53</v>
      </c>
      <c r="Q577">
        <f>IF(Team_Level[[#This Row],[Result]]="","",COUNTIFS(Team_Level[Team],Team_Level[[#This Row],[Team]],Team_Level[Date],"&gt;="&amp;Team_Level[[#This Row],[Date]],Team_Level[Result],"&lt;&gt;"))</f>
        <v>5</v>
      </c>
      <c r="R577" t="str">
        <f>Team_Level[[#This Row],[Team]]&amp;"-"&amp;Team_Level[[#This Row],[Recency Rank]]</f>
        <v>Plymouth Argyle-5</v>
      </c>
      <c r="S577">
        <f>IF(Team_Level[[#This Row],[Result]]="","",COUNTIFS(Team_Level[Team],Team_Level[[#This Row],[Team]],Team_Level[Date],"&lt;="&amp;Team_Level[[#This Row],[Date]],Team_Level[Result],"&lt;&gt;"))</f>
        <v>2</v>
      </c>
      <c r="T577" t="str">
        <f>Team_Level[[#This Row],[Team]]&amp;"-"&amp;Team_Level[[#This Row],[Chrono Rank]]</f>
        <v>Plymouth Argyle-2</v>
      </c>
    </row>
    <row r="578" spans="1:20" x14ac:dyDescent="0.25">
      <c r="A578" t="s">
        <v>103</v>
      </c>
      <c r="B578" s="6">
        <v>46263</v>
      </c>
      <c r="C578" t="s">
        <v>15</v>
      </c>
      <c r="D578" t="s">
        <v>2</v>
      </c>
      <c r="E578">
        <v>1.72</v>
      </c>
      <c r="F578">
        <v>2.73</v>
      </c>
      <c r="G578">
        <v>0</v>
      </c>
      <c r="H578">
        <v>4</v>
      </c>
      <c r="I578">
        <v>4.45</v>
      </c>
      <c r="J578">
        <v>4</v>
      </c>
      <c r="K578">
        <v>1</v>
      </c>
      <c r="L578" t="s">
        <v>35</v>
      </c>
      <c r="M578">
        <v>-1.01</v>
      </c>
      <c r="N578">
        <v>-4</v>
      </c>
      <c r="O578">
        <v>-1.72</v>
      </c>
      <c r="P578" t="s">
        <v>52</v>
      </c>
      <c r="Q578">
        <f>IF(Team_Level[[#This Row],[Result]]="","",COUNTIFS(Team_Level[Team],Team_Level[[#This Row],[Team]],Team_Level[Date],"&gt;="&amp;Team_Level[[#This Row],[Date]],Team_Level[Result],"&lt;&gt;"))</f>
        <v>4</v>
      </c>
      <c r="R578" t="str">
        <f>Team_Level[[#This Row],[Team]]&amp;"-"&amp;Team_Level[[#This Row],[Recency Rank]]</f>
        <v>Peterborough United-4</v>
      </c>
      <c r="S578">
        <f>IF(Team_Level[[#This Row],[Result]]="","",COUNTIFS(Team_Level[Team],Team_Level[[#This Row],[Team]],Team_Level[Date],"&lt;="&amp;Team_Level[[#This Row],[Date]],Team_Level[Result],"&lt;&gt;"))</f>
        <v>3</v>
      </c>
      <c r="T578" t="str">
        <f>Team_Level[[#This Row],[Team]]&amp;"-"&amp;Team_Level[[#This Row],[Chrono Rank]]</f>
        <v>Peterborough United-3</v>
      </c>
    </row>
    <row r="579" spans="1:20" x14ac:dyDescent="0.25">
      <c r="A579" t="s">
        <v>104</v>
      </c>
      <c r="B579" s="6">
        <v>46263</v>
      </c>
      <c r="C579" t="s">
        <v>8</v>
      </c>
      <c r="D579" t="s">
        <v>6</v>
      </c>
      <c r="E579">
        <v>1.1299999999999999</v>
      </c>
      <c r="F579">
        <v>1.22</v>
      </c>
      <c r="G579">
        <v>2</v>
      </c>
      <c r="H579">
        <v>1</v>
      </c>
      <c r="I579">
        <v>2.3499999999999996</v>
      </c>
      <c r="J579">
        <v>3</v>
      </c>
      <c r="K579">
        <v>1</v>
      </c>
      <c r="L579" t="s">
        <v>35</v>
      </c>
      <c r="M579">
        <v>-9.000000000000008E-2</v>
      </c>
      <c r="N579">
        <v>1</v>
      </c>
      <c r="O579">
        <v>0.87000000000000011</v>
      </c>
      <c r="P579" t="s">
        <v>54</v>
      </c>
      <c r="Q579">
        <f>IF(Team_Level[[#This Row],[Result]]="","",COUNTIFS(Team_Level[Team],Team_Level[[#This Row],[Team]],Team_Level[Date],"&gt;="&amp;Team_Level[[#This Row],[Date]],Team_Level[Result],"&lt;&gt;"))</f>
        <v>4</v>
      </c>
      <c r="R579" t="str">
        <f>Team_Level[[#This Row],[Team]]&amp;"-"&amp;Team_Level[[#This Row],[Recency Rank]]</f>
        <v>Huddersfield Town-4</v>
      </c>
      <c r="S579">
        <f>IF(Team_Level[[#This Row],[Result]]="","",COUNTIFS(Team_Level[Team],Team_Level[[#This Row],[Team]],Team_Level[Date],"&lt;="&amp;Team_Level[[#This Row],[Date]],Team_Level[Result],"&lt;&gt;"))</f>
        <v>3</v>
      </c>
      <c r="T579" t="str">
        <f>Team_Level[[#This Row],[Team]]&amp;"-"&amp;Team_Level[[#This Row],[Chrono Rank]]</f>
        <v>Huddersfield Town-3</v>
      </c>
    </row>
    <row r="580" spans="1:20" x14ac:dyDescent="0.25">
      <c r="A580" t="s">
        <v>105</v>
      </c>
      <c r="B580" s="6">
        <v>46263</v>
      </c>
      <c r="C580" t="s">
        <v>1</v>
      </c>
      <c r="D580" t="s">
        <v>10</v>
      </c>
      <c r="E580">
        <v>1.99</v>
      </c>
      <c r="F580">
        <v>0.73</v>
      </c>
      <c r="G580">
        <v>3</v>
      </c>
      <c r="H580">
        <v>1</v>
      </c>
      <c r="I580">
        <v>2.7199999999999998</v>
      </c>
      <c r="J580">
        <v>4</v>
      </c>
      <c r="K580">
        <v>1</v>
      </c>
      <c r="L580" t="s">
        <v>35</v>
      </c>
      <c r="M580">
        <v>1.26</v>
      </c>
      <c r="N580">
        <v>2</v>
      </c>
      <c r="O580">
        <v>1.01</v>
      </c>
      <c r="P580" t="s">
        <v>54</v>
      </c>
      <c r="Q580">
        <f>IF(Team_Level[[#This Row],[Result]]="","",COUNTIFS(Team_Level[Team],Team_Level[[#This Row],[Team]],Team_Level[Date],"&gt;="&amp;Team_Level[[#This Row],[Date]],Team_Level[Result],"&lt;&gt;"))</f>
        <v>4</v>
      </c>
      <c r="R580" t="str">
        <f>Team_Level[[#This Row],[Team]]&amp;"-"&amp;Team_Level[[#This Row],[Recency Rank]]</f>
        <v>Barnsley-4</v>
      </c>
      <c r="S580">
        <f>IF(Team_Level[[#This Row],[Result]]="","",COUNTIFS(Team_Level[Team],Team_Level[[#This Row],[Team]],Team_Level[Date],"&lt;="&amp;Team_Level[[#This Row],[Date]],Team_Level[Result],"&lt;&gt;"))</f>
        <v>3</v>
      </c>
      <c r="T580" t="str">
        <f>Team_Level[[#This Row],[Team]]&amp;"-"&amp;Team_Level[[#This Row],[Chrono Rank]]</f>
        <v>Barnsley-3</v>
      </c>
    </row>
    <row r="581" spans="1:20" x14ac:dyDescent="0.25">
      <c r="A581" t="s">
        <v>106</v>
      </c>
      <c r="B581" s="6">
        <v>46263</v>
      </c>
      <c r="C581" t="s">
        <v>9</v>
      </c>
      <c r="D581" t="s">
        <v>33</v>
      </c>
      <c r="E581">
        <v>1.53</v>
      </c>
      <c r="F581">
        <v>0.56999999999999995</v>
      </c>
      <c r="G581">
        <v>0</v>
      </c>
      <c r="H581">
        <v>0</v>
      </c>
      <c r="I581">
        <v>2.1</v>
      </c>
      <c r="J581">
        <v>0</v>
      </c>
      <c r="K581">
        <v>1</v>
      </c>
      <c r="L581" t="s">
        <v>35</v>
      </c>
      <c r="M581">
        <v>0.96000000000000008</v>
      </c>
      <c r="N581">
        <v>0</v>
      </c>
      <c r="O581">
        <v>-1.53</v>
      </c>
      <c r="P581" t="s">
        <v>53</v>
      </c>
      <c r="Q581">
        <f>IF(Team_Level[[#This Row],[Result]]="","",COUNTIFS(Team_Level[Team],Team_Level[[#This Row],[Team]],Team_Level[Date],"&gt;="&amp;Team_Level[[#This Row],[Date]],Team_Level[Result],"&lt;&gt;"))</f>
        <v>4</v>
      </c>
      <c r="R581" t="str">
        <f>Team_Level[[#This Row],[Team]]&amp;"-"&amp;Team_Level[[#This Row],[Recency Rank]]</f>
        <v>Leicester City-4</v>
      </c>
      <c r="S581">
        <f>IF(Team_Level[[#This Row],[Result]]="","",COUNTIFS(Team_Level[Team],Team_Level[[#This Row],[Team]],Team_Level[Date],"&lt;="&amp;Team_Level[[#This Row],[Date]],Team_Level[Result],"&lt;&gt;"))</f>
        <v>3</v>
      </c>
      <c r="T581" t="str">
        <f>Team_Level[[#This Row],[Team]]&amp;"-"&amp;Team_Level[[#This Row],[Chrono Rank]]</f>
        <v>Leicester City-3</v>
      </c>
    </row>
    <row r="582" spans="1:20" x14ac:dyDescent="0.25">
      <c r="A582" t="s">
        <v>107</v>
      </c>
      <c r="B582" s="6">
        <v>46263</v>
      </c>
      <c r="C582" t="s">
        <v>5</v>
      </c>
      <c r="D582" t="s">
        <v>13</v>
      </c>
      <c r="E582">
        <v>0.11</v>
      </c>
      <c r="F582">
        <v>2.29</v>
      </c>
      <c r="G582">
        <v>1</v>
      </c>
      <c r="H582">
        <v>2</v>
      </c>
      <c r="I582">
        <v>2.4</v>
      </c>
      <c r="J582">
        <v>3</v>
      </c>
      <c r="K582">
        <v>1</v>
      </c>
      <c r="L582" t="s">
        <v>35</v>
      </c>
      <c r="M582">
        <v>-2.1800000000000002</v>
      </c>
      <c r="N582">
        <v>-1</v>
      </c>
      <c r="O582">
        <v>0.89</v>
      </c>
      <c r="P582" t="s">
        <v>52</v>
      </c>
      <c r="Q582">
        <f>IF(Team_Level[[#This Row],[Result]]="","",COUNTIFS(Team_Level[Team],Team_Level[[#This Row],[Team]],Team_Level[Date],"&gt;="&amp;Team_Level[[#This Row],[Date]],Team_Level[Result],"&lt;&gt;"))</f>
        <v>4</v>
      </c>
      <c r="R582" t="str">
        <f>Team_Level[[#This Row],[Team]]&amp;"-"&amp;Team_Level[[#This Row],[Recency Rank]]</f>
        <v>Burton Albion-4</v>
      </c>
      <c r="S582">
        <f>IF(Team_Level[[#This Row],[Result]]="","",COUNTIFS(Team_Level[Team],Team_Level[[#This Row],[Team]],Team_Level[Date],"&lt;="&amp;Team_Level[[#This Row],[Date]],Team_Level[Result],"&lt;&gt;"))</f>
        <v>3</v>
      </c>
      <c r="T582" t="str">
        <f>Team_Level[[#This Row],[Team]]&amp;"-"&amp;Team_Level[[#This Row],[Chrono Rank]]</f>
        <v>Burton Albion-3</v>
      </c>
    </row>
    <row r="583" spans="1:20" x14ac:dyDescent="0.25">
      <c r="A583" t="s">
        <v>108</v>
      </c>
      <c r="B583" s="6">
        <v>46263</v>
      </c>
      <c r="C583" t="s">
        <v>3</v>
      </c>
      <c r="D583" t="s">
        <v>16</v>
      </c>
      <c r="E583">
        <v>0.9</v>
      </c>
      <c r="F583">
        <v>1.1599999999999999</v>
      </c>
      <c r="G583">
        <v>0</v>
      </c>
      <c r="H583">
        <v>2</v>
      </c>
      <c r="I583">
        <v>2.06</v>
      </c>
      <c r="J583">
        <v>2</v>
      </c>
      <c r="K583">
        <v>1</v>
      </c>
      <c r="L583" t="s">
        <v>35</v>
      </c>
      <c r="M583">
        <v>-0.2599999999999999</v>
      </c>
      <c r="N583">
        <v>-2</v>
      </c>
      <c r="O583">
        <v>-0.9</v>
      </c>
      <c r="P583" t="s">
        <v>52</v>
      </c>
      <c r="Q583">
        <f>IF(Team_Level[[#This Row],[Result]]="","",COUNTIFS(Team_Level[Team],Team_Level[[#This Row],[Team]],Team_Level[Date],"&gt;="&amp;Team_Level[[#This Row],[Date]],Team_Level[Result],"&lt;&gt;"))</f>
        <v>4</v>
      </c>
      <c r="R583" t="str">
        <f>Team_Level[[#This Row],[Team]]&amp;"-"&amp;Team_Level[[#This Row],[Recency Rank]]</f>
        <v>Bradford City-4</v>
      </c>
      <c r="S583">
        <f>IF(Team_Level[[#This Row],[Result]]="","",COUNTIFS(Team_Level[Team],Team_Level[[#This Row],[Team]],Team_Level[Date],"&lt;="&amp;Team_Level[[#This Row],[Date]],Team_Level[Result],"&lt;&gt;"))</f>
        <v>3</v>
      </c>
      <c r="T583" t="str">
        <f>Team_Level[[#This Row],[Team]]&amp;"-"&amp;Team_Level[[#This Row],[Chrono Rank]]</f>
        <v>Bradford City-3</v>
      </c>
    </row>
    <row r="584" spans="1:20" x14ac:dyDescent="0.25">
      <c r="A584" t="s">
        <v>109</v>
      </c>
      <c r="B584" s="6">
        <v>46263</v>
      </c>
      <c r="C584" t="s">
        <v>4</v>
      </c>
      <c r="D584" t="s">
        <v>18</v>
      </c>
      <c r="E584">
        <v>1.5</v>
      </c>
      <c r="F584">
        <v>4.5199999999999996</v>
      </c>
      <c r="G584">
        <v>2</v>
      </c>
      <c r="H584">
        <v>7</v>
      </c>
      <c r="I584">
        <v>6.02</v>
      </c>
      <c r="J584">
        <v>9</v>
      </c>
      <c r="K584">
        <v>1</v>
      </c>
      <c r="L584" t="s">
        <v>35</v>
      </c>
      <c r="M584">
        <v>-3.0199999999999996</v>
      </c>
      <c r="N584">
        <v>-5</v>
      </c>
      <c r="O584">
        <v>0.5</v>
      </c>
      <c r="P584" t="s">
        <v>52</v>
      </c>
      <c r="Q584">
        <f>IF(Team_Level[[#This Row],[Result]]="","",COUNTIFS(Team_Level[Team],Team_Level[[#This Row],[Team]],Team_Level[Date],"&gt;="&amp;Team_Level[[#This Row],[Date]],Team_Level[Result],"&lt;&gt;"))</f>
        <v>4</v>
      </c>
      <c r="R584" t="str">
        <f>Team_Level[[#This Row],[Team]]&amp;"-"&amp;Team_Level[[#This Row],[Recency Rank]]</f>
        <v>Bromley-4</v>
      </c>
      <c r="S584">
        <f>IF(Team_Level[[#This Row],[Result]]="","",COUNTIFS(Team_Level[Team],Team_Level[[#This Row],[Team]],Team_Level[Date],"&lt;="&amp;Team_Level[[#This Row],[Date]],Team_Level[Result],"&lt;&gt;"))</f>
        <v>3</v>
      </c>
      <c r="T584" t="str">
        <f>Team_Level[[#This Row],[Team]]&amp;"-"&amp;Team_Level[[#This Row],[Chrono Rank]]</f>
        <v>Bromley-3</v>
      </c>
    </row>
    <row r="585" spans="1:20" x14ac:dyDescent="0.25">
      <c r="A585" t="s">
        <v>110</v>
      </c>
      <c r="B585" s="6">
        <v>46263</v>
      </c>
      <c r="C585" t="s">
        <v>7</v>
      </c>
      <c r="D585" t="s">
        <v>19</v>
      </c>
      <c r="E585">
        <v>0.65</v>
      </c>
      <c r="F585">
        <v>0.47</v>
      </c>
      <c r="G585">
        <v>2</v>
      </c>
      <c r="H585">
        <v>2</v>
      </c>
      <c r="I585">
        <v>1.1200000000000001</v>
      </c>
      <c r="J585">
        <v>4</v>
      </c>
      <c r="K585">
        <v>1</v>
      </c>
      <c r="L585" t="s">
        <v>35</v>
      </c>
      <c r="M585">
        <v>0.18000000000000005</v>
      </c>
      <c r="N585">
        <v>0</v>
      </c>
      <c r="O585">
        <v>1.35</v>
      </c>
      <c r="P585" t="s">
        <v>53</v>
      </c>
      <c r="Q585">
        <f>IF(Team_Level[[#This Row],[Result]]="","",COUNTIFS(Team_Level[Team],Team_Level[[#This Row],[Team]],Team_Level[Date],"&gt;="&amp;Team_Level[[#This Row],[Date]],Team_Level[Result],"&lt;&gt;"))</f>
        <v>4</v>
      </c>
      <c r="R585" t="str">
        <f>Team_Level[[#This Row],[Team]]&amp;"-"&amp;Team_Level[[#This Row],[Recency Rank]]</f>
        <v>Doncaster Rovers-4</v>
      </c>
      <c r="S585">
        <f>IF(Team_Level[[#This Row],[Result]]="","",COUNTIFS(Team_Level[Team],Team_Level[[#This Row],[Team]],Team_Level[Date],"&lt;="&amp;Team_Level[[#This Row],[Date]],Team_Level[Result],"&lt;&gt;"))</f>
        <v>3</v>
      </c>
      <c r="T585" t="str">
        <f>Team_Level[[#This Row],[Team]]&amp;"-"&amp;Team_Level[[#This Row],[Chrono Rank]]</f>
        <v>Doncaster Rovers-3</v>
      </c>
    </row>
    <row r="586" spans="1:20" x14ac:dyDescent="0.25">
      <c r="A586" t="s">
        <v>111</v>
      </c>
      <c r="B586" s="6">
        <v>46263</v>
      </c>
      <c r="C586" t="s">
        <v>22</v>
      </c>
      <c r="D586" t="s">
        <v>20</v>
      </c>
      <c r="E586">
        <v>0.94</v>
      </c>
      <c r="F586">
        <v>1.34</v>
      </c>
      <c r="G586">
        <v>1</v>
      </c>
      <c r="H586">
        <v>5</v>
      </c>
      <c r="I586">
        <v>2.2800000000000002</v>
      </c>
      <c r="J586">
        <v>6</v>
      </c>
      <c r="K586">
        <v>1</v>
      </c>
      <c r="L586" t="s">
        <v>35</v>
      </c>
      <c r="M586">
        <v>-0.40000000000000013</v>
      </c>
      <c r="N586">
        <v>-4</v>
      </c>
      <c r="O586">
        <v>6.0000000000000053E-2</v>
      </c>
      <c r="P586" t="s">
        <v>52</v>
      </c>
      <c r="Q586">
        <f>IF(Team_Level[[#This Row],[Result]]="","",COUNTIFS(Team_Level[Team],Team_Level[[#This Row],[Team]],Team_Level[Date],"&gt;="&amp;Team_Level[[#This Row],[Date]],Team_Level[Result],"&lt;&gt;"))</f>
        <v>4</v>
      </c>
      <c r="R586" t="str">
        <f>Team_Level[[#This Row],[Team]]&amp;"-"&amp;Team_Level[[#This Row],[Recency Rank]]</f>
        <v>Wycombe Wanderers-4</v>
      </c>
      <c r="S586">
        <f>IF(Team_Level[[#This Row],[Result]]="","",COUNTIFS(Team_Level[Team],Team_Level[[#This Row],[Team]],Team_Level[Date],"&lt;="&amp;Team_Level[[#This Row],[Date]],Team_Level[Result],"&lt;&gt;"))</f>
        <v>3</v>
      </c>
      <c r="T586" t="str">
        <f>Team_Level[[#This Row],[Team]]&amp;"-"&amp;Team_Level[[#This Row],[Chrono Rank]]</f>
        <v>Wycombe Wanderers-3</v>
      </c>
    </row>
    <row r="587" spans="1:20" x14ac:dyDescent="0.25">
      <c r="A587" t="s">
        <v>112</v>
      </c>
      <c r="B587" s="6">
        <v>46264</v>
      </c>
      <c r="C587" t="s">
        <v>21</v>
      </c>
      <c r="D587" t="s">
        <v>0</v>
      </c>
      <c r="E587">
        <v>2.99</v>
      </c>
      <c r="F587">
        <v>0.72</v>
      </c>
      <c r="G587">
        <v>0</v>
      </c>
      <c r="H587">
        <v>1</v>
      </c>
      <c r="I587">
        <v>3.71</v>
      </c>
      <c r="J587">
        <v>1</v>
      </c>
      <c r="K587">
        <v>1</v>
      </c>
      <c r="L587" t="s">
        <v>35</v>
      </c>
      <c r="M587">
        <v>2.2700000000000005</v>
      </c>
      <c r="N587">
        <v>-1</v>
      </c>
      <c r="O587">
        <v>-2.99</v>
      </c>
      <c r="P587" t="s">
        <v>52</v>
      </c>
      <c r="Q587">
        <f>IF(Team_Level[[#This Row],[Result]]="","",COUNTIFS(Team_Level[Team],Team_Level[[#This Row],[Team]],Team_Level[Date],"&gt;="&amp;Team_Level[[#This Row],[Date]],Team_Level[Result],"&lt;&gt;"))</f>
        <v>4</v>
      </c>
      <c r="R587" t="str">
        <f>Team_Level[[#This Row],[Team]]&amp;"-"&amp;Team_Level[[#This Row],[Recency Rank]]</f>
        <v>Wigan Athletic-4</v>
      </c>
      <c r="S587">
        <f>IF(Team_Level[[#This Row],[Result]]="","",COUNTIFS(Team_Level[Team],Team_Level[[#This Row],[Team]],Team_Level[Date],"&lt;="&amp;Team_Level[[#This Row],[Date]],Team_Level[Result],"&lt;&gt;"))</f>
        <v>3</v>
      </c>
      <c r="T587" t="str">
        <f>Team_Level[[#This Row],[Team]]&amp;"-"&amp;Team_Level[[#This Row],[Chrono Rank]]</f>
        <v>Wigan Athletic-3</v>
      </c>
    </row>
    <row r="588" spans="1:20" x14ac:dyDescent="0.25">
      <c r="A588" t="s">
        <v>113</v>
      </c>
      <c r="B588" s="6">
        <v>46264</v>
      </c>
      <c r="C588" t="s">
        <v>11</v>
      </c>
      <c r="D588" t="s">
        <v>12</v>
      </c>
      <c r="E588">
        <v>1.35</v>
      </c>
      <c r="F588">
        <v>1.37</v>
      </c>
      <c r="G588">
        <v>2</v>
      </c>
      <c r="H588">
        <v>5</v>
      </c>
      <c r="I588">
        <v>2.72</v>
      </c>
      <c r="J588">
        <v>7</v>
      </c>
      <c r="K588">
        <v>1</v>
      </c>
      <c r="L588" t="s">
        <v>35</v>
      </c>
      <c r="M588">
        <v>-2.0000000000000018E-2</v>
      </c>
      <c r="N588">
        <v>-3</v>
      </c>
      <c r="O588">
        <v>0.64999999999999991</v>
      </c>
      <c r="P588" t="s">
        <v>52</v>
      </c>
      <c r="Q588">
        <f>IF(Team_Level[[#This Row],[Result]]="","",COUNTIFS(Team_Level[Team],Team_Level[[#This Row],[Team]],Team_Level[Date],"&gt;="&amp;Team_Level[[#This Row],[Date]],Team_Level[Result],"&lt;&gt;"))</f>
        <v>4</v>
      </c>
      <c r="R588" t="str">
        <f>Team_Level[[#This Row],[Team]]&amp;"-"&amp;Team_Level[[#This Row],[Recency Rank]]</f>
        <v>Luton Town-4</v>
      </c>
      <c r="S588">
        <f>IF(Team_Level[[#This Row],[Result]]="","",COUNTIFS(Team_Level[Team],Team_Level[[#This Row],[Team]],Team_Level[Date],"&lt;="&amp;Team_Level[[#This Row],[Date]],Team_Level[Result],"&lt;&gt;"))</f>
        <v>3</v>
      </c>
      <c r="T588" t="str">
        <f>Team_Level[[#This Row],[Team]]&amp;"-"&amp;Team_Level[[#This Row],[Chrono Rank]]</f>
        <v>Luton Town-3</v>
      </c>
    </row>
    <row r="589" spans="1:20" x14ac:dyDescent="0.25">
      <c r="A589" t="s">
        <v>114</v>
      </c>
      <c r="B589" s="6">
        <v>46266</v>
      </c>
      <c r="C589" t="s">
        <v>6</v>
      </c>
      <c r="D589" t="s">
        <v>3</v>
      </c>
      <c r="E589">
        <v>0.44</v>
      </c>
      <c r="F589">
        <v>2.1800000000000002</v>
      </c>
      <c r="G589">
        <v>2</v>
      </c>
      <c r="H589">
        <v>1</v>
      </c>
      <c r="I589">
        <v>2.62</v>
      </c>
      <c r="J589">
        <v>3</v>
      </c>
      <c r="K589">
        <v>1</v>
      </c>
      <c r="L589" t="s">
        <v>35</v>
      </c>
      <c r="M589">
        <v>-1.7400000000000002</v>
      </c>
      <c r="N589">
        <v>1</v>
      </c>
      <c r="O589">
        <v>1.56</v>
      </c>
      <c r="P589" t="s">
        <v>54</v>
      </c>
      <c r="Q589">
        <f>IF(Team_Level[[#This Row],[Result]]="","",COUNTIFS(Team_Level[Team],Team_Level[[#This Row],[Team]],Team_Level[Date],"&gt;="&amp;Team_Level[[#This Row],[Date]],Team_Level[Result],"&lt;&gt;"))</f>
        <v>3</v>
      </c>
      <c r="R589" t="str">
        <f>Team_Level[[#This Row],[Team]]&amp;"-"&amp;Team_Level[[#This Row],[Recency Rank]]</f>
        <v>Cambridge United-3</v>
      </c>
      <c r="S589">
        <f>IF(Team_Level[[#This Row],[Result]]="","",COUNTIFS(Team_Level[Team],Team_Level[[#This Row],[Team]],Team_Level[Date],"&lt;="&amp;Team_Level[[#This Row],[Date]],Team_Level[Result],"&lt;&gt;"))</f>
        <v>4</v>
      </c>
      <c r="T589" t="str">
        <f>Team_Level[[#This Row],[Team]]&amp;"-"&amp;Team_Level[[#This Row],[Chrono Rank]]</f>
        <v>Cambridge United-4</v>
      </c>
    </row>
    <row r="590" spans="1:20" x14ac:dyDescent="0.25">
      <c r="A590" t="s">
        <v>115</v>
      </c>
      <c r="B590" s="6">
        <v>46266</v>
      </c>
      <c r="C590" t="s">
        <v>10</v>
      </c>
      <c r="D590" t="s">
        <v>4</v>
      </c>
      <c r="E590">
        <v>1.94</v>
      </c>
      <c r="F590">
        <v>0.63</v>
      </c>
      <c r="G590">
        <v>5</v>
      </c>
      <c r="H590">
        <v>0</v>
      </c>
      <c r="I590">
        <v>2.57</v>
      </c>
      <c r="J590">
        <v>5</v>
      </c>
      <c r="K590">
        <v>1</v>
      </c>
      <c r="L590" t="s">
        <v>35</v>
      </c>
      <c r="M590">
        <v>1.31</v>
      </c>
      <c r="N590">
        <v>5</v>
      </c>
      <c r="O590">
        <v>3.06</v>
      </c>
      <c r="P590" t="s">
        <v>54</v>
      </c>
      <c r="Q590">
        <f>IF(Team_Level[[#This Row],[Result]]="","",COUNTIFS(Team_Level[Team],Team_Level[[#This Row],[Team]],Team_Level[Date],"&gt;="&amp;Team_Level[[#This Row],[Date]],Team_Level[Result],"&lt;&gt;"))</f>
        <v>3</v>
      </c>
      <c r="R590" t="str">
        <f>Team_Level[[#This Row],[Team]]&amp;"-"&amp;Team_Level[[#This Row],[Recency Rank]]</f>
        <v>Leyton Orient-3</v>
      </c>
      <c r="S590">
        <f>IF(Team_Level[[#This Row],[Result]]="","",COUNTIFS(Team_Level[Team],Team_Level[[#This Row],[Team]],Team_Level[Date],"&lt;="&amp;Team_Level[[#This Row],[Date]],Team_Level[Result],"&lt;&gt;"))</f>
        <v>4</v>
      </c>
      <c r="T590" t="str">
        <f>Team_Level[[#This Row],[Team]]&amp;"-"&amp;Team_Level[[#This Row],[Chrono Rank]]</f>
        <v>Leyton Orient-4</v>
      </c>
    </row>
    <row r="591" spans="1:20" x14ac:dyDescent="0.25">
      <c r="A591" t="s">
        <v>116</v>
      </c>
      <c r="B591" s="6">
        <v>46266</v>
      </c>
      <c r="C591" t="s">
        <v>13</v>
      </c>
      <c r="D591" t="s">
        <v>7</v>
      </c>
      <c r="E591">
        <v>0.87</v>
      </c>
      <c r="F591">
        <v>1.1200000000000001</v>
      </c>
      <c r="G591">
        <v>1</v>
      </c>
      <c r="H591">
        <v>1</v>
      </c>
      <c r="I591">
        <v>1.9900000000000002</v>
      </c>
      <c r="J591">
        <v>2</v>
      </c>
      <c r="K591">
        <v>1</v>
      </c>
      <c r="L591" t="s">
        <v>35</v>
      </c>
      <c r="M591">
        <v>-0.25000000000000011</v>
      </c>
      <c r="N591">
        <v>0</v>
      </c>
      <c r="O591">
        <v>0.13</v>
      </c>
      <c r="P591" t="s">
        <v>53</v>
      </c>
      <c r="Q591">
        <f>IF(Team_Level[[#This Row],[Result]]="","",COUNTIFS(Team_Level[Team],Team_Level[[#This Row],[Team]],Team_Level[Date],"&gt;="&amp;Team_Level[[#This Row],[Date]],Team_Level[Result],"&lt;&gt;"))</f>
        <v>3</v>
      </c>
      <c r="R591" t="str">
        <f>Team_Level[[#This Row],[Team]]&amp;"-"&amp;Team_Level[[#This Row],[Recency Rank]]</f>
        <v>Notts County-3</v>
      </c>
      <c r="S591">
        <f>IF(Team_Level[[#This Row],[Result]]="","",COUNTIFS(Team_Level[Team],Team_Level[[#This Row],[Team]],Team_Level[Date],"&lt;="&amp;Team_Level[[#This Row],[Date]],Team_Level[Result],"&lt;&gt;"))</f>
        <v>4</v>
      </c>
      <c r="T591" t="str">
        <f>Team_Level[[#This Row],[Team]]&amp;"-"&amp;Team_Level[[#This Row],[Chrono Rank]]</f>
        <v>Notts County-4</v>
      </c>
    </row>
    <row r="592" spans="1:20" x14ac:dyDescent="0.25">
      <c r="A592" t="s">
        <v>117</v>
      </c>
      <c r="B592" s="6">
        <v>46266</v>
      </c>
      <c r="C592" t="s">
        <v>14</v>
      </c>
      <c r="D592" t="s">
        <v>8</v>
      </c>
      <c r="E592">
        <v>1.01</v>
      </c>
      <c r="F592">
        <v>3.62</v>
      </c>
      <c r="G592">
        <v>1</v>
      </c>
      <c r="H592">
        <v>3</v>
      </c>
      <c r="I592">
        <v>4.63</v>
      </c>
      <c r="J592">
        <v>4</v>
      </c>
      <c r="K592">
        <v>1</v>
      </c>
      <c r="L592" t="s">
        <v>35</v>
      </c>
      <c r="M592">
        <v>-2.6100000000000003</v>
      </c>
      <c r="N592">
        <v>-2</v>
      </c>
      <c r="O592">
        <v>-1.0000000000000009E-2</v>
      </c>
      <c r="P592" t="s">
        <v>52</v>
      </c>
      <c r="Q592">
        <f>IF(Team_Level[[#This Row],[Result]]="","",COUNTIFS(Team_Level[Team],Team_Level[[#This Row],[Team]],Team_Level[Date],"&gt;="&amp;Team_Level[[#This Row],[Date]],Team_Level[Result],"&lt;&gt;"))</f>
        <v>3</v>
      </c>
      <c r="R592" t="str">
        <f>Team_Level[[#This Row],[Team]]&amp;"-"&amp;Team_Level[[#This Row],[Recency Rank]]</f>
        <v>Oxford United-3</v>
      </c>
      <c r="S592">
        <f>IF(Team_Level[[#This Row],[Result]]="","",COUNTIFS(Team_Level[Team],Team_Level[[#This Row],[Team]],Team_Level[Date],"&lt;="&amp;Team_Level[[#This Row],[Date]],Team_Level[Result],"&lt;&gt;"))</f>
        <v>3</v>
      </c>
      <c r="T592" t="str">
        <f>Team_Level[[#This Row],[Team]]&amp;"-"&amp;Team_Level[[#This Row],[Chrono Rank]]</f>
        <v>Oxford United-3</v>
      </c>
    </row>
    <row r="593" spans="1:20" x14ac:dyDescent="0.25">
      <c r="A593" t="s">
        <v>118</v>
      </c>
      <c r="B593" s="6">
        <v>46266</v>
      </c>
      <c r="C593" t="s">
        <v>16</v>
      </c>
      <c r="D593" t="s">
        <v>9</v>
      </c>
      <c r="E593">
        <v>1.1299999999999999</v>
      </c>
      <c r="F593">
        <v>1.76</v>
      </c>
      <c r="G593">
        <v>0</v>
      </c>
      <c r="H593">
        <v>2</v>
      </c>
      <c r="I593">
        <v>2.8899999999999997</v>
      </c>
      <c r="J593">
        <v>2</v>
      </c>
      <c r="K593">
        <v>1</v>
      </c>
      <c r="L593" t="s">
        <v>35</v>
      </c>
      <c r="M593">
        <v>-0.63000000000000012</v>
      </c>
      <c r="N593">
        <v>-2</v>
      </c>
      <c r="O593">
        <v>-1.1299999999999999</v>
      </c>
      <c r="P593" t="s">
        <v>52</v>
      </c>
      <c r="Q593">
        <f>IF(Team_Level[[#This Row],[Result]]="","",COUNTIFS(Team_Level[Team],Team_Level[[#This Row],[Team]],Team_Level[Date],"&gt;="&amp;Team_Level[[#This Row],[Date]],Team_Level[Result],"&lt;&gt;"))</f>
        <v>3</v>
      </c>
      <c r="R593" t="str">
        <f>Team_Level[[#This Row],[Team]]&amp;"-"&amp;Team_Level[[#This Row],[Recency Rank]]</f>
        <v>Plymouth Argyle-3</v>
      </c>
      <c r="S593">
        <f>IF(Team_Level[[#This Row],[Result]]="","",COUNTIFS(Team_Level[Team],Team_Level[[#This Row],[Team]],Team_Level[Date],"&lt;="&amp;Team_Level[[#This Row],[Date]],Team_Level[Result],"&lt;&gt;"))</f>
        <v>4</v>
      </c>
      <c r="T593" t="str">
        <f>Team_Level[[#This Row],[Team]]&amp;"-"&amp;Team_Level[[#This Row],[Chrono Rank]]</f>
        <v>Plymouth Argyle-4</v>
      </c>
    </row>
    <row r="594" spans="1:20" x14ac:dyDescent="0.25">
      <c r="A594" t="s">
        <v>119</v>
      </c>
      <c r="B594" s="6">
        <v>46266</v>
      </c>
      <c r="C594" t="s">
        <v>19</v>
      </c>
      <c r="D594" t="s">
        <v>15</v>
      </c>
      <c r="E594">
        <v>0.47</v>
      </c>
      <c r="F594">
        <v>0.91</v>
      </c>
      <c r="G594">
        <v>0</v>
      </c>
      <c r="H594">
        <v>0</v>
      </c>
      <c r="I594">
        <v>1.38</v>
      </c>
      <c r="J594">
        <v>0</v>
      </c>
      <c r="K594">
        <v>1</v>
      </c>
      <c r="L594" t="s">
        <v>35</v>
      </c>
      <c r="M594">
        <v>-0.44000000000000006</v>
      </c>
      <c r="N594">
        <v>0</v>
      </c>
      <c r="O594">
        <v>-0.47</v>
      </c>
      <c r="P594" t="s">
        <v>53</v>
      </c>
      <c r="Q594">
        <f>IF(Team_Level[[#This Row],[Result]]="","",COUNTIFS(Team_Level[Team],Team_Level[[#This Row],[Team]],Team_Level[Date],"&gt;="&amp;Team_Level[[#This Row],[Date]],Team_Level[Result],"&lt;&gt;"))</f>
        <v>3</v>
      </c>
      <c r="R594" t="str">
        <f>Team_Level[[#This Row],[Team]]&amp;"-"&amp;Team_Level[[#This Row],[Recency Rank]]</f>
        <v>Stevenage-3</v>
      </c>
      <c r="S594">
        <f>IF(Team_Level[[#This Row],[Result]]="","",COUNTIFS(Team_Level[Team],Team_Level[[#This Row],[Team]],Team_Level[Date],"&lt;="&amp;Team_Level[[#This Row],[Date]],Team_Level[Result],"&lt;&gt;"))</f>
        <v>4</v>
      </c>
      <c r="T594" t="str">
        <f>Team_Level[[#This Row],[Team]]&amp;"-"&amp;Team_Level[[#This Row],[Chrono Rank]]</f>
        <v>Stevenage-4</v>
      </c>
    </row>
    <row r="595" spans="1:20" x14ac:dyDescent="0.25">
      <c r="A595" t="s">
        <v>120</v>
      </c>
      <c r="B595" s="6">
        <v>46266</v>
      </c>
      <c r="C595" t="s">
        <v>18</v>
      </c>
      <c r="D595" t="s">
        <v>22</v>
      </c>
      <c r="E595">
        <v>2.56</v>
      </c>
      <c r="F595">
        <v>1.02</v>
      </c>
      <c r="G595">
        <v>2</v>
      </c>
      <c r="H595">
        <v>1</v>
      </c>
      <c r="I595">
        <v>3.58</v>
      </c>
      <c r="J595">
        <v>3</v>
      </c>
      <c r="K595">
        <v>1</v>
      </c>
      <c r="L595" t="s">
        <v>35</v>
      </c>
      <c r="M595">
        <v>1.54</v>
      </c>
      <c r="N595">
        <v>1</v>
      </c>
      <c r="O595">
        <v>-0.56000000000000005</v>
      </c>
      <c r="P595" t="s">
        <v>54</v>
      </c>
      <c r="Q595">
        <f>IF(Team_Level[[#This Row],[Result]]="","",COUNTIFS(Team_Level[Team],Team_Level[[#This Row],[Team]],Team_Level[Date],"&gt;="&amp;Team_Level[[#This Row],[Date]],Team_Level[Result],"&lt;&gt;"))</f>
        <v>3</v>
      </c>
      <c r="R595" t="str">
        <f>Team_Level[[#This Row],[Team]]&amp;"-"&amp;Team_Level[[#This Row],[Recency Rank]]</f>
        <v>Sheffield Wednesday-3</v>
      </c>
      <c r="S595">
        <f>IF(Team_Level[[#This Row],[Result]]="","",COUNTIFS(Team_Level[Team],Team_Level[[#This Row],[Team]],Team_Level[Date],"&lt;="&amp;Team_Level[[#This Row],[Date]],Team_Level[Result],"&lt;&gt;"))</f>
        <v>4</v>
      </c>
      <c r="T595" t="str">
        <f>Team_Level[[#This Row],[Team]]&amp;"-"&amp;Team_Level[[#This Row],[Chrono Rank]]</f>
        <v>Sheffield Wednesday-4</v>
      </c>
    </row>
    <row r="596" spans="1:20" x14ac:dyDescent="0.25">
      <c r="A596" t="s">
        <v>121</v>
      </c>
      <c r="B596" s="6">
        <v>46267</v>
      </c>
      <c r="C596" t="s">
        <v>2</v>
      </c>
      <c r="D596" t="s">
        <v>1</v>
      </c>
      <c r="E596">
        <v>2.4</v>
      </c>
      <c r="F596">
        <v>1.97</v>
      </c>
      <c r="G596">
        <v>1</v>
      </c>
      <c r="H596">
        <v>2</v>
      </c>
      <c r="I596">
        <v>4.37</v>
      </c>
      <c r="J596">
        <v>3</v>
      </c>
      <c r="K596">
        <v>1</v>
      </c>
      <c r="L596" t="s">
        <v>35</v>
      </c>
      <c r="M596">
        <v>0.42999999999999994</v>
      </c>
      <c r="N596">
        <v>-1</v>
      </c>
      <c r="O596">
        <v>-1.4</v>
      </c>
      <c r="P596" t="s">
        <v>52</v>
      </c>
      <c r="Q596">
        <f>IF(Team_Level[[#This Row],[Result]]="","",COUNTIFS(Team_Level[Team],Team_Level[[#This Row],[Team]],Team_Level[Date],"&gt;="&amp;Team_Level[[#This Row],[Date]],Team_Level[Result],"&lt;&gt;"))</f>
        <v>3</v>
      </c>
      <c r="R596" t="str">
        <f>Team_Level[[#This Row],[Team]]&amp;"-"&amp;Team_Level[[#This Row],[Recency Rank]]</f>
        <v>Blackpool-3</v>
      </c>
      <c r="S596">
        <f>IF(Team_Level[[#This Row],[Result]]="","",COUNTIFS(Team_Level[Team],Team_Level[[#This Row],[Team]],Team_Level[Date],"&lt;="&amp;Team_Level[[#This Row],[Date]],Team_Level[Result],"&lt;&gt;"))</f>
        <v>4</v>
      </c>
      <c r="T596" t="str">
        <f>Team_Level[[#This Row],[Team]]&amp;"-"&amp;Team_Level[[#This Row],[Chrono Rank]]</f>
        <v>Blackpool-4</v>
      </c>
    </row>
    <row r="597" spans="1:20" x14ac:dyDescent="0.25">
      <c r="A597" t="s">
        <v>122</v>
      </c>
      <c r="B597" s="6">
        <v>46267</v>
      </c>
      <c r="C597" t="s">
        <v>0</v>
      </c>
      <c r="D597" t="s">
        <v>5</v>
      </c>
      <c r="E597">
        <v>1.43</v>
      </c>
      <c r="F597">
        <v>0.93</v>
      </c>
      <c r="G597">
        <v>1</v>
      </c>
      <c r="H597">
        <v>4</v>
      </c>
      <c r="I597">
        <v>2.36</v>
      </c>
      <c r="J597">
        <v>5</v>
      </c>
      <c r="K597">
        <v>1</v>
      </c>
      <c r="L597" t="s">
        <v>35</v>
      </c>
      <c r="M597">
        <v>0.49999999999999989</v>
      </c>
      <c r="N597">
        <v>-3</v>
      </c>
      <c r="O597">
        <v>-0.42999999999999994</v>
      </c>
      <c r="P597" t="s">
        <v>52</v>
      </c>
      <c r="Q597">
        <f>IF(Team_Level[[#This Row],[Result]]="","",COUNTIFS(Team_Level[Team],Team_Level[[#This Row],[Team]],Team_Level[Date],"&gt;="&amp;Team_Level[[#This Row],[Date]],Team_Level[Result],"&lt;&gt;"))</f>
        <v>3</v>
      </c>
      <c r="R597" t="str">
        <f>Team_Level[[#This Row],[Team]]&amp;"-"&amp;Team_Level[[#This Row],[Recency Rank]]</f>
        <v>AFC Wimbledon-3</v>
      </c>
      <c r="S597">
        <f>IF(Team_Level[[#This Row],[Result]]="","",COUNTIFS(Team_Level[Team],Team_Level[[#This Row],[Team]],Team_Level[Date],"&lt;="&amp;Team_Level[[#This Row],[Date]],Team_Level[Result],"&lt;&gt;"))</f>
        <v>4</v>
      </c>
      <c r="T597" t="str">
        <f>Team_Level[[#This Row],[Team]]&amp;"-"&amp;Team_Level[[#This Row],[Chrono Rank]]</f>
        <v>AFC Wimbledon-4</v>
      </c>
    </row>
    <row r="598" spans="1:20" x14ac:dyDescent="0.25">
      <c r="A598" t="s">
        <v>123</v>
      </c>
      <c r="B598" s="6">
        <v>46267</v>
      </c>
      <c r="C598" t="s">
        <v>20</v>
      </c>
      <c r="D598" t="s">
        <v>11</v>
      </c>
      <c r="E598">
        <v>0.84</v>
      </c>
      <c r="F598">
        <v>1.4</v>
      </c>
      <c r="G598">
        <v>0</v>
      </c>
      <c r="H598">
        <v>2</v>
      </c>
      <c r="I598">
        <v>2.2399999999999998</v>
      </c>
      <c r="J598">
        <v>2</v>
      </c>
      <c r="K598">
        <v>1</v>
      </c>
      <c r="L598" t="s">
        <v>35</v>
      </c>
      <c r="M598">
        <v>-0.55999999999999994</v>
      </c>
      <c r="N598">
        <v>-2</v>
      </c>
      <c r="O598">
        <v>-0.84</v>
      </c>
      <c r="P598" t="s">
        <v>52</v>
      </c>
      <c r="Q598">
        <f>IF(Team_Level[[#This Row],[Result]]="","",COUNTIFS(Team_Level[Team],Team_Level[[#This Row],[Team]],Team_Level[Date],"&gt;="&amp;Team_Level[[#This Row],[Date]],Team_Level[Result],"&lt;&gt;"))</f>
        <v>3</v>
      </c>
      <c r="R598" t="str">
        <f>Team_Level[[#This Row],[Team]]&amp;"-"&amp;Team_Level[[#This Row],[Recency Rank]]</f>
        <v>Stockport County-3</v>
      </c>
      <c r="S598">
        <f>IF(Team_Level[[#This Row],[Result]]="","",COUNTIFS(Team_Level[Team],Team_Level[[#This Row],[Team]],Team_Level[Date],"&lt;="&amp;Team_Level[[#This Row],[Date]],Team_Level[Result],"&lt;&gt;"))</f>
        <v>4</v>
      </c>
      <c r="T598" t="str">
        <f>Team_Level[[#This Row],[Team]]&amp;"-"&amp;Team_Level[[#This Row],[Chrono Rank]]</f>
        <v>Stockport County-4</v>
      </c>
    </row>
    <row r="599" spans="1:20" x14ac:dyDescent="0.25">
      <c r="A599" t="s">
        <v>124</v>
      </c>
      <c r="B599" s="6">
        <v>46267</v>
      </c>
      <c r="C599" t="s">
        <v>12</v>
      </c>
      <c r="D599" t="s">
        <v>17</v>
      </c>
      <c r="E599">
        <v>2.8</v>
      </c>
      <c r="F599">
        <v>2.35</v>
      </c>
      <c r="G599">
        <v>0</v>
      </c>
      <c r="H599">
        <v>5</v>
      </c>
      <c r="I599">
        <v>5.15</v>
      </c>
      <c r="J599">
        <v>5</v>
      </c>
      <c r="K599">
        <v>1</v>
      </c>
      <c r="L599" t="s">
        <v>35</v>
      </c>
      <c r="M599">
        <v>0.44999999999999973</v>
      </c>
      <c r="N599">
        <v>-5</v>
      </c>
      <c r="O599">
        <v>-2.8</v>
      </c>
      <c r="P599" t="s">
        <v>52</v>
      </c>
      <c r="Q599">
        <f>IF(Team_Level[[#This Row],[Result]]="","",COUNTIFS(Team_Level[Team],Team_Level[[#This Row],[Team]],Team_Level[Date],"&gt;="&amp;Team_Level[[#This Row],[Date]],Team_Level[Result],"&lt;&gt;"))</f>
        <v>3</v>
      </c>
      <c r="R599" t="str">
        <f>Team_Level[[#This Row],[Team]]&amp;"-"&amp;Team_Level[[#This Row],[Recency Rank]]</f>
        <v>Mansfield Town-3</v>
      </c>
      <c r="S599">
        <f>IF(Team_Level[[#This Row],[Result]]="","",COUNTIFS(Team_Level[Team],Team_Level[[#This Row],[Team]],Team_Level[Date],"&lt;="&amp;Team_Level[[#This Row],[Date]],Team_Level[Result],"&lt;&gt;"))</f>
        <v>4</v>
      </c>
      <c r="T599" t="str">
        <f>Team_Level[[#This Row],[Team]]&amp;"-"&amp;Team_Level[[#This Row],[Chrono Rank]]</f>
        <v>Mansfield Town-4</v>
      </c>
    </row>
    <row r="600" spans="1:20" x14ac:dyDescent="0.25">
      <c r="A600" t="s">
        <v>125</v>
      </c>
      <c r="B600" s="6">
        <v>46267</v>
      </c>
      <c r="C600" t="s">
        <v>33</v>
      </c>
      <c r="D600" t="s">
        <v>21</v>
      </c>
      <c r="E600">
        <v>1.37</v>
      </c>
      <c r="F600">
        <v>2.68</v>
      </c>
      <c r="G600">
        <v>1</v>
      </c>
      <c r="H600">
        <v>3</v>
      </c>
      <c r="I600">
        <v>4.0500000000000007</v>
      </c>
      <c r="J600">
        <v>4</v>
      </c>
      <c r="K600">
        <v>1</v>
      </c>
      <c r="L600" t="s">
        <v>35</v>
      </c>
      <c r="M600">
        <v>-1.31</v>
      </c>
      <c r="N600">
        <v>-2</v>
      </c>
      <c r="O600">
        <v>-0.37000000000000011</v>
      </c>
      <c r="P600" t="s">
        <v>52</v>
      </c>
      <c r="Q600">
        <f>IF(Team_Level[[#This Row],[Result]]="","",COUNTIFS(Team_Level[Team],Team_Level[[#This Row],[Team]],Team_Level[Date],"&gt;="&amp;Team_Level[[#This Row],[Date]],Team_Level[Result],"&lt;&gt;"))</f>
        <v>3</v>
      </c>
      <c r="R600" t="str">
        <f>Team_Level[[#This Row],[Team]]&amp;"-"&amp;Team_Level[[#This Row],[Recency Rank]]</f>
        <v>Milton Keynes Dons-3</v>
      </c>
      <c r="S600">
        <f>IF(Team_Level[[#This Row],[Result]]="","",COUNTIFS(Team_Level[Team],Team_Level[[#This Row],[Team]],Team_Level[Date],"&lt;="&amp;Team_Level[[#This Row],[Date]],Team_Level[Result],"&lt;&gt;"))</f>
        <v>4</v>
      </c>
      <c r="T600" t="str">
        <f>Team_Level[[#This Row],[Team]]&amp;"-"&amp;Team_Level[[#This Row],[Chrono Rank]]</f>
        <v>Milton Keynes Dons-4</v>
      </c>
    </row>
    <row r="601" spans="1:20" x14ac:dyDescent="0.25">
      <c r="A601" t="s">
        <v>126</v>
      </c>
      <c r="B601" s="6">
        <v>46270</v>
      </c>
      <c r="C601" t="s">
        <v>19</v>
      </c>
      <c r="D601" t="s">
        <v>1</v>
      </c>
      <c r="E601">
        <v>1.93</v>
      </c>
      <c r="F601">
        <v>1.83</v>
      </c>
      <c r="G601">
        <v>5</v>
      </c>
      <c r="H601">
        <v>1</v>
      </c>
      <c r="I601">
        <v>3.76</v>
      </c>
      <c r="J601">
        <v>6</v>
      </c>
      <c r="K601">
        <v>1</v>
      </c>
      <c r="L601" t="s">
        <v>35</v>
      </c>
      <c r="M601">
        <v>9.9999999999999867E-2</v>
      </c>
      <c r="N601">
        <v>4</v>
      </c>
      <c r="O601">
        <v>3.0700000000000003</v>
      </c>
      <c r="P601" t="s">
        <v>54</v>
      </c>
      <c r="Q601">
        <f>IF(Team_Level[[#This Row],[Result]]="","",COUNTIFS(Team_Level[Team],Team_Level[[#This Row],[Team]],Team_Level[Date],"&gt;="&amp;Team_Level[[#This Row],[Date]],Team_Level[Result],"&lt;&gt;"))</f>
        <v>2</v>
      </c>
      <c r="R601" t="str">
        <f>Team_Level[[#This Row],[Team]]&amp;"-"&amp;Team_Level[[#This Row],[Recency Rank]]</f>
        <v>Stevenage-2</v>
      </c>
      <c r="S601">
        <f>IF(Team_Level[[#This Row],[Result]]="","",COUNTIFS(Team_Level[Team],Team_Level[[#This Row],[Team]],Team_Level[Date],"&lt;="&amp;Team_Level[[#This Row],[Date]],Team_Level[Result],"&lt;&gt;"))</f>
        <v>5</v>
      </c>
      <c r="T601" t="str">
        <f>Team_Level[[#This Row],[Team]]&amp;"-"&amp;Team_Level[[#This Row],[Chrono Rank]]</f>
        <v>Stevenage-5</v>
      </c>
    </row>
    <row r="602" spans="1:20" x14ac:dyDescent="0.25">
      <c r="A602" t="s">
        <v>127</v>
      </c>
      <c r="B602" s="6">
        <v>46270</v>
      </c>
      <c r="C602" t="s">
        <v>12</v>
      </c>
      <c r="D602" t="s">
        <v>3</v>
      </c>
      <c r="E602">
        <v>0.48</v>
      </c>
      <c r="F602">
        <v>1.03</v>
      </c>
      <c r="G602">
        <v>0</v>
      </c>
      <c r="H602">
        <v>1</v>
      </c>
      <c r="I602">
        <v>1.51</v>
      </c>
      <c r="J602">
        <v>1</v>
      </c>
      <c r="K602">
        <v>1</v>
      </c>
      <c r="L602" t="s">
        <v>35</v>
      </c>
      <c r="M602">
        <v>-0.55000000000000004</v>
      </c>
      <c r="N602">
        <v>-1</v>
      </c>
      <c r="O602">
        <v>-0.48</v>
      </c>
      <c r="P602" t="s">
        <v>52</v>
      </c>
      <c r="Q602">
        <f>IF(Team_Level[[#This Row],[Result]]="","",COUNTIFS(Team_Level[Team],Team_Level[[#This Row],[Team]],Team_Level[Date],"&gt;="&amp;Team_Level[[#This Row],[Date]],Team_Level[Result],"&lt;&gt;"))</f>
        <v>2</v>
      </c>
      <c r="R602" t="str">
        <f>Team_Level[[#This Row],[Team]]&amp;"-"&amp;Team_Level[[#This Row],[Recency Rank]]</f>
        <v>Mansfield Town-2</v>
      </c>
      <c r="S602">
        <f>IF(Team_Level[[#This Row],[Result]]="","",COUNTIFS(Team_Level[Team],Team_Level[[#This Row],[Team]],Team_Level[Date],"&lt;="&amp;Team_Level[[#This Row],[Date]],Team_Level[Result],"&lt;&gt;"))</f>
        <v>5</v>
      </c>
      <c r="T602" t="str">
        <f>Team_Level[[#This Row],[Team]]&amp;"-"&amp;Team_Level[[#This Row],[Chrono Rank]]</f>
        <v>Mansfield Town-5</v>
      </c>
    </row>
    <row r="603" spans="1:20" x14ac:dyDescent="0.25">
      <c r="A603" t="s">
        <v>128</v>
      </c>
      <c r="B603" s="6">
        <v>46270</v>
      </c>
      <c r="C603" t="s">
        <v>6</v>
      </c>
      <c r="D603" t="s">
        <v>5</v>
      </c>
      <c r="E603">
        <v>0.9</v>
      </c>
      <c r="F603">
        <v>2.31</v>
      </c>
      <c r="G603">
        <v>2</v>
      </c>
      <c r="H603">
        <v>2</v>
      </c>
      <c r="I603">
        <v>3.21</v>
      </c>
      <c r="J603">
        <v>4</v>
      </c>
      <c r="K603">
        <v>1</v>
      </c>
      <c r="L603" t="s">
        <v>35</v>
      </c>
      <c r="M603">
        <v>-1.4100000000000001</v>
      </c>
      <c r="N603">
        <v>0</v>
      </c>
      <c r="O603">
        <v>1.1000000000000001</v>
      </c>
      <c r="P603" t="s">
        <v>53</v>
      </c>
      <c r="Q603">
        <f>IF(Team_Level[[#This Row],[Result]]="","",COUNTIFS(Team_Level[Team],Team_Level[[#This Row],[Team]],Team_Level[Date],"&gt;="&amp;Team_Level[[#This Row],[Date]],Team_Level[Result],"&lt;&gt;"))</f>
        <v>2</v>
      </c>
      <c r="R603" t="str">
        <f>Team_Level[[#This Row],[Team]]&amp;"-"&amp;Team_Level[[#This Row],[Recency Rank]]</f>
        <v>Cambridge United-2</v>
      </c>
      <c r="S603">
        <f>IF(Team_Level[[#This Row],[Result]]="","",COUNTIFS(Team_Level[Team],Team_Level[[#This Row],[Team]],Team_Level[Date],"&lt;="&amp;Team_Level[[#This Row],[Date]],Team_Level[Result],"&lt;&gt;"))</f>
        <v>5</v>
      </c>
      <c r="T603" t="str">
        <f>Team_Level[[#This Row],[Team]]&amp;"-"&amp;Team_Level[[#This Row],[Chrono Rank]]</f>
        <v>Cambridge United-5</v>
      </c>
    </row>
    <row r="604" spans="1:20" x14ac:dyDescent="0.25">
      <c r="A604" t="s">
        <v>129</v>
      </c>
      <c r="B604" s="6">
        <v>46270</v>
      </c>
      <c r="C604" t="s">
        <v>16</v>
      </c>
      <c r="D604" t="s">
        <v>7</v>
      </c>
      <c r="E604">
        <v>2.65</v>
      </c>
      <c r="F604">
        <v>2.33</v>
      </c>
      <c r="G604">
        <v>3</v>
      </c>
      <c r="H604">
        <v>2</v>
      </c>
      <c r="I604">
        <v>4.9800000000000004</v>
      </c>
      <c r="J604">
        <v>5</v>
      </c>
      <c r="K604">
        <v>1</v>
      </c>
      <c r="L604" t="s">
        <v>35</v>
      </c>
      <c r="M604">
        <v>0.31999999999999984</v>
      </c>
      <c r="N604">
        <v>1</v>
      </c>
      <c r="O604">
        <v>0.35000000000000009</v>
      </c>
      <c r="P604" t="s">
        <v>54</v>
      </c>
      <c r="Q604">
        <f>IF(Team_Level[[#This Row],[Result]]="","",COUNTIFS(Team_Level[Team],Team_Level[[#This Row],[Team]],Team_Level[Date],"&gt;="&amp;Team_Level[[#This Row],[Date]],Team_Level[Result],"&lt;&gt;"))</f>
        <v>2</v>
      </c>
      <c r="R604" t="str">
        <f>Team_Level[[#This Row],[Team]]&amp;"-"&amp;Team_Level[[#This Row],[Recency Rank]]</f>
        <v>Plymouth Argyle-2</v>
      </c>
      <c r="S604">
        <f>IF(Team_Level[[#This Row],[Result]]="","",COUNTIFS(Team_Level[Team],Team_Level[[#This Row],[Team]],Team_Level[Date],"&lt;="&amp;Team_Level[[#This Row],[Date]],Team_Level[Result],"&lt;&gt;"))</f>
        <v>5</v>
      </c>
      <c r="T604" t="str">
        <f>Team_Level[[#This Row],[Team]]&amp;"-"&amp;Team_Level[[#This Row],[Chrono Rank]]</f>
        <v>Plymouth Argyle-5</v>
      </c>
    </row>
    <row r="605" spans="1:20" x14ac:dyDescent="0.25">
      <c r="A605" t="s">
        <v>130</v>
      </c>
      <c r="B605" s="6">
        <v>46270</v>
      </c>
      <c r="C605" t="s">
        <v>13</v>
      </c>
      <c r="D605" t="s">
        <v>8</v>
      </c>
      <c r="E605">
        <v>1.24</v>
      </c>
      <c r="F605">
        <v>1.41</v>
      </c>
      <c r="G605">
        <v>1</v>
      </c>
      <c r="H605">
        <v>1</v>
      </c>
      <c r="I605">
        <v>2.65</v>
      </c>
      <c r="J605">
        <v>2</v>
      </c>
      <c r="K605">
        <v>1</v>
      </c>
      <c r="L605" t="s">
        <v>35</v>
      </c>
      <c r="M605">
        <v>-0.16999999999999993</v>
      </c>
      <c r="N605">
        <v>0</v>
      </c>
      <c r="O605">
        <v>-0.24</v>
      </c>
      <c r="P605" t="s">
        <v>53</v>
      </c>
      <c r="Q605">
        <f>IF(Team_Level[[#This Row],[Result]]="","",COUNTIFS(Team_Level[Team],Team_Level[[#This Row],[Team]],Team_Level[Date],"&gt;="&amp;Team_Level[[#This Row],[Date]],Team_Level[Result],"&lt;&gt;"))</f>
        <v>2</v>
      </c>
      <c r="R605" t="str">
        <f>Team_Level[[#This Row],[Team]]&amp;"-"&amp;Team_Level[[#This Row],[Recency Rank]]</f>
        <v>Notts County-2</v>
      </c>
      <c r="S605">
        <f>IF(Team_Level[[#This Row],[Result]]="","",COUNTIFS(Team_Level[Team],Team_Level[[#This Row],[Team]],Team_Level[Date],"&lt;="&amp;Team_Level[[#This Row],[Date]],Team_Level[Result],"&lt;&gt;"))</f>
        <v>5</v>
      </c>
      <c r="T605" t="str">
        <f>Team_Level[[#This Row],[Team]]&amp;"-"&amp;Team_Level[[#This Row],[Chrono Rank]]</f>
        <v>Notts County-5</v>
      </c>
    </row>
    <row r="606" spans="1:20" x14ac:dyDescent="0.25">
      <c r="A606" t="s">
        <v>131</v>
      </c>
      <c r="B606" s="6">
        <v>46270</v>
      </c>
      <c r="C606" t="s">
        <v>14</v>
      </c>
      <c r="D606" t="s">
        <v>9</v>
      </c>
      <c r="E606">
        <v>2.31</v>
      </c>
      <c r="F606">
        <v>1.03</v>
      </c>
      <c r="G606">
        <v>4</v>
      </c>
      <c r="H606">
        <v>0</v>
      </c>
      <c r="I606">
        <v>3.34</v>
      </c>
      <c r="J606">
        <v>4</v>
      </c>
      <c r="K606">
        <v>1</v>
      </c>
      <c r="L606" t="s">
        <v>35</v>
      </c>
      <c r="M606">
        <v>1.28</v>
      </c>
      <c r="N606">
        <v>4</v>
      </c>
      <c r="O606">
        <v>1.69</v>
      </c>
      <c r="P606" t="s">
        <v>54</v>
      </c>
      <c r="Q606">
        <f>IF(Team_Level[[#This Row],[Result]]="","",COUNTIFS(Team_Level[Team],Team_Level[[#This Row],[Team]],Team_Level[Date],"&gt;="&amp;Team_Level[[#This Row],[Date]],Team_Level[Result],"&lt;&gt;"))</f>
        <v>2</v>
      </c>
      <c r="R606" t="str">
        <f>Team_Level[[#This Row],[Team]]&amp;"-"&amp;Team_Level[[#This Row],[Recency Rank]]</f>
        <v>Oxford United-2</v>
      </c>
      <c r="S606">
        <f>IF(Team_Level[[#This Row],[Result]]="","",COUNTIFS(Team_Level[Team],Team_Level[[#This Row],[Team]],Team_Level[Date],"&lt;="&amp;Team_Level[[#This Row],[Date]],Team_Level[Result],"&lt;&gt;"))</f>
        <v>4</v>
      </c>
      <c r="T606" t="str">
        <f>Team_Level[[#This Row],[Team]]&amp;"-"&amp;Team_Level[[#This Row],[Chrono Rank]]</f>
        <v>Oxford United-4</v>
      </c>
    </row>
    <row r="607" spans="1:20" x14ac:dyDescent="0.25">
      <c r="A607" t="s">
        <v>132</v>
      </c>
      <c r="B607" s="6">
        <v>46270</v>
      </c>
      <c r="C607" t="s">
        <v>10</v>
      </c>
      <c r="D607" t="s">
        <v>11</v>
      </c>
      <c r="E607">
        <v>0.56000000000000005</v>
      </c>
      <c r="F607">
        <v>2.21</v>
      </c>
      <c r="G607">
        <v>1</v>
      </c>
      <c r="H607">
        <v>1</v>
      </c>
      <c r="I607">
        <v>2.77</v>
      </c>
      <c r="J607">
        <v>2</v>
      </c>
      <c r="K607">
        <v>1</v>
      </c>
      <c r="L607" t="s">
        <v>35</v>
      </c>
      <c r="M607">
        <v>-1.65</v>
      </c>
      <c r="N607">
        <v>0</v>
      </c>
      <c r="O607">
        <v>0.43999999999999995</v>
      </c>
      <c r="P607" t="s">
        <v>53</v>
      </c>
      <c r="Q607">
        <f>IF(Team_Level[[#This Row],[Result]]="","",COUNTIFS(Team_Level[Team],Team_Level[[#This Row],[Team]],Team_Level[Date],"&gt;="&amp;Team_Level[[#This Row],[Date]],Team_Level[Result],"&lt;&gt;"))</f>
        <v>2</v>
      </c>
      <c r="R607" t="str">
        <f>Team_Level[[#This Row],[Team]]&amp;"-"&amp;Team_Level[[#This Row],[Recency Rank]]</f>
        <v>Leyton Orient-2</v>
      </c>
      <c r="S607">
        <f>IF(Team_Level[[#This Row],[Result]]="","",COUNTIFS(Team_Level[Team],Team_Level[[#This Row],[Team]],Team_Level[Date],"&lt;="&amp;Team_Level[[#This Row],[Date]],Team_Level[Result],"&lt;&gt;"))</f>
        <v>5</v>
      </c>
      <c r="T607" t="str">
        <f>Team_Level[[#This Row],[Team]]&amp;"-"&amp;Team_Level[[#This Row],[Chrono Rank]]</f>
        <v>Leyton Orient-5</v>
      </c>
    </row>
    <row r="608" spans="1:20" x14ac:dyDescent="0.25">
      <c r="A608" t="s">
        <v>133</v>
      </c>
      <c r="B608" s="6">
        <v>46270</v>
      </c>
      <c r="C608" t="s">
        <v>18</v>
      </c>
      <c r="D608" t="s">
        <v>15</v>
      </c>
      <c r="E608">
        <v>1.36</v>
      </c>
      <c r="F608">
        <v>1.97</v>
      </c>
      <c r="G608">
        <v>2</v>
      </c>
      <c r="H608">
        <v>1</v>
      </c>
      <c r="I608">
        <v>3.33</v>
      </c>
      <c r="J608">
        <v>3</v>
      </c>
      <c r="K608">
        <v>1</v>
      </c>
      <c r="L608" t="s">
        <v>35</v>
      </c>
      <c r="M608">
        <v>-0.60999999999999988</v>
      </c>
      <c r="N608">
        <v>1</v>
      </c>
      <c r="O608">
        <v>0.6399999999999999</v>
      </c>
      <c r="P608" t="s">
        <v>54</v>
      </c>
      <c r="Q608">
        <f>IF(Team_Level[[#This Row],[Result]]="","",COUNTIFS(Team_Level[Team],Team_Level[[#This Row],[Team]],Team_Level[Date],"&gt;="&amp;Team_Level[[#This Row],[Date]],Team_Level[Result],"&lt;&gt;"))</f>
        <v>2</v>
      </c>
      <c r="R608" t="str">
        <f>Team_Level[[#This Row],[Team]]&amp;"-"&amp;Team_Level[[#This Row],[Recency Rank]]</f>
        <v>Sheffield Wednesday-2</v>
      </c>
      <c r="S608">
        <f>IF(Team_Level[[#This Row],[Result]]="","",COUNTIFS(Team_Level[Team],Team_Level[[#This Row],[Team]],Team_Level[Date],"&lt;="&amp;Team_Level[[#This Row],[Date]],Team_Level[Result],"&lt;&gt;"))</f>
        <v>5</v>
      </c>
      <c r="T608" t="str">
        <f>Team_Level[[#This Row],[Team]]&amp;"-"&amp;Team_Level[[#This Row],[Chrono Rank]]</f>
        <v>Sheffield Wednesday-5</v>
      </c>
    </row>
    <row r="609" spans="1:20" x14ac:dyDescent="0.25">
      <c r="A609" t="s">
        <v>134</v>
      </c>
      <c r="B609" s="6">
        <v>46270</v>
      </c>
      <c r="C609" t="s">
        <v>2</v>
      </c>
      <c r="D609" t="s">
        <v>17</v>
      </c>
      <c r="E609">
        <v>0.51</v>
      </c>
      <c r="F609">
        <v>3.5</v>
      </c>
      <c r="G609">
        <v>1</v>
      </c>
      <c r="H609">
        <v>3</v>
      </c>
      <c r="I609">
        <v>4.01</v>
      </c>
      <c r="J609">
        <v>4</v>
      </c>
      <c r="K609">
        <v>1</v>
      </c>
      <c r="L609" t="s">
        <v>35</v>
      </c>
      <c r="M609">
        <v>-2.99</v>
      </c>
      <c r="N609">
        <v>-2</v>
      </c>
      <c r="O609">
        <v>0.49</v>
      </c>
      <c r="P609" t="s">
        <v>52</v>
      </c>
      <c r="Q609">
        <f>IF(Team_Level[[#This Row],[Result]]="","",COUNTIFS(Team_Level[Team],Team_Level[[#This Row],[Team]],Team_Level[Date],"&gt;="&amp;Team_Level[[#This Row],[Date]],Team_Level[Result],"&lt;&gt;"))</f>
        <v>2</v>
      </c>
      <c r="R609" t="str">
        <f>Team_Level[[#This Row],[Team]]&amp;"-"&amp;Team_Level[[#This Row],[Recency Rank]]</f>
        <v>Blackpool-2</v>
      </c>
      <c r="S609">
        <f>IF(Team_Level[[#This Row],[Result]]="","",COUNTIFS(Team_Level[Team],Team_Level[[#This Row],[Team]],Team_Level[Date],"&lt;="&amp;Team_Level[[#This Row],[Date]],Team_Level[Result],"&lt;&gt;"))</f>
        <v>5</v>
      </c>
      <c r="T609" t="str">
        <f>Team_Level[[#This Row],[Team]]&amp;"-"&amp;Team_Level[[#This Row],[Chrono Rank]]</f>
        <v>Blackpool-5</v>
      </c>
    </row>
    <row r="610" spans="1:20" x14ac:dyDescent="0.25">
      <c r="A610" t="s">
        <v>135</v>
      </c>
      <c r="B610" s="6">
        <v>46270</v>
      </c>
      <c r="C610" t="s">
        <v>20</v>
      </c>
      <c r="D610" t="s">
        <v>21</v>
      </c>
      <c r="E610">
        <v>2.15</v>
      </c>
      <c r="F610">
        <v>0.73</v>
      </c>
      <c r="G610">
        <v>4</v>
      </c>
      <c r="H610">
        <v>0</v>
      </c>
      <c r="I610">
        <v>2.88</v>
      </c>
      <c r="J610">
        <v>4</v>
      </c>
      <c r="K610">
        <v>1</v>
      </c>
      <c r="L610" t="s">
        <v>35</v>
      </c>
      <c r="M610">
        <v>1.42</v>
      </c>
      <c r="N610">
        <v>4</v>
      </c>
      <c r="O610">
        <v>1.85</v>
      </c>
      <c r="P610" t="s">
        <v>54</v>
      </c>
      <c r="Q610">
        <f>IF(Team_Level[[#This Row],[Result]]="","",COUNTIFS(Team_Level[Team],Team_Level[[#This Row],[Team]],Team_Level[Date],"&gt;="&amp;Team_Level[[#This Row],[Date]],Team_Level[Result],"&lt;&gt;"))</f>
        <v>2</v>
      </c>
      <c r="R610" t="str">
        <f>Team_Level[[#This Row],[Team]]&amp;"-"&amp;Team_Level[[#This Row],[Recency Rank]]</f>
        <v>Stockport County-2</v>
      </c>
      <c r="S610">
        <f>IF(Team_Level[[#This Row],[Result]]="","",COUNTIFS(Team_Level[Team],Team_Level[[#This Row],[Team]],Team_Level[Date],"&lt;="&amp;Team_Level[[#This Row],[Date]],Team_Level[Result],"&lt;&gt;"))</f>
        <v>5</v>
      </c>
      <c r="T610" t="str">
        <f>Team_Level[[#This Row],[Team]]&amp;"-"&amp;Team_Level[[#This Row],[Chrono Rank]]</f>
        <v>Stockport County-5</v>
      </c>
    </row>
    <row r="611" spans="1:20" x14ac:dyDescent="0.25">
      <c r="A611" t="s">
        <v>136</v>
      </c>
      <c r="B611" s="6">
        <v>46270</v>
      </c>
      <c r="C611" t="s">
        <v>33</v>
      </c>
      <c r="D611" t="s">
        <v>22</v>
      </c>
      <c r="E611">
        <v>1.65</v>
      </c>
      <c r="F611">
        <v>0.89</v>
      </c>
      <c r="G611">
        <v>3</v>
      </c>
      <c r="H611">
        <v>3</v>
      </c>
      <c r="I611">
        <v>2.54</v>
      </c>
      <c r="J611">
        <v>6</v>
      </c>
      <c r="K611">
        <v>1</v>
      </c>
      <c r="L611" t="s">
        <v>35</v>
      </c>
      <c r="M611">
        <v>0.7599999999999999</v>
      </c>
      <c r="N611">
        <v>0</v>
      </c>
      <c r="O611">
        <v>1.35</v>
      </c>
      <c r="P611" t="s">
        <v>53</v>
      </c>
      <c r="Q611">
        <f>IF(Team_Level[[#This Row],[Result]]="","",COUNTIFS(Team_Level[Team],Team_Level[[#This Row],[Team]],Team_Level[Date],"&gt;="&amp;Team_Level[[#This Row],[Date]],Team_Level[Result],"&lt;&gt;"))</f>
        <v>2</v>
      </c>
      <c r="R611" t="str">
        <f>Team_Level[[#This Row],[Team]]&amp;"-"&amp;Team_Level[[#This Row],[Recency Rank]]</f>
        <v>Milton Keynes Dons-2</v>
      </c>
      <c r="S611">
        <f>IF(Team_Level[[#This Row],[Result]]="","",COUNTIFS(Team_Level[Team],Team_Level[[#This Row],[Team]],Team_Level[Date],"&lt;="&amp;Team_Level[[#This Row],[Date]],Team_Level[Result],"&lt;&gt;"))</f>
        <v>5</v>
      </c>
      <c r="T611" t="str">
        <f>Team_Level[[#This Row],[Team]]&amp;"-"&amp;Team_Level[[#This Row],[Chrono Rank]]</f>
        <v>Milton Keynes Dons-5</v>
      </c>
    </row>
    <row r="612" spans="1:20" x14ac:dyDescent="0.25">
      <c r="A612" t="s">
        <v>137</v>
      </c>
      <c r="B612" s="6">
        <v>46272</v>
      </c>
      <c r="C612" t="s">
        <v>0</v>
      </c>
      <c r="D612" t="s">
        <v>4</v>
      </c>
      <c r="E612">
        <v>1.22</v>
      </c>
      <c r="F612">
        <v>0.55000000000000004</v>
      </c>
      <c r="G612">
        <v>2</v>
      </c>
      <c r="H612">
        <v>0</v>
      </c>
      <c r="I612">
        <v>1.77</v>
      </c>
      <c r="J612">
        <v>2</v>
      </c>
      <c r="K612">
        <v>1</v>
      </c>
      <c r="L612" t="s">
        <v>35</v>
      </c>
      <c r="M612">
        <v>0.66999999999999993</v>
      </c>
      <c r="N612">
        <v>2</v>
      </c>
      <c r="O612">
        <v>0.78</v>
      </c>
      <c r="P612" t="s">
        <v>54</v>
      </c>
      <c r="Q612">
        <f>IF(Team_Level[[#This Row],[Result]]="","",COUNTIFS(Team_Level[Team],Team_Level[[#This Row],[Team]],Team_Level[Date],"&gt;="&amp;Team_Level[[#This Row],[Date]],Team_Level[Result],"&lt;&gt;"))</f>
        <v>2</v>
      </c>
      <c r="R612" t="str">
        <f>Team_Level[[#This Row],[Team]]&amp;"-"&amp;Team_Level[[#This Row],[Recency Rank]]</f>
        <v>AFC Wimbledon-2</v>
      </c>
      <c r="S612">
        <f>IF(Team_Level[[#This Row],[Result]]="","",COUNTIFS(Team_Level[Team],Team_Level[[#This Row],[Team]],Team_Level[Date],"&lt;="&amp;Team_Level[[#This Row],[Date]],Team_Level[Result],"&lt;&gt;"))</f>
        <v>5</v>
      </c>
      <c r="T612" t="str">
        <f>Team_Level[[#This Row],[Team]]&amp;"-"&amp;Team_Level[[#This Row],[Chrono Rank]]</f>
        <v>AFC Wimbledon-5</v>
      </c>
    </row>
    <row r="613" spans="1:20" x14ac:dyDescent="0.25">
      <c r="A613" t="s">
        <v>138</v>
      </c>
      <c r="B613" s="6">
        <v>46273</v>
      </c>
      <c r="C613" t="s">
        <v>17</v>
      </c>
      <c r="D613" t="s">
        <v>14</v>
      </c>
      <c r="K613">
        <v>1</v>
      </c>
      <c r="L613" t="s">
        <v>35</v>
      </c>
      <c r="Q613" t="str">
        <f>IF(Team_Level[[#This Row],[Result]]="","",COUNTIFS(Team_Level[Team],Team_Level[[#This Row],[Team]],Team_Level[Date],"&gt;="&amp;Team_Level[[#This Row],[Date]],Team_Level[Result],"&lt;&gt;"))</f>
        <v/>
      </c>
      <c r="R613" t="str">
        <f>Team_Level[[#This Row],[Team]]&amp;"-"&amp;Team_Level[[#This Row],[Recency Rank]]</f>
        <v>Reading-</v>
      </c>
      <c r="S613" t="str">
        <f>IF(Team_Level[[#This Row],[Result]]="","",COUNTIFS(Team_Level[Team],Team_Level[[#This Row],[Team]],Team_Level[Date],"&lt;="&amp;Team_Level[[#This Row],[Date]],Team_Level[Result],"&lt;&gt;"))</f>
        <v/>
      </c>
      <c r="T613" t="str">
        <f>Team_Level[[#This Row],[Team]]&amp;"-"&amp;Team_Level[[#This Row],[Chrono Rank]]</f>
        <v>Reading-</v>
      </c>
    </row>
    <row r="614" spans="1:20" x14ac:dyDescent="0.25">
      <c r="A614" t="s">
        <v>139</v>
      </c>
      <c r="B614" s="6">
        <v>46275</v>
      </c>
      <c r="C614" t="s">
        <v>11</v>
      </c>
      <c r="D614" t="s">
        <v>19</v>
      </c>
      <c r="E614">
        <v>0.89</v>
      </c>
      <c r="F614">
        <v>1.31</v>
      </c>
      <c r="G614">
        <v>1</v>
      </c>
      <c r="H614">
        <v>2</v>
      </c>
      <c r="I614">
        <v>2.2000000000000002</v>
      </c>
      <c r="J614">
        <v>3</v>
      </c>
      <c r="K614">
        <v>1</v>
      </c>
      <c r="L614" t="s">
        <v>35</v>
      </c>
      <c r="M614">
        <v>-0.42000000000000004</v>
      </c>
      <c r="N614">
        <v>-1</v>
      </c>
      <c r="O614">
        <v>0.10999999999999999</v>
      </c>
      <c r="P614" t="s">
        <v>52</v>
      </c>
      <c r="Q614">
        <f>IF(Team_Level[[#This Row],[Result]]="","",COUNTIFS(Team_Level[Team],Team_Level[[#This Row],[Team]],Team_Level[Date],"&gt;="&amp;Team_Level[[#This Row],[Date]],Team_Level[Result],"&lt;&gt;"))</f>
        <v>1</v>
      </c>
      <c r="R614" t="str">
        <f>Team_Level[[#This Row],[Team]]&amp;"-"&amp;Team_Level[[#This Row],[Recency Rank]]</f>
        <v>Luton Town-1</v>
      </c>
      <c r="S614">
        <f>IF(Team_Level[[#This Row],[Result]]="","",COUNTIFS(Team_Level[Team],Team_Level[[#This Row],[Team]],Team_Level[Date],"&lt;="&amp;Team_Level[[#This Row],[Date]],Team_Level[Result],"&lt;&gt;"))</f>
        <v>6</v>
      </c>
      <c r="T614" t="str">
        <f>Team_Level[[#This Row],[Team]]&amp;"-"&amp;Team_Level[[#This Row],[Chrono Rank]]</f>
        <v>Luton Town-6</v>
      </c>
    </row>
    <row r="615" spans="1:20" x14ac:dyDescent="0.25">
      <c r="A615" t="s">
        <v>140</v>
      </c>
      <c r="B615" s="6">
        <v>46277</v>
      </c>
      <c r="C615" t="s">
        <v>7</v>
      </c>
      <c r="D615" t="s">
        <v>0</v>
      </c>
      <c r="E615">
        <v>2.41</v>
      </c>
      <c r="F615">
        <v>0.81</v>
      </c>
      <c r="G615">
        <v>0</v>
      </c>
      <c r="H615">
        <v>1</v>
      </c>
      <c r="I615">
        <v>3.22</v>
      </c>
      <c r="J615">
        <v>1</v>
      </c>
      <c r="K615">
        <v>1</v>
      </c>
      <c r="L615" t="s">
        <v>35</v>
      </c>
      <c r="M615">
        <v>1.6</v>
      </c>
      <c r="N615">
        <v>-1</v>
      </c>
      <c r="O615">
        <v>-2.41</v>
      </c>
      <c r="P615" t="s">
        <v>52</v>
      </c>
      <c r="Q615">
        <f>IF(Team_Level[[#This Row],[Result]]="","",COUNTIFS(Team_Level[Team],Team_Level[[#This Row],[Team]],Team_Level[Date],"&gt;="&amp;Team_Level[[#This Row],[Date]],Team_Level[Result],"&lt;&gt;"))</f>
        <v>1</v>
      </c>
      <c r="R615" t="str">
        <f>Team_Level[[#This Row],[Team]]&amp;"-"&amp;Team_Level[[#This Row],[Recency Rank]]</f>
        <v>Doncaster Rovers-1</v>
      </c>
      <c r="S615">
        <f>IF(Team_Level[[#This Row],[Result]]="","",COUNTIFS(Team_Level[Team],Team_Level[[#This Row],[Team]],Team_Level[Date],"&lt;="&amp;Team_Level[[#This Row],[Date]],Team_Level[Result],"&lt;&gt;"))</f>
        <v>6</v>
      </c>
      <c r="T615" t="str">
        <f>Team_Level[[#This Row],[Team]]&amp;"-"&amp;Team_Level[[#This Row],[Chrono Rank]]</f>
        <v>Doncaster Rovers-6</v>
      </c>
    </row>
    <row r="616" spans="1:20" x14ac:dyDescent="0.25">
      <c r="A616" t="s">
        <v>141</v>
      </c>
      <c r="B616" s="6">
        <v>46277</v>
      </c>
      <c r="C616" t="s">
        <v>4</v>
      </c>
      <c r="D616" t="s">
        <v>2</v>
      </c>
      <c r="E616">
        <v>1.38</v>
      </c>
      <c r="F616">
        <v>1.17</v>
      </c>
      <c r="G616">
        <v>2</v>
      </c>
      <c r="H616">
        <v>2</v>
      </c>
      <c r="I616">
        <v>2.5499999999999998</v>
      </c>
      <c r="J616">
        <v>4</v>
      </c>
      <c r="K616">
        <v>1</v>
      </c>
      <c r="L616" t="s">
        <v>35</v>
      </c>
      <c r="M616">
        <v>0.20999999999999996</v>
      </c>
      <c r="N616">
        <v>0</v>
      </c>
      <c r="O616">
        <v>0.62000000000000011</v>
      </c>
      <c r="P616" t="s">
        <v>53</v>
      </c>
      <c r="Q616">
        <f>IF(Team_Level[[#This Row],[Result]]="","",COUNTIFS(Team_Level[Team],Team_Level[[#This Row],[Team]],Team_Level[Date],"&gt;="&amp;Team_Level[[#This Row],[Date]],Team_Level[Result],"&lt;&gt;"))</f>
        <v>1</v>
      </c>
      <c r="R616" t="str">
        <f>Team_Level[[#This Row],[Team]]&amp;"-"&amp;Team_Level[[#This Row],[Recency Rank]]</f>
        <v>Bromley-1</v>
      </c>
      <c r="S616">
        <f>IF(Team_Level[[#This Row],[Result]]="","",COUNTIFS(Team_Level[Team],Team_Level[[#This Row],[Team]],Team_Level[Date],"&lt;="&amp;Team_Level[[#This Row],[Date]],Team_Level[Result],"&lt;&gt;"))</f>
        <v>6</v>
      </c>
      <c r="T616" t="str">
        <f>Team_Level[[#This Row],[Team]]&amp;"-"&amp;Team_Level[[#This Row],[Chrono Rank]]</f>
        <v>Bromley-6</v>
      </c>
    </row>
    <row r="617" spans="1:20" x14ac:dyDescent="0.25">
      <c r="A617" t="s">
        <v>142</v>
      </c>
      <c r="B617" s="6">
        <v>46277</v>
      </c>
      <c r="C617" t="s">
        <v>17</v>
      </c>
      <c r="D617" t="s">
        <v>6</v>
      </c>
      <c r="E617">
        <v>1.99</v>
      </c>
      <c r="F617">
        <v>0.94</v>
      </c>
      <c r="G617">
        <v>1</v>
      </c>
      <c r="H617">
        <v>2</v>
      </c>
      <c r="I617">
        <v>2.9299999999999997</v>
      </c>
      <c r="J617">
        <v>3</v>
      </c>
      <c r="K617">
        <v>1</v>
      </c>
      <c r="L617" t="s">
        <v>35</v>
      </c>
      <c r="M617">
        <v>1.05</v>
      </c>
      <c r="N617">
        <v>-1</v>
      </c>
      <c r="O617">
        <v>-0.99</v>
      </c>
      <c r="P617" t="s">
        <v>52</v>
      </c>
      <c r="Q617">
        <f>IF(Team_Level[[#This Row],[Result]]="","",COUNTIFS(Team_Level[Team],Team_Level[[#This Row],[Team]],Team_Level[Date],"&gt;="&amp;Team_Level[[#This Row],[Date]],Team_Level[Result],"&lt;&gt;"))</f>
        <v>1</v>
      </c>
      <c r="R617" t="str">
        <f>Team_Level[[#This Row],[Team]]&amp;"-"&amp;Team_Level[[#This Row],[Recency Rank]]</f>
        <v>Reading-1</v>
      </c>
      <c r="S617">
        <f>IF(Team_Level[[#This Row],[Result]]="","",COUNTIFS(Team_Level[Team],Team_Level[[#This Row],[Team]],Team_Level[Date],"&lt;="&amp;Team_Level[[#This Row],[Date]],Team_Level[Result],"&lt;&gt;"))</f>
        <v>5</v>
      </c>
      <c r="T617" t="str">
        <f>Team_Level[[#This Row],[Team]]&amp;"-"&amp;Team_Level[[#This Row],[Chrono Rank]]</f>
        <v>Reading-5</v>
      </c>
    </row>
    <row r="618" spans="1:20" x14ac:dyDescent="0.25">
      <c r="A618" t="s">
        <v>143</v>
      </c>
      <c r="B618" s="6">
        <v>46277</v>
      </c>
      <c r="C618" t="s">
        <v>22</v>
      </c>
      <c r="D618" t="s">
        <v>10</v>
      </c>
      <c r="E618">
        <v>1.1599999999999999</v>
      </c>
      <c r="F618">
        <v>0.88</v>
      </c>
      <c r="G618">
        <v>3</v>
      </c>
      <c r="H618">
        <v>2</v>
      </c>
      <c r="I618">
        <v>2.04</v>
      </c>
      <c r="J618">
        <v>5</v>
      </c>
      <c r="K618">
        <v>1</v>
      </c>
      <c r="L618" t="s">
        <v>35</v>
      </c>
      <c r="M618">
        <v>0.27999999999999992</v>
      </c>
      <c r="N618">
        <v>1</v>
      </c>
      <c r="O618">
        <v>1.84</v>
      </c>
      <c r="P618" t="s">
        <v>54</v>
      </c>
      <c r="Q618">
        <f>IF(Team_Level[[#This Row],[Result]]="","",COUNTIFS(Team_Level[Team],Team_Level[[#This Row],[Team]],Team_Level[Date],"&gt;="&amp;Team_Level[[#This Row],[Date]],Team_Level[Result],"&lt;&gt;"))</f>
        <v>1</v>
      </c>
      <c r="R618" t="str">
        <f>Team_Level[[#This Row],[Team]]&amp;"-"&amp;Team_Level[[#This Row],[Recency Rank]]</f>
        <v>Wycombe Wanderers-1</v>
      </c>
      <c r="S618">
        <f>IF(Team_Level[[#This Row],[Result]]="","",COUNTIFS(Team_Level[Team],Team_Level[[#This Row],[Team]],Team_Level[Date],"&lt;="&amp;Team_Level[[#This Row],[Date]],Team_Level[Result],"&lt;&gt;"))</f>
        <v>6</v>
      </c>
      <c r="T618" t="str">
        <f>Team_Level[[#This Row],[Team]]&amp;"-"&amp;Team_Level[[#This Row],[Chrono Rank]]</f>
        <v>Wycombe Wanderers-6</v>
      </c>
    </row>
    <row r="619" spans="1:20" x14ac:dyDescent="0.25">
      <c r="A619" t="s">
        <v>144</v>
      </c>
      <c r="B619" s="6">
        <v>46277</v>
      </c>
      <c r="C619" t="s">
        <v>8</v>
      </c>
      <c r="D619" t="s">
        <v>12</v>
      </c>
      <c r="E619">
        <v>1.36</v>
      </c>
      <c r="F619">
        <v>0.86</v>
      </c>
      <c r="G619">
        <v>0</v>
      </c>
      <c r="H619">
        <v>0</v>
      </c>
      <c r="I619">
        <v>2.2200000000000002</v>
      </c>
      <c r="J619">
        <v>0</v>
      </c>
      <c r="K619">
        <v>1</v>
      </c>
      <c r="L619" t="s">
        <v>35</v>
      </c>
      <c r="M619">
        <v>0.50000000000000011</v>
      </c>
      <c r="N619">
        <v>0</v>
      </c>
      <c r="O619">
        <v>-1.36</v>
      </c>
      <c r="P619" t="s">
        <v>53</v>
      </c>
      <c r="Q619">
        <f>IF(Team_Level[[#This Row],[Result]]="","",COUNTIFS(Team_Level[Team],Team_Level[[#This Row],[Team]],Team_Level[Date],"&gt;="&amp;Team_Level[[#This Row],[Date]],Team_Level[Result],"&lt;&gt;"))</f>
        <v>1</v>
      </c>
      <c r="R619" t="str">
        <f>Team_Level[[#This Row],[Team]]&amp;"-"&amp;Team_Level[[#This Row],[Recency Rank]]</f>
        <v>Huddersfield Town-1</v>
      </c>
      <c r="S619">
        <f>IF(Team_Level[[#This Row],[Result]]="","",COUNTIFS(Team_Level[Team],Team_Level[[#This Row],[Team]],Team_Level[Date],"&lt;="&amp;Team_Level[[#This Row],[Date]],Team_Level[Result],"&lt;&gt;"))</f>
        <v>6</v>
      </c>
      <c r="T619" t="str">
        <f>Team_Level[[#This Row],[Team]]&amp;"-"&amp;Team_Level[[#This Row],[Chrono Rank]]</f>
        <v>Huddersfield Town-6</v>
      </c>
    </row>
    <row r="620" spans="1:20" x14ac:dyDescent="0.25">
      <c r="A620" t="s">
        <v>145</v>
      </c>
      <c r="B620" s="6">
        <v>46277</v>
      </c>
      <c r="C620" t="s">
        <v>15</v>
      </c>
      <c r="D620" t="s">
        <v>33</v>
      </c>
      <c r="E620">
        <v>1.21</v>
      </c>
      <c r="F620">
        <v>1.24</v>
      </c>
      <c r="G620">
        <v>1</v>
      </c>
      <c r="H620">
        <v>1</v>
      </c>
      <c r="I620">
        <v>2.4500000000000002</v>
      </c>
      <c r="J620">
        <v>2</v>
      </c>
      <c r="K620">
        <v>1</v>
      </c>
      <c r="L620" t="s">
        <v>35</v>
      </c>
      <c r="M620">
        <v>-3.0000000000000027E-2</v>
      </c>
      <c r="N620">
        <v>0</v>
      </c>
      <c r="O620">
        <v>-0.20999999999999996</v>
      </c>
      <c r="P620" t="s">
        <v>53</v>
      </c>
      <c r="Q620">
        <f>IF(Team_Level[[#This Row],[Result]]="","",COUNTIFS(Team_Level[Team],Team_Level[[#This Row],[Team]],Team_Level[Date],"&gt;="&amp;Team_Level[[#This Row],[Date]],Team_Level[Result],"&lt;&gt;"))</f>
        <v>1</v>
      </c>
      <c r="R620" t="str">
        <f>Team_Level[[#This Row],[Team]]&amp;"-"&amp;Team_Level[[#This Row],[Recency Rank]]</f>
        <v>Peterborough United-1</v>
      </c>
      <c r="S620">
        <f>IF(Team_Level[[#This Row],[Result]]="","",COUNTIFS(Team_Level[Team],Team_Level[[#This Row],[Team]],Team_Level[Date],"&lt;="&amp;Team_Level[[#This Row],[Date]],Team_Level[Result],"&lt;&gt;"))</f>
        <v>6</v>
      </c>
      <c r="T620" t="str">
        <f>Team_Level[[#This Row],[Team]]&amp;"-"&amp;Team_Level[[#This Row],[Chrono Rank]]</f>
        <v>Peterborough United-6</v>
      </c>
    </row>
    <row r="621" spans="1:20" x14ac:dyDescent="0.25">
      <c r="A621" t="s">
        <v>146</v>
      </c>
      <c r="B621" s="6">
        <v>46277</v>
      </c>
      <c r="C621" t="s">
        <v>3</v>
      </c>
      <c r="D621" t="s">
        <v>13</v>
      </c>
      <c r="E621">
        <v>0.5</v>
      </c>
      <c r="F621">
        <v>0.49</v>
      </c>
      <c r="G621">
        <v>1</v>
      </c>
      <c r="H621">
        <v>0</v>
      </c>
      <c r="I621">
        <v>0.99</v>
      </c>
      <c r="J621">
        <v>1</v>
      </c>
      <c r="K621">
        <v>1</v>
      </c>
      <c r="L621" t="s">
        <v>35</v>
      </c>
      <c r="M621">
        <v>1.0000000000000009E-2</v>
      </c>
      <c r="N621">
        <v>1</v>
      </c>
      <c r="O621">
        <v>0.5</v>
      </c>
      <c r="P621" t="s">
        <v>54</v>
      </c>
      <c r="Q621">
        <f>IF(Team_Level[[#This Row],[Result]]="","",COUNTIFS(Team_Level[Team],Team_Level[[#This Row],[Team]],Team_Level[Date],"&gt;="&amp;Team_Level[[#This Row],[Date]],Team_Level[Result],"&lt;&gt;"))</f>
        <v>1</v>
      </c>
      <c r="R621" t="str">
        <f>Team_Level[[#This Row],[Team]]&amp;"-"&amp;Team_Level[[#This Row],[Recency Rank]]</f>
        <v>Bradford City-1</v>
      </c>
      <c r="S621">
        <f>IF(Team_Level[[#This Row],[Result]]="","",COUNTIFS(Team_Level[Team],Team_Level[[#This Row],[Team]],Team_Level[Date],"&lt;="&amp;Team_Level[[#This Row],[Date]],Team_Level[Result],"&lt;&gt;"))</f>
        <v>6</v>
      </c>
      <c r="T621" t="str">
        <f>Team_Level[[#This Row],[Team]]&amp;"-"&amp;Team_Level[[#This Row],[Chrono Rank]]</f>
        <v>Bradford City-6</v>
      </c>
    </row>
    <row r="622" spans="1:20" x14ac:dyDescent="0.25">
      <c r="A622" t="s">
        <v>147</v>
      </c>
      <c r="B622" s="6">
        <v>46277</v>
      </c>
      <c r="C622" t="s">
        <v>5</v>
      </c>
      <c r="D622" t="s">
        <v>14</v>
      </c>
      <c r="E622">
        <v>0.47</v>
      </c>
      <c r="F622">
        <v>1.21</v>
      </c>
      <c r="G622">
        <v>0</v>
      </c>
      <c r="H622">
        <v>3</v>
      </c>
      <c r="I622">
        <v>1.68</v>
      </c>
      <c r="J622">
        <v>3</v>
      </c>
      <c r="K622">
        <v>1</v>
      </c>
      <c r="L622" t="s">
        <v>35</v>
      </c>
      <c r="M622">
        <v>-0.74</v>
      </c>
      <c r="N622">
        <v>-3</v>
      </c>
      <c r="O622">
        <v>-0.47</v>
      </c>
      <c r="P622" t="s">
        <v>52</v>
      </c>
      <c r="Q622">
        <f>IF(Team_Level[[#This Row],[Result]]="","",COUNTIFS(Team_Level[Team],Team_Level[[#This Row],[Team]],Team_Level[Date],"&gt;="&amp;Team_Level[[#This Row],[Date]],Team_Level[Result],"&lt;&gt;"))</f>
        <v>1</v>
      </c>
      <c r="R622" t="str">
        <f>Team_Level[[#This Row],[Team]]&amp;"-"&amp;Team_Level[[#This Row],[Recency Rank]]</f>
        <v>Burton Albion-1</v>
      </c>
      <c r="S622">
        <f>IF(Team_Level[[#This Row],[Result]]="","",COUNTIFS(Team_Level[Team],Team_Level[[#This Row],[Team]],Team_Level[Date],"&lt;="&amp;Team_Level[[#This Row],[Date]],Team_Level[Result],"&lt;&gt;"))</f>
        <v>6</v>
      </c>
      <c r="T622" t="str">
        <f>Team_Level[[#This Row],[Team]]&amp;"-"&amp;Team_Level[[#This Row],[Chrono Rank]]</f>
        <v>Burton Albion-6</v>
      </c>
    </row>
    <row r="623" spans="1:20" x14ac:dyDescent="0.25">
      <c r="A623" t="s">
        <v>148</v>
      </c>
      <c r="B623" s="6">
        <v>46277</v>
      </c>
      <c r="C623" t="s">
        <v>1</v>
      </c>
      <c r="D623" t="s">
        <v>16</v>
      </c>
      <c r="E623">
        <v>0.77</v>
      </c>
      <c r="F623">
        <v>0.99</v>
      </c>
      <c r="G623">
        <v>0</v>
      </c>
      <c r="H623">
        <v>3</v>
      </c>
      <c r="I623">
        <v>1.76</v>
      </c>
      <c r="J623">
        <v>3</v>
      </c>
      <c r="K623">
        <v>1</v>
      </c>
      <c r="L623" t="s">
        <v>35</v>
      </c>
      <c r="M623">
        <v>-0.21999999999999997</v>
      </c>
      <c r="N623">
        <v>-3</v>
      </c>
      <c r="O623">
        <v>-0.77</v>
      </c>
      <c r="P623" t="s">
        <v>52</v>
      </c>
      <c r="Q623">
        <f>IF(Team_Level[[#This Row],[Result]]="","",COUNTIFS(Team_Level[Team],Team_Level[[#This Row],[Team]],Team_Level[Date],"&gt;="&amp;Team_Level[[#This Row],[Date]],Team_Level[Result],"&lt;&gt;"))</f>
        <v>1</v>
      </c>
      <c r="R623" t="str">
        <f>Team_Level[[#This Row],[Team]]&amp;"-"&amp;Team_Level[[#This Row],[Recency Rank]]</f>
        <v>Barnsley-1</v>
      </c>
      <c r="S623">
        <f>IF(Team_Level[[#This Row],[Result]]="","",COUNTIFS(Team_Level[Team],Team_Level[[#This Row],[Team]],Team_Level[Date],"&lt;="&amp;Team_Level[[#This Row],[Date]],Team_Level[Result],"&lt;&gt;"))</f>
        <v>6</v>
      </c>
      <c r="T623" t="str">
        <f>Team_Level[[#This Row],[Team]]&amp;"-"&amp;Team_Level[[#This Row],[Chrono Rank]]</f>
        <v>Barnsley-6</v>
      </c>
    </row>
    <row r="624" spans="1:20" x14ac:dyDescent="0.25">
      <c r="A624" t="s">
        <v>149</v>
      </c>
      <c r="B624" s="6">
        <v>46277</v>
      </c>
      <c r="C624" t="s">
        <v>21</v>
      </c>
      <c r="D624" t="s">
        <v>18</v>
      </c>
      <c r="E624">
        <v>1.59</v>
      </c>
      <c r="F624">
        <v>0.82</v>
      </c>
      <c r="G624">
        <v>0</v>
      </c>
      <c r="H624">
        <v>0</v>
      </c>
      <c r="I624">
        <v>2.41</v>
      </c>
      <c r="J624">
        <v>0</v>
      </c>
      <c r="K624">
        <v>1</v>
      </c>
      <c r="L624" t="s">
        <v>35</v>
      </c>
      <c r="M624">
        <v>0.77000000000000013</v>
      </c>
      <c r="N624">
        <v>0</v>
      </c>
      <c r="O624">
        <v>-1.59</v>
      </c>
      <c r="P624" t="s">
        <v>53</v>
      </c>
      <c r="Q624">
        <f>IF(Team_Level[[#This Row],[Result]]="","",COUNTIFS(Team_Level[Team],Team_Level[[#This Row],[Team]],Team_Level[Date],"&gt;="&amp;Team_Level[[#This Row],[Date]],Team_Level[Result],"&lt;&gt;"))</f>
        <v>1</v>
      </c>
      <c r="R624" t="str">
        <f>Team_Level[[#This Row],[Team]]&amp;"-"&amp;Team_Level[[#This Row],[Recency Rank]]</f>
        <v>Wigan Athletic-1</v>
      </c>
      <c r="S624">
        <f>IF(Team_Level[[#This Row],[Result]]="","",COUNTIFS(Team_Level[Team],Team_Level[[#This Row],[Team]],Team_Level[Date],"&lt;="&amp;Team_Level[[#This Row],[Date]],Team_Level[Result],"&lt;&gt;"))</f>
        <v>6</v>
      </c>
      <c r="T624" t="str">
        <f>Team_Level[[#This Row],[Team]]&amp;"-"&amp;Team_Level[[#This Row],[Chrono Rank]]</f>
        <v>Wigan Athletic-6</v>
      </c>
    </row>
    <row r="625" spans="1:20" x14ac:dyDescent="0.25">
      <c r="A625" t="s">
        <v>150</v>
      </c>
      <c r="B625" s="6">
        <v>46277</v>
      </c>
      <c r="C625" t="s">
        <v>9</v>
      </c>
      <c r="D625" t="s">
        <v>20</v>
      </c>
      <c r="E625">
        <v>1.21</v>
      </c>
      <c r="F625">
        <v>2.29</v>
      </c>
      <c r="G625">
        <v>4</v>
      </c>
      <c r="H625">
        <v>3</v>
      </c>
      <c r="I625">
        <v>3.5</v>
      </c>
      <c r="J625">
        <v>7</v>
      </c>
      <c r="K625">
        <v>1</v>
      </c>
      <c r="L625" t="s">
        <v>35</v>
      </c>
      <c r="M625">
        <v>-1.08</v>
      </c>
      <c r="N625">
        <v>1</v>
      </c>
      <c r="O625">
        <v>2.79</v>
      </c>
      <c r="P625" t="s">
        <v>54</v>
      </c>
      <c r="Q625">
        <f>IF(Team_Level[[#This Row],[Result]]="","",COUNTIFS(Team_Level[Team],Team_Level[[#This Row],[Team]],Team_Level[Date],"&gt;="&amp;Team_Level[[#This Row],[Date]],Team_Level[Result],"&lt;&gt;"))</f>
        <v>1</v>
      </c>
      <c r="R625" t="str">
        <f>Team_Level[[#This Row],[Team]]&amp;"-"&amp;Team_Level[[#This Row],[Recency Rank]]</f>
        <v>Leicester City-1</v>
      </c>
      <c r="S625">
        <f>IF(Team_Level[[#This Row],[Result]]="","",COUNTIFS(Team_Level[Team],Team_Level[[#This Row],[Team]],Team_Level[Date],"&lt;="&amp;Team_Level[[#This Row],[Date]],Team_Level[Result],"&lt;&gt;"))</f>
        <v>6</v>
      </c>
      <c r="T625" t="str">
        <f>Team_Level[[#This Row],[Team]]&amp;"-"&amp;Team_Level[[#This Row],[Chrono Rank]]</f>
        <v>Leicester City-6</v>
      </c>
    </row>
    <row r="626" spans="1:20" x14ac:dyDescent="0.25">
      <c r="A626" t="s">
        <v>151</v>
      </c>
      <c r="B626" s="6">
        <v>46282</v>
      </c>
      <c r="C626" t="s">
        <v>33</v>
      </c>
      <c r="D626" t="s">
        <v>0</v>
      </c>
      <c r="K626">
        <v>1</v>
      </c>
      <c r="L626" t="s">
        <v>35</v>
      </c>
      <c r="Q626" t="str">
        <f>IF(Team_Level[[#This Row],[Result]]="","",COUNTIFS(Team_Level[Team],Team_Level[[#This Row],[Team]],Team_Level[Date],"&gt;="&amp;Team_Level[[#This Row],[Date]],Team_Level[Result],"&lt;&gt;"))</f>
        <v/>
      </c>
      <c r="R626" t="str">
        <f>Team_Level[[#This Row],[Team]]&amp;"-"&amp;Team_Level[[#This Row],[Recency Rank]]</f>
        <v>Milton Keynes Dons-</v>
      </c>
      <c r="S626" t="str">
        <f>IF(Team_Level[[#This Row],[Result]]="","",COUNTIFS(Team_Level[Team],Team_Level[[#This Row],[Team]],Team_Level[Date],"&lt;="&amp;Team_Level[[#This Row],[Date]],Team_Level[Result],"&lt;&gt;"))</f>
        <v/>
      </c>
      <c r="T626" t="str">
        <f>Team_Level[[#This Row],[Team]]&amp;"-"&amp;Team_Level[[#This Row],[Chrono Rank]]</f>
        <v>Milton Keynes Dons-</v>
      </c>
    </row>
    <row r="627" spans="1:20" x14ac:dyDescent="0.25">
      <c r="A627" t="s">
        <v>152</v>
      </c>
      <c r="B627" s="6">
        <v>46284</v>
      </c>
      <c r="C627" t="s">
        <v>9</v>
      </c>
      <c r="D627" t="s">
        <v>1</v>
      </c>
      <c r="K627">
        <v>1</v>
      </c>
      <c r="L627" t="s">
        <v>35</v>
      </c>
      <c r="Q627" t="str">
        <f>IF(Team_Level[[#This Row],[Result]]="","",COUNTIFS(Team_Level[Team],Team_Level[[#This Row],[Team]],Team_Level[Date],"&gt;="&amp;Team_Level[[#This Row],[Date]],Team_Level[Result],"&lt;&gt;"))</f>
        <v/>
      </c>
      <c r="R627" t="str">
        <f>Team_Level[[#This Row],[Team]]&amp;"-"&amp;Team_Level[[#This Row],[Recency Rank]]</f>
        <v>Leicester City-</v>
      </c>
      <c r="S627" t="str">
        <f>IF(Team_Level[[#This Row],[Result]]="","",COUNTIFS(Team_Level[Team],Team_Level[[#This Row],[Team]],Team_Level[Date],"&lt;="&amp;Team_Level[[#This Row],[Date]],Team_Level[Result],"&lt;&gt;"))</f>
        <v/>
      </c>
      <c r="T627" t="str">
        <f>Team_Level[[#This Row],[Team]]&amp;"-"&amp;Team_Level[[#This Row],[Chrono Rank]]</f>
        <v>Leicester City-</v>
      </c>
    </row>
    <row r="628" spans="1:20" x14ac:dyDescent="0.25">
      <c r="A628" t="s">
        <v>153</v>
      </c>
      <c r="B628" s="6">
        <v>46284</v>
      </c>
      <c r="C628" t="s">
        <v>16</v>
      </c>
      <c r="D628" t="s">
        <v>2</v>
      </c>
      <c r="K628">
        <v>1</v>
      </c>
      <c r="L628" t="s">
        <v>35</v>
      </c>
      <c r="Q628" t="str">
        <f>IF(Team_Level[[#This Row],[Result]]="","",COUNTIFS(Team_Level[Team],Team_Level[[#This Row],[Team]],Team_Level[Date],"&gt;="&amp;Team_Level[[#This Row],[Date]],Team_Level[Result],"&lt;&gt;"))</f>
        <v/>
      </c>
      <c r="R628" t="str">
        <f>Team_Level[[#This Row],[Team]]&amp;"-"&amp;Team_Level[[#This Row],[Recency Rank]]</f>
        <v>Plymouth Argyle-</v>
      </c>
      <c r="S628" t="str">
        <f>IF(Team_Level[[#This Row],[Result]]="","",COUNTIFS(Team_Level[Team],Team_Level[[#This Row],[Team]],Team_Level[Date],"&lt;="&amp;Team_Level[[#This Row],[Date]],Team_Level[Result],"&lt;&gt;"))</f>
        <v/>
      </c>
      <c r="T628" t="str">
        <f>Team_Level[[#This Row],[Team]]&amp;"-"&amp;Team_Level[[#This Row],[Chrono Rank]]</f>
        <v>Plymouth Argyle-</v>
      </c>
    </row>
    <row r="629" spans="1:20" x14ac:dyDescent="0.25">
      <c r="A629" t="s">
        <v>154</v>
      </c>
      <c r="B629" s="6">
        <v>46284</v>
      </c>
      <c r="C629" t="s">
        <v>8</v>
      </c>
      <c r="D629" t="s">
        <v>4</v>
      </c>
      <c r="K629">
        <v>1</v>
      </c>
      <c r="L629" t="s">
        <v>35</v>
      </c>
      <c r="Q629" t="str">
        <f>IF(Team_Level[[#This Row],[Result]]="","",COUNTIFS(Team_Level[Team],Team_Level[[#This Row],[Team]],Team_Level[Date],"&gt;="&amp;Team_Level[[#This Row],[Date]],Team_Level[Result],"&lt;&gt;"))</f>
        <v/>
      </c>
      <c r="R629" t="str">
        <f>Team_Level[[#This Row],[Team]]&amp;"-"&amp;Team_Level[[#This Row],[Recency Rank]]</f>
        <v>Huddersfield Town-</v>
      </c>
      <c r="S629" t="str">
        <f>IF(Team_Level[[#This Row],[Result]]="","",COUNTIFS(Team_Level[Team],Team_Level[[#This Row],[Team]],Team_Level[Date],"&lt;="&amp;Team_Level[[#This Row],[Date]],Team_Level[Result],"&lt;&gt;"))</f>
        <v/>
      </c>
      <c r="T629" t="str">
        <f>Team_Level[[#This Row],[Team]]&amp;"-"&amp;Team_Level[[#This Row],[Chrono Rank]]</f>
        <v>Huddersfield Town-</v>
      </c>
    </row>
    <row r="630" spans="1:20" x14ac:dyDescent="0.25">
      <c r="A630" t="s">
        <v>155</v>
      </c>
      <c r="B630" s="6">
        <v>46284</v>
      </c>
      <c r="C630" t="s">
        <v>12</v>
      </c>
      <c r="D630" t="s">
        <v>5</v>
      </c>
      <c r="K630">
        <v>1</v>
      </c>
      <c r="L630" t="s">
        <v>35</v>
      </c>
      <c r="Q630" t="str">
        <f>IF(Team_Level[[#This Row],[Result]]="","",COUNTIFS(Team_Level[Team],Team_Level[[#This Row],[Team]],Team_Level[Date],"&gt;="&amp;Team_Level[[#This Row],[Date]],Team_Level[Result],"&lt;&gt;"))</f>
        <v/>
      </c>
      <c r="R630" t="str">
        <f>Team_Level[[#This Row],[Team]]&amp;"-"&amp;Team_Level[[#This Row],[Recency Rank]]</f>
        <v>Mansfield Town-</v>
      </c>
      <c r="S630" t="str">
        <f>IF(Team_Level[[#This Row],[Result]]="","",COUNTIFS(Team_Level[Team],Team_Level[[#This Row],[Team]],Team_Level[Date],"&lt;="&amp;Team_Level[[#This Row],[Date]],Team_Level[Result],"&lt;&gt;"))</f>
        <v/>
      </c>
      <c r="T630" t="str">
        <f>Team_Level[[#This Row],[Team]]&amp;"-"&amp;Team_Level[[#This Row],[Chrono Rank]]</f>
        <v>Mansfield Town-</v>
      </c>
    </row>
    <row r="631" spans="1:20" x14ac:dyDescent="0.25">
      <c r="A631" t="s">
        <v>156</v>
      </c>
      <c r="B631" s="6">
        <v>46284</v>
      </c>
      <c r="C631" t="s">
        <v>19</v>
      </c>
      <c r="D631" t="s">
        <v>10</v>
      </c>
      <c r="K631">
        <v>1</v>
      </c>
      <c r="L631" t="s">
        <v>35</v>
      </c>
      <c r="Q631" t="str">
        <f>IF(Team_Level[[#This Row],[Result]]="","",COUNTIFS(Team_Level[Team],Team_Level[[#This Row],[Team]],Team_Level[Date],"&gt;="&amp;Team_Level[[#This Row],[Date]],Team_Level[Result],"&lt;&gt;"))</f>
        <v/>
      </c>
      <c r="R631" t="str">
        <f>Team_Level[[#This Row],[Team]]&amp;"-"&amp;Team_Level[[#This Row],[Recency Rank]]</f>
        <v>Stevenage-</v>
      </c>
      <c r="S631" t="str">
        <f>IF(Team_Level[[#This Row],[Result]]="","",COUNTIFS(Team_Level[Team],Team_Level[[#This Row],[Team]],Team_Level[Date],"&lt;="&amp;Team_Level[[#This Row],[Date]],Team_Level[Result],"&lt;&gt;"))</f>
        <v/>
      </c>
      <c r="T631" t="str">
        <f>Team_Level[[#This Row],[Team]]&amp;"-"&amp;Team_Level[[#This Row],[Chrono Rank]]</f>
        <v>Stevenage-</v>
      </c>
    </row>
    <row r="632" spans="1:20" x14ac:dyDescent="0.25">
      <c r="A632" t="s">
        <v>157</v>
      </c>
      <c r="B632" s="6">
        <v>46284</v>
      </c>
      <c r="C632" t="s">
        <v>3</v>
      </c>
      <c r="D632" t="s">
        <v>11</v>
      </c>
      <c r="K632">
        <v>1</v>
      </c>
      <c r="L632" t="s">
        <v>35</v>
      </c>
      <c r="Q632" t="str">
        <f>IF(Team_Level[[#This Row],[Result]]="","",COUNTIFS(Team_Level[Team],Team_Level[[#This Row],[Team]],Team_Level[Date],"&gt;="&amp;Team_Level[[#This Row],[Date]],Team_Level[Result],"&lt;&gt;"))</f>
        <v/>
      </c>
      <c r="R632" t="str">
        <f>Team_Level[[#This Row],[Team]]&amp;"-"&amp;Team_Level[[#This Row],[Recency Rank]]</f>
        <v>Bradford City-</v>
      </c>
      <c r="S632" t="str">
        <f>IF(Team_Level[[#This Row],[Result]]="","",COUNTIFS(Team_Level[Team],Team_Level[[#This Row],[Team]],Team_Level[Date],"&lt;="&amp;Team_Level[[#This Row],[Date]],Team_Level[Result],"&lt;&gt;"))</f>
        <v/>
      </c>
      <c r="T632" t="str">
        <f>Team_Level[[#This Row],[Team]]&amp;"-"&amp;Team_Level[[#This Row],[Chrono Rank]]</f>
        <v>Bradford City-</v>
      </c>
    </row>
    <row r="633" spans="1:20" x14ac:dyDescent="0.25">
      <c r="A633" t="s">
        <v>158</v>
      </c>
      <c r="B633" s="6">
        <v>46284</v>
      </c>
      <c r="C633" t="s">
        <v>6</v>
      </c>
      <c r="D633" t="s">
        <v>14</v>
      </c>
      <c r="K633">
        <v>1</v>
      </c>
      <c r="L633" t="s">
        <v>35</v>
      </c>
      <c r="Q633" t="str">
        <f>IF(Team_Level[[#This Row],[Result]]="","",COUNTIFS(Team_Level[Team],Team_Level[[#This Row],[Team]],Team_Level[Date],"&gt;="&amp;Team_Level[[#This Row],[Date]],Team_Level[Result],"&lt;&gt;"))</f>
        <v/>
      </c>
      <c r="R633" t="str">
        <f>Team_Level[[#This Row],[Team]]&amp;"-"&amp;Team_Level[[#This Row],[Recency Rank]]</f>
        <v>Cambridge United-</v>
      </c>
      <c r="S633" t="str">
        <f>IF(Team_Level[[#This Row],[Result]]="","",COUNTIFS(Team_Level[Team],Team_Level[[#This Row],[Team]],Team_Level[Date],"&lt;="&amp;Team_Level[[#This Row],[Date]],Team_Level[Result],"&lt;&gt;"))</f>
        <v/>
      </c>
      <c r="T633" t="str">
        <f>Team_Level[[#This Row],[Team]]&amp;"-"&amp;Team_Level[[#This Row],[Chrono Rank]]</f>
        <v>Cambridge United-</v>
      </c>
    </row>
    <row r="634" spans="1:20" x14ac:dyDescent="0.25">
      <c r="A634" t="s">
        <v>159</v>
      </c>
      <c r="B634" s="6">
        <v>46284</v>
      </c>
      <c r="C634" t="s">
        <v>7</v>
      </c>
      <c r="D634" t="s">
        <v>15</v>
      </c>
      <c r="K634">
        <v>1</v>
      </c>
      <c r="L634" t="s">
        <v>35</v>
      </c>
      <c r="Q634" t="str">
        <f>IF(Team_Level[[#This Row],[Result]]="","",COUNTIFS(Team_Level[Team],Team_Level[[#This Row],[Team]],Team_Level[Date],"&gt;="&amp;Team_Level[[#This Row],[Date]],Team_Level[Result],"&lt;&gt;"))</f>
        <v/>
      </c>
      <c r="R634" t="str">
        <f>Team_Level[[#This Row],[Team]]&amp;"-"&amp;Team_Level[[#This Row],[Recency Rank]]</f>
        <v>Doncaster Rovers-</v>
      </c>
      <c r="S634" t="str">
        <f>IF(Team_Level[[#This Row],[Result]]="","",COUNTIFS(Team_Level[Team],Team_Level[[#This Row],[Team]],Team_Level[Date],"&lt;="&amp;Team_Level[[#This Row],[Date]],Team_Level[Result],"&lt;&gt;"))</f>
        <v/>
      </c>
      <c r="T634" t="str">
        <f>Team_Level[[#This Row],[Team]]&amp;"-"&amp;Team_Level[[#This Row],[Chrono Rank]]</f>
        <v>Doncaster Rovers-</v>
      </c>
    </row>
    <row r="635" spans="1:20" x14ac:dyDescent="0.25">
      <c r="A635" t="s">
        <v>160</v>
      </c>
      <c r="B635" s="6">
        <v>46284</v>
      </c>
      <c r="C635" t="s">
        <v>13</v>
      </c>
      <c r="D635" t="s">
        <v>17</v>
      </c>
      <c r="K635">
        <v>1</v>
      </c>
      <c r="L635" t="s">
        <v>35</v>
      </c>
      <c r="Q635" t="str">
        <f>IF(Team_Level[[#This Row],[Result]]="","",COUNTIFS(Team_Level[Team],Team_Level[[#This Row],[Team]],Team_Level[Date],"&gt;="&amp;Team_Level[[#This Row],[Date]],Team_Level[Result],"&lt;&gt;"))</f>
        <v/>
      </c>
      <c r="R635" t="str">
        <f>Team_Level[[#This Row],[Team]]&amp;"-"&amp;Team_Level[[#This Row],[Recency Rank]]</f>
        <v>Notts County-</v>
      </c>
      <c r="S635" t="str">
        <f>IF(Team_Level[[#This Row],[Result]]="","",COUNTIFS(Team_Level[Team],Team_Level[[#This Row],[Team]],Team_Level[Date],"&lt;="&amp;Team_Level[[#This Row],[Date]],Team_Level[Result],"&lt;&gt;"))</f>
        <v/>
      </c>
      <c r="T635" t="str">
        <f>Team_Level[[#This Row],[Team]]&amp;"-"&amp;Team_Level[[#This Row],[Chrono Rank]]</f>
        <v>Notts County-</v>
      </c>
    </row>
    <row r="636" spans="1:20" x14ac:dyDescent="0.25">
      <c r="A636" t="s">
        <v>161</v>
      </c>
      <c r="B636" s="6">
        <v>46284</v>
      </c>
      <c r="C636" t="s">
        <v>20</v>
      </c>
      <c r="D636" t="s">
        <v>18</v>
      </c>
      <c r="K636">
        <v>1</v>
      </c>
      <c r="L636" t="s">
        <v>35</v>
      </c>
      <c r="Q636" t="str">
        <f>IF(Team_Level[[#This Row],[Result]]="","",COUNTIFS(Team_Level[Team],Team_Level[[#This Row],[Team]],Team_Level[Date],"&gt;="&amp;Team_Level[[#This Row],[Date]],Team_Level[Result],"&lt;&gt;"))</f>
        <v/>
      </c>
      <c r="R636" t="str">
        <f>Team_Level[[#This Row],[Team]]&amp;"-"&amp;Team_Level[[#This Row],[Recency Rank]]</f>
        <v>Stockport County-</v>
      </c>
      <c r="S636" t="str">
        <f>IF(Team_Level[[#This Row],[Result]]="","",COUNTIFS(Team_Level[Team],Team_Level[[#This Row],[Team]],Team_Level[Date],"&lt;="&amp;Team_Level[[#This Row],[Date]],Team_Level[Result],"&lt;&gt;"))</f>
        <v/>
      </c>
      <c r="T636" t="str">
        <f>Team_Level[[#This Row],[Team]]&amp;"-"&amp;Team_Level[[#This Row],[Chrono Rank]]</f>
        <v>Stockport County-</v>
      </c>
    </row>
    <row r="637" spans="1:20" x14ac:dyDescent="0.25">
      <c r="A637" t="s">
        <v>162</v>
      </c>
      <c r="B637" s="6">
        <v>46284</v>
      </c>
      <c r="C637" t="s">
        <v>22</v>
      </c>
      <c r="D637" t="s">
        <v>21</v>
      </c>
      <c r="K637">
        <v>1</v>
      </c>
      <c r="L637" t="s">
        <v>35</v>
      </c>
      <c r="Q637" t="str">
        <f>IF(Team_Level[[#This Row],[Result]]="","",COUNTIFS(Team_Level[Team],Team_Level[[#This Row],[Team]],Team_Level[Date],"&gt;="&amp;Team_Level[[#This Row],[Date]],Team_Level[Result],"&lt;&gt;"))</f>
        <v/>
      </c>
      <c r="R637" t="str">
        <f>Team_Level[[#This Row],[Team]]&amp;"-"&amp;Team_Level[[#This Row],[Recency Rank]]</f>
        <v>Wycombe Wanderers-</v>
      </c>
      <c r="S637" t="str">
        <f>IF(Team_Level[[#This Row],[Result]]="","",COUNTIFS(Team_Level[Team],Team_Level[[#This Row],[Team]],Team_Level[Date],"&lt;="&amp;Team_Level[[#This Row],[Date]],Team_Level[Result],"&lt;&gt;"))</f>
        <v/>
      </c>
      <c r="T637" t="str">
        <f>Team_Level[[#This Row],[Team]]&amp;"-"&amp;Team_Level[[#This Row],[Chrono Rank]]</f>
        <v>Wycombe Wanderers-</v>
      </c>
    </row>
    <row r="638" spans="1:20" x14ac:dyDescent="0.25">
      <c r="A638" t="s">
        <v>163</v>
      </c>
      <c r="B638" s="6">
        <v>46291</v>
      </c>
      <c r="C638" t="s">
        <v>1</v>
      </c>
      <c r="D638" t="s">
        <v>3</v>
      </c>
      <c r="K638">
        <v>1</v>
      </c>
      <c r="L638" t="s">
        <v>35</v>
      </c>
      <c r="Q638" t="str">
        <f>IF(Team_Level[[#This Row],[Result]]="","",COUNTIFS(Team_Level[Team],Team_Level[[#This Row],[Team]],Team_Level[Date],"&gt;="&amp;Team_Level[[#This Row],[Date]],Team_Level[Result],"&lt;&gt;"))</f>
        <v/>
      </c>
      <c r="R638" t="str">
        <f>Team_Level[[#This Row],[Team]]&amp;"-"&amp;Team_Level[[#This Row],[Recency Rank]]</f>
        <v>Barnsley-</v>
      </c>
      <c r="S638" t="str">
        <f>IF(Team_Level[[#This Row],[Result]]="","",COUNTIFS(Team_Level[Team],Team_Level[[#This Row],[Team]],Team_Level[Date],"&lt;="&amp;Team_Level[[#This Row],[Date]],Team_Level[Result],"&lt;&gt;"))</f>
        <v/>
      </c>
      <c r="T638" t="str">
        <f>Team_Level[[#This Row],[Team]]&amp;"-"&amp;Team_Level[[#This Row],[Chrono Rank]]</f>
        <v>Barnsley-</v>
      </c>
    </row>
    <row r="639" spans="1:20" x14ac:dyDescent="0.25">
      <c r="A639" t="s">
        <v>164</v>
      </c>
      <c r="B639" s="6">
        <v>46291</v>
      </c>
      <c r="C639" t="s">
        <v>0</v>
      </c>
      <c r="D639" t="s">
        <v>6</v>
      </c>
      <c r="K639">
        <v>1</v>
      </c>
      <c r="L639" t="s">
        <v>35</v>
      </c>
      <c r="Q639" t="str">
        <f>IF(Team_Level[[#This Row],[Result]]="","",COUNTIFS(Team_Level[Team],Team_Level[[#This Row],[Team]],Team_Level[Date],"&gt;="&amp;Team_Level[[#This Row],[Date]],Team_Level[Result],"&lt;&gt;"))</f>
        <v/>
      </c>
      <c r="R639" t="str">
        <f>Team_Level[[#This Row],[Team]]&amp;"-"&amp;Team_Level[[#This Row],[Recency Rank]]</f>
        <v>AFC Wimbledon-</v>
      </c>
      <c r="S639" t="str">
        <f>IF(Team_Level[[#This Row],[Result]]="","",COUNTIFS(Team_Level[Team],Team_Level[[#This Row],[Team]],Team_Level[Date],"&lt;="&amp;Team_Level[[#This Row],[Date]],Team_Level[Result],"&lt;&gt;"))</f>
        <v/>
      </c>
      <c r="T639" t="str">
        <f>Team_Level[[#This Row],[Team]]&amp;"-"&amp;Team_Level[[#This Row],[Chrono Rank]]</f>
        <v>AFC Wimbledon-</v>
      </c>
    </row>
    <row r="640" spans="1:20" x14ac:dyDescent="0.25">
      <c r="A640" t="s">
        <v>165</v>
      </c>
      <c r="B640" s="6">
        <v>46291</v>
      </c>
      <c r="C640" t="s">
        <v>14</v>
      </c>
      <c r="D640" t="s">
        <v>7</v>
      </c>
      <c r="K640">
        <v>1</v>
      </c>
      <c r="L640" t="s">
        <v>35</v>
      </c>
      <c r="Q640" t="str">
        <f>IF(Team_Level[[#This Row],[Result]]="","",COUNTIFS(Team_Level[Team],Team_Level[[#This Row],[Team]],Team_Level[Date],"&gt;="&amp;Team_Level[[#This Row],[Date]],Team_Level[Result],"&lt;&gt;"))</f>
        <v/>
      </c>
      <c r="R640" t="str">
        <f>Team_Level[[#This Row],[Team]]&amp;"-"&amp;Team_Level[[#This Row],[Recency Rank]]</f>
        <v>Oxford United-</v>
      </c>
      <c r="S640" t="str">
        <f>IF(Team_Level[[#This Row],[Result]]="","",COUNTIFS(Team_Level[Team],Team_Level[[#This Row],[Team]],Team_Level[Date],"&lt;="&amp;Team_Level[[#This Row],[Date]],Team_Level[Result],"&lt;&gt;"))</f>
        <v/>
      </c>
      <c r="T640" t="str">
        <f>Team_Level[[#This Row],[Team]]&amp;"-"&amp;Team_Level[[#This Row],[Chrono Rank]]</f>
        <v>Oxford United-</v>
      </c>
    </row>
    <row r="641" spans="1:20" x14ac:dyDescent="0.25">
      <c r="A641" t="s">
        <v>166</v>
      </c>
      <c r="B641" s="6">
        <v>46291</v>
      </c>
      <c r="C641" t="s">
        <v>11</v>
      </c>
      <c r="D641" t="s">
        <v>8</v>
      </c>
      <c r="K641">
        <v>1</v>
      </c>
      <c r="L641" t="s">
        <v>35</v>
      </c>
      <c r="Q641" t="str">
        <f>IF(Team_Level[[#This Row],[Result]]="","",COUNTIFS(Team_Level[Team],Team_Level[[#This Row],[Team]],Team_Level[Date],"&gt;="&amp;Team_Level[[#This Row],[Date]],Team_Level[Result],"&lt;&gt;"))</f>
        <v/>
      </c>
      <c r="R641" t="str">
        <f>Team_Level[[#This Row],[Team]]&amp;"-"&amp;Team_Level[[#This Row],[Recency Rank]]</f>
        <v>Luton Town-</v>
      </c>
      <c r="S641" t="str">
        <f>IF(Team_Level[[#This Row],[Result]]="","",COUNTIFS(Team_Level[Team],Team_Level[[#This Row],[Team]],Team_Level[Date],"&lt;="&amp;Team_Level[[#This Row],[Date]],Team_Level[Result],"&lt;&gt;"))</f>
        <v/>
      </c>
      <c r="T641" t="str">
        <f>Team_Level[[#This Row],[Team]]&amp;"-"&amp;Team_Level[[#This Row],[Chrono Rank]]</f>
        <v>Luton Town-</v>
      </c>
    </row>
    <row r="642" spans="1:20" x14ac:dyDescent="0.25">
      <c r="A642" t="s">
        <v>167</v>
      </c>
      <c r="B642" s="6">
        <v>46291</v>
      </c>
      <c r="C642" t="s">
        <v>21</v>
      </c>
      <c r="D642" t="s">
        <v>9</v>
      </c>
      <c r="K642">
        <v>1</v>
      </c>
      <c r="L642" t="s">
        <v>35</v>
      </c>
      <c r="Q642" t="str">
        <f>IF(Team_Level[[#This Row],[Result]]="","",COUNTIFS(Team_Level[Team],Team_Level[[#This Row],[Team]],Team_Level[Date],"&gt;="&amp;Team_Level[[#This Row],[Date]],Team_Level[Result],"&lt;&gt;"))</f>
        <v/>
      </c>
      <c r="R642" t="str">
        <f>Team_Level[[#This Row],[Team]]&amp;"-"&amp;Team_Level[[#This Row],[Recency Rank]]</f>
        <v>Wigan Athletic-</v>
      </c>
      <c r="S642" t="str">
        <f>IF(Team_Level[[#This Row],[Result]]="","",COUNTIFS(Team_Level[Team],Team_Level[[#This Row],[Team]],Team_Level[Date],"&lt;="&amp;Team_Level[[#This Row],[Date]],Team_Level[Result],"&lt;&gt;"))</f>
        <v/>
      </c>
      <c r="T642" t="str">
        <f>Team_Level[[#This Row],[Team]]&amp;"-"&amp;Team_Level[[#This Row],[Chrono Rank]]</f>
        <v>Wigan Athletic-</v>
      </c>
    </row>
    <row r="643" spans="1:20" x14ac:dyDescent="0.25">
      <c r="A643" t="s">
        <v>168</v>
      </c>
      <c r="B643" s="6">
        <v>46291</v>
      </c>
      <c r="C643" t="s">
        <v>10</v>
      </c>
      <c r="D643" t="s">
        <v>12</v>
      </c>
      <c r="K643">
        <v>1</v>
      </c>
      <c r="L643" t="s">
        <v>35</v>
      </c>
      <c r="Q643" t="str">
        <f>IF(Team_Level[[#This Row],[Result]]="","",COUNTIFS(Team_Level[Team],Team_Level[[#This Row],[Team]],Team_Level[Date],"&gt;="&amp;Team_Level[[#This Row],[Date]],Team_Level[Result],"&lt;&gt;"))</f>
        <v/>
      </c>
      <c r="R643" t="str">
        <f>Team_Level[[#This Row],[Team]]&amp;"-"&amp;Team_Level[[#This Row],[Recency Rank]]</f>
        <v>Leyton Orient-</v>
      </c>
      <c r="S643" t="str">
        <f>IF(Team_Level[[#This Row],[Result]]="","",COUNTIFS(Team_Level[Team],Team_Level[[#This Row],[Team]],Team_Level[Date],"&lt;="&amp;Team_Level[[#This Row],[Date]],Team_Level[Result],"&lt;&gt;"))</f>
        <v/>
      </c>
      <c r="T643" t="str">
        <f>Team_Level[[#This Row],[Team]]&amp;"-"&amp;Team_Level[[#This Row],[Chrono Rank]]</f>
        <v>Leyton Orient-</v>
      </c>
    </row>
    <row r="644" spans="1:20" x14ac:dyDescent="0.25">
      <c r="A644" t="s">
        <v>169</v>
      </c>
      <c r="B644" s="6">
        <v>46291</v>
      </c>
      <c r="C644" t="s">
        <v>4</v>
      </c>
      <c r="D644" t="s">
        <v>33</v>
      </c>
      <c r="K644">
        <v>1</v>
      </c>
      <c r="L644" t="s">
        <v>35</v>
      </c>
      <c r="Q644" t="str">
        <f>IF(Team_Level[[#This Row],[Result]]="","",COUNTIFS(Team_Level[Team],Team_Level[[#This Row],[Team]],Team_Level[Date],"&gt;="&amp;Team_Level[[#This Row],[Date]],Team_Level[Result],"&lt;&gt;"))</f>
        <v/>
      </c>
      <c r="R644" t="str">
        <f>Team_Level[[#This Row],[Team]]&amp;"-"&amp;Team_Level[[#This Row],[Recency Rank]]</f>
        <v>Bromley-</v>
      </c>
      <c r="S644" t="str">
        <f>IF(Team_Level[[#This Row],[Result]]="","",COUNTIFS(Team_Level[Team],Team_Level[[#This Row],[Team]],Team_Level[Date],"&lt;="&amp;Team_Level[[#This Row],[Date]],Team_Level[Result],"&lt;&gt;"))</f>
        <v/>
      </c>
      <c r="T644" t="str">
        <f>Team_Level[[#This Row],[Team]]&amp;"-"&amp;Team_Level[[#This Row],[Chrono Rank]]</f>
        <v>Bromley-</v>
      </c>
    </row>
    <row r="645" spans="1:20" x14ac:dyDescent="0.25">
      <c r="A645" t="s">
        <v>170</v>
      </c>
      <c r="B645" s="6">
        <v>46291</v>
      </c>
      <c r="C645" t="s">
        <v>2</v>
      </c>
      <c r="D645" t="s">
        <v>13</v>
      </c>
      <c r="K645">
        <v>1</v>
      </c>
      <c r="L645" t="s">
        <v>35</v>
      </c>
      <c r="Q645" t="str">
        <f>IF(Team_Level[[#This Row],[Result]]="","",COUNTIFS(Team_Level[Team],Team_Level[[#This Row],[Team]],Team_Level[Date],"&gt;="&amp;Team_Level[[#This Row],[Date]],Team_Level[Result],"&lt;&gt;"))</f>
        <v/>
      </c>
      <c r="R645" t="str">
        <f>Team_Level[[#This Row],[Team]]&amp;"-"&amp;Team_Level[[#This Row],[Recency Rank]]</f>
        <v>Blackpool-</v>
      </c>
      <c r="S645" t="str">
        <f>IF(Team_Level[[#This Row],[Result]]="","",COUNTIFS(Team_Level[Team],Team_Level[[#This Row],[Team]],Team_Level[Date],"&lt;="&amp;Team_Level[[#This Row],[Date]],Team_Level[Result],"&lt;&gt;"))</f>
        <v/>
      </c>
      <c r="T645" t="str">
        <f>Team_Level[[#This Row],[Team]]&amp;"-"&amp;Team_Level[[#This Row],[Chrono Rank]]</f>
        <v>Blackpool-</v>
      </c>
    </row>
    <row r="646" spans="1:20" x14ac:dyDescent="0.25">
      <c r="A646" t="s">
        <v>171</v>
      </c>
      <c r="B646" s="6">
        <v>46291</v>
      </c>
      <c r="C646" t="s">
        <v>5</v>
      </c>
      <c r="D646" t="s">
        <v>16</v>
      </c>
      <c r="K646">
        <v>1</v>
      </c>
      <c r="L646" t="s">
        <v>35</v>
      </c>
      <c r="Q646" t="str">
        <f>IF(Team_Level[[#This Row],[Result]]="","",COUNTIFS(Team_Level[Team],Team_Level[[#This Row],[Team]],Team_Level[Date],"&gt;="&amp;Team_Level[[#This Row],[Date]],Team_Level[Result],"&lt;&gt;"))</f>
        <v/>
      </c>
      <c r="R646" t="str">
        <f>Team_Level[[#This Row],[Team]]&amp;"-"&amp;Team_Level[[#This Row],[Recency Rank]]</f>
        <v>Burton Albion-</v>
      </c>
      <c r="S646" t="str">
        <f>IF(Team_Level[[#This Row],[Result]]="","",COUNTIFS(Team_Level[Team],Team_Level[[#This Row],[Team]],Team_Level[Date],"&lt;="&amp;Team_Level[[#This Row],[Date]],Team_Level[Result],"&lt;&gt;"))</f>
        <v/>
      </c>
      <c r="T646" t="str">
        <f>Team_Level[[#This Row],[Team]]&amp;"-"&amp;Team_Level[[#This Row],[Chrono Rank]]</f>
        <v>Burton Albion-</v>
      </c>
    </row>
    <row r="647" spans="1:20" x14ac:dyDescent="0.25">
      <c r="A647" t="s">
        <v>172</v>
      </c>
      <c r="B647" s="6">
        <v>46291</v>
      </c>
      <c r="C647" t="s">
        <v>18</v>
      </c>
      <c r="D647" t="s">
        <v>19</v>
      </c>
      <c r="K647">
        <v>1</v>
      </c>
      <c r="L647" t="s">
        <v>35</v>
      </c>
      <c r="Q647" t="str">
        <f>IF(Team_Level[[#This Row],[Result]]="","",COUNTIFS(Team_Level[Team],Team_Level[[#This Row],[Team]],Team_Level[Date],"&gt;="&amp;Team_Level[[#This Row],[Date]],Team_Level[Result],"&lt;&gt;"))</f>
        <v/>
      </c>
      <c r="R647" t="str">
        <f>Team_Level[[#This Row],[Team]]&amp;"-"&amp;Team_Level[[#This Row],[Recency Rank]]</f>
        <v>Sheffield Wednesday-</v>
      </c>
      <c r="S647" t="str">
        <f>IF(Team_Level[[#This Row],[Result]]="","",COUNTIFS(Team_Level[Team],Team_Level[[#This Row],[Team]],Team_Level[Date],"&lt;="&amp;Team_Level[[#This Row],[Date]],Team_Level[Result],"&lt;&gt;"))</f>
        <v/>
      </c>
      <c r="T647" t="str">
        <f>Team_Level[[#This Row],[Team]]&amp;"-"&amp;Team_Level[[#This Row],[Chrono Rank]]</f>
        <v>Sheffield Wednesday-</v>
      </c>
    </row>
    <row r="648" spans="1:20" x14ac:dyDescent="0.25">
      <c r="A648" t="s">
        <v>173</v>
      </c>
      <c r="B648" s="6">
        <v>46291</v>
      </c>
      <c r="C648" t="s">
        <v>15</v>
      </c>
      <c r="D648" t="s">
        <v>20</v>
      </c>
      <c r="K648">
        <v>1</v>
      </c>
      <c r="L648" t="s">
        <v>35</v>
      </c>
      <c r="Q648" t="str">
        <f>IF(Team_Level[[#This Row],[Result]]="","",COUNTIFS(Team_Level[Team],Team_Level[[#This Row],[Team]],Team_Level[Date],"&gt;="&amp;Team_Level[[#This Row],[Date]],Team_Level[Result],"&lt;&gt;"))</f>
        <v/>
      </c>
      <c r="R648" t="str">
        <f>Team_Level[[#This Row],[Team]]&amp;"-"&amp;Team_Level[[#This Row],[Recency Rank]]</f>
        <v>Peterborough United-</v>
      </c>
      <c r="S648" t="str">
        <f>IF(Team_Level[[#This Row],[Result]]="","",COUNTIFS(Team_Level[Team],Team_Level[[#This Row],[Team]],Team_Level[Date],"&lt;="&amp;Team_Level[[#This Row],[Date]],Team_Level[Result],"&lt;&gt;"))</f>
        <v/>
      </c>
      <c r="T648" t="str">
        <f>Team_Level[[#This Row],[Team]]&amp;"-"&amp;Team_Level[[#This Row],[Chrono Rank]]</f>
        <v>Peterborough United-</v>
      </c>
    </row>
    <row r="649" spans="1:20" x14ac:dyDescent="0.25">
      <c r="A649" t="s">
        <v>174</v>
      </c>
      <c r="B649" s="6">
        <v>46291</v>
      </c>
      <c r="C649" t="s">
        <v>17</v>
      </c>
      <c r="D649" t="s">
        <v>22</v>
      </c>
      <c r="K649">
        <v>1</v>
      </c>
      <c r="L649" t="s">
        <v>35</v>
      </c>
      <c r="Q649" t="str">
        <f>IF(Team_Level[[#This Row],[Result]]="","",COUNTIFS(Team_Level[Team],Team_Level[[#This Row],[Team]],Team_Level[Date],"&gt;="&amp;Team_Level[[#This Row],[Date]],Team_Level[Result],"&lt;&gt;"))</f>
        <v/>
      </c>
      <c r="R649" t="str">
        <f>Team_Level[[#This Row],[Team]]&amp;"-"&amp;Team_Level[[#This Row],[Recency Rank]]</f>
        <v>Reading-</v>
      </c>
      <c r="S649" t="str">
        <f>IF(Team_Level[[#This Row],[Result]]="","",COUNTIFS(Team_Level[Team],Team_Level[[#This Row],[Team]],Team_Level[Date],"&lt;="&amp;Team_Level[[#This Row],[Date]],Team_Level[Result],"&lt;&gt;"))</f>
        <v/>
      </c>
      <c r="T649" t="str">
        <f>Team_Level[[#This Row],[Team]]&amp;"-"&amp;Team_Level[[#This Row],[Chrono Rank]]</f>
        <v>Reading-</v>
      </c>
    </row>
    <row r="650" spans="1:20" x14ac:dyDescent="0.25">
      <c r="A650" t="s">
        <v>175</v>
      </c>
      <c r="B650" s="6">
        <v>46298</v>
      </c>
      <c r="C650" t="s">
        <v>19</v>
      </c>
      <c r="D650" t="s">
        <v>0</v>
      </c>
      <c r="K650">
        <v>1</v>
      </c>
      <c r="L650" t="s">
        <v>35</v>
      </c>
      <c r="Q650" t="str">
        <f>IF(Team_Level[[#This Row],[Result]]="","",COUNTIFS(Team_Level[Team],Team_Level[[#This Row],[Team]],Team_Level[Date],"&gt;="&amp;Team_Level[[#This Row],[Date]],Team_Level[Result],"&lt;&gt;"))</f>
        <v/>
      </c>
      <c r="R650" t="str">
        <f>Team_Level[[#This Row],[Team]]&amp;"-"&amp;Team_Level[[#This Row],[Recency Rank]]</f>
        <v>Stevenage-</v>
      </c>
      <c r="S650" t="str">
        <f>IF(Team_Level[[#This Row],[Result]]="","",COUNTIFS(Team_Level[Team],Team_Level[[#This Row],[Team]],Team_Level[Date],"&lt;="&amp;Team_Level[[#This Row],[Date]],Team_Level[Result],"&lt;&gt;"))</f>
        <v/>
      </c>
      <c r="T650" t="str">
        <f>Team_Level[[#This Row],[Team]]&amp;"-"&amp;Team_Level[[#This Row],[Chrono Rank]]</f>
        <v>Stevenage-</v>
      </c>
    </row>
    <row r="651" spans="1:20" x14ac:dyDescent="0.25">
      <c r="A651" t="s">
        <v>176</v>
      </c>
      <c r="B651" s="6">
        <v>46298</v>
      </c>
      <c r="C651" t="s">
        <v>33</v>
      </c>
      <c r="D651" t="s">
        <v>1</v>
      </c>
      <c r="K651">
        <v>1</v>
      </c>
      <c r="L651" t="s">
        <v>35</v>
      </c>
      <c r="Q651" t="str">
        <f>IF(Team_Level[[#This Row],[Result]]="","",COUNTIFS(Team_Level[Team],Team_Level[[#This Row],[Team]],Team_Level[Date],"&gt;="&amp;Team_Level[[#This Row],[Date]],Team_Level[Result],"&lt;&gt;"))</f>
        <v/>
      </c>
      <c r="R651" t="str">
        <f>Team_Level[[#This Row],[Team]]&amp;"-"&amp;Team_Level[[#This Row],[Recency Rank]]</f>
        <v>Milton Keynes Dons-</v>
      </c>
      <c r="S651" t="str">
        <f>IF(Team_Level[[#This Row],[Result]]="","",COUNTIFS(Team_Level[Team],Team_Level[[#This Row],[Team]],Team_Level[Date],"&lt;="&amp;Team_Level[[#This Row],[Date]],Team_Level[Result],"&lt;&gt;"))</f>
        <v/>
      </c>
      <c r="T651" t="str">
        <f>Team_Level[[#This Row],[Team]]&amp;"-"&amp;Team_Level[[#This Row],[Chrono Rank]]</f>
        <v>Milton Keynes Dons-</v>
      </c>
    </row>
    <row r="652" spans="1:20" x14ac:dyDescent="0.25">
      <c r="A652" t="s">
        <v>177</v>
      </c>
      <c r="B652" s="6">
        <v>46298</v>
      </c>
      <c r="C652" t="s">
        <v>9</v>
      </c>
      <c r="D652" t="s">
        <v>2</v>
      </c>
      <c r="K652">
        <v>1</v>
      </c>
      <c r="L652" t="s">
        <v>35</v>
      </c>
      <c r="Q652" t="str">
        <f>IF(Team_Level[[#This Row],[Result]]="","",COUNTIFS(Team_Level[Team],Team_Level[[#This Row],[Team]],Team_Level[Date],"&gt;="&amp;Team_Level[[#This Row],[Date]],Team_Level[Result],"&lt;&gt;"))</f>
        <v/>
      </c>
      <c r="R652" t="str">
        <f>Team_Level[[#This Row],[Team]]&amp;"-"&amp;Team_Level[[#This Row],[Recency Rank]]</f>
        <v>Leicester City-</v>
      </c>
      <c r="S652" t="str">
        <f>IF(Team_Level[[#This Row],[Result]]="","",COUNTIFS(Team_Level[Team],Team_Level[[#This Row],[Team]],Team_Level[Date],"&lt;="&amp;Team_Level[[#This Row],[Date]],Team_Level[Result],"&lt;&gt;"))</f>
        <v/>
      </c>
      <c r="T652" t="str">
        <f>Team_Level[[#This Row],[Team]]&amp;"-"&amp;Team_Level[[#This Row],[Chrono Rank]]</f>
        <v>Leicester City-</v>
      </c>
    </row>
    <row r="653" spans="1:20" x14ac:dyDescent="0.25">
      <c r="A653" t="s">
        <v>178</v>
      </c>
      <c r="B653" s="6">
        <v>46298</v>
      </c>
      <c r="C653" t="s">
        <v>22</v>
      </c>
      <c r="D653" t="s">
        <v>4</v>
      </c>
      <c r="K653">
        <v>1</v>
      </c>
      <c r="L653" t="s">
        <v>35</v>
      </c>
      <c r="Q653" t="str">
        <f>IF(Team_Level[[#This Row],[Result]]="","",COUNTIFS(Team_Level[Team],Team_Level[[#This Row],[Team]],Team_Level[Date],"&gt;="&amp;Team_Level[[#This Row],[Date]],Team_Level[Result],"&lt;&gt;"))</f>
        <v/>
      </c>
      <c r="R653" t="str">
        <f>Team_Level[[#This Row],[Team]]&amp;"-"&amp;Team_Level[[#This Row],[Recency Rank]]</f>
        <v>Wycombe Wanderers-</v>
      </c>
      <c r="S653" t="str">
        <f>IF(Team_Level[[#This Row],[Result]]="","",COUNTIFS(Team_Level[Team],Team_Level[[#This Row],[Team]],Team_Level[Date],"&lt;="&amp;Team_Level[[#This Row],[Date]],Team_Level[Result],"&lt;&gt;"))</f>
        <v/>
      </c>
      <c r="T653" t="str">
        <f>Team_Level[[#This Row],[Team]]&amp;"-"&amp;Team_Level[[#This Row],[Chrono Rank]]</f>
        <v>Wycombe Wanderers-</v>
      </c>
    </row>
    <row r="654" spans="1:20" x14ac:dyDescent="0.25">
      <c r="A654" t="s">
        <v>179</v>
      </c>
      <c r="B654" s="6">
        <v>46298</v>
      </c>
      <c r="C654" t="s">
        <v>8</v>
      </c>
      <c r="D654" t="s">
        <v>5</v>
      </c>
      <c r="K654">
        <v>1</v>
      </c>
      <c r="L654" t="s">
        <v>35</v>
      </c>
      <c r="Q654" t="str">
        <f>IF(Team_Level[[#This Row],[Result]]="","",COUNTIFS(Team_Level[Team],Team_Level[[#This Row],[Team]],Team_Level[Date],"&gt;="&amp;Team_Level[[#This Row],[Date]],Team_Level[Result],"&lt;&gt;"))</f>
        <v/>
      </c>
      <c r="R654" t="str">
        <f>Team_Level[[#This Row],[Team]]&amp;"-"&amp;Team_Level[[#This Row],[Recency Rank]]</f>
        <v>Huddersfield Town-</v>
      </c>
      <c r="S654" t="str">
        <f>IF(Team_Level[[#This Row],[Result]]="","",COUNTIFS(Team_Level[Team],Team_Level[[#This Row],[Team]],Team_Level[Date],"&lt;="&amp;Team_Level[[#This Row],[Date]],Team_Level[Result],"&lt;&gt;"))</f>
        <v/>
      </c>
      <c r="T654" t="str">
        <f>Team_Level[[#This Row],[Team]]&amp;"-"&amp;Team_Level[[#This Row],[Chrono Rank]]</f>
        <v>Huddersfield Town-</v>
      </c>
    </row>
    <row r="655" spans="1:20" x14ac:dyDescent="0.25">
      <c r="A655" t="s">
        <v>180</v>
      </c>
      <c r="B655" s="6">
        <v>46298</v>
      </c>
      <c r="C655" t="s">
        <v>16</v>
      </c>
      <c r="D655" t="s">
        <v>10</v>
      </c>
      <c r="K655">
        <v>1</v>
      </c>
      <c r="L655" t="s">
        <v>35</v>
      </c>
      <c r="Q655" t="str">
        <f>IF(Team_Level[[#This Row],[Result]]="","",COUNTIFS(Team_Level[Team],Team_Level[[#This Row],[Team]],Team_Level[Date],"&gt;="&amp;Team_Level[[#This Row],[Date]],Team_Level[Result],"&lt;&gt;"))</f>
        <v/>
      </c>
      <c r="R655" t="str">
        <f>Team_Level[[#This Row],[Team]]&amp;"-"&amp;Team_Level[[#This Row],[Recency Rank]]</f>
        <v>Plymouth Argyle-</v>
      </c>
      <c r="S655" t="str">
        <f>IF(Team_Level[[#This Row],[Result]]="","",COUNTIFS(Team_Level[Team],Team_Level[[#This Row],[Team]],Team_Level[Date],"&lt;="&amp;Team_Level[[#This Row],[Date]],Team_Level[Result],"&lt;&gt;"))</f>
        <v/>
      </c>
      <c r="T655" t="str">
        <f>Team_Level[[#This Row],[Team]]&amp;"-"&amp;Team_Level[[#This Row],[Chrono Rank]]</f>
        <v>Plymouth Argyle-</v>
      </c>
    </row>
    <row r="656" spans="1:20" x14ac:dyDescent="0.25">
      <c r="A656" t="s">
        <v>181</v>
      </c>
      <c r="B656" s="6">
        <v>46298</v>
      </c>
      <c r="C656" t="s">
        <v>7</v>
      </c>
      <c r="D656" t="s">
        <v>11</v>
      </c>
      <c r="K656">
        <v>1</v>
      </c>
      <c r="L656" t="s">
        <v>35</v>
      </c>
      <c r="Q656" t="str">
        <f>IF(Team_Level[[#This Row],[Result]]="","",COUNTIFS(Team_Level[Team],Team_Level[[#This Row],[Team]],Team_Level[Date],"&gt;="&amp;Team_Level[[#This Row],[Date]],Team_Level[Result],"&lt;&gt;"))</f>
        <v/>
      </c>
      <c r="R656" t="str">
        <f>Team_Level[[#This Row],[Team]]&amp;"-"&amp;Team_Level[[#This Row],[Recency Rank]]</f>
        <v>Doncaster Rovers-</v>
      </c>
      <c r="S656" t="str">
        <f>IF(Team_Level[[#This Row],[Result]]="","",COUNTIFS(Team_Level[Team],Team_Level[[#This Row],[Team]],Team_Level[Date],"&lt;="&amp;Team_Level[[#This Row],[Date]],Team_Level[Result],"&lt;&gt;"))</f>
        <v/>
      </c>
      <c r="T656" t="str">
        <f>Team_Level[[#This Row],[Team]]&amp;"-"&amp;Team_Level[[#This Row],[Chrono Rank]]</f>
        <v>Doncaster Rovers-</v>
      </c>
    </row>
    <row r="657" spans="1:20" x14ac:dyDescent="0.25">
      <c r="A657" t="s">
        <v>182</v>
      </c>
      <c r="B657" s="6">
        <v>46298</v>
      </c>
      <c r="C657" t="s">
        <v>20</v>
      </c>
      <c r="D657" t="s">
        <v>14</v>
      </c>
      <c r="K657">
        <v>1</v>
      </c>
      <c r="L657" t="s">
        <v>35</v>
      </c>
      <c r="Q657" t="str">
        <f>IF(Team_Level[[#This Row],[Result]]="","",COUNTIFS(Team_Level[Team],Team_Level[[#This Row],[Team]],Team_Level[Date],"&gt;="&amp;Team_Level[[#This Row],[Date]],Team_Level[Result],"&lt;&gt;"))</f>
        <v/>
      </c>
      <c r="R657" t="str">
        <f>Team_Level[[#This Row],[Team]]&amp;"-"&amp;Team_Level[[#This Row],[Recency Rank]]</f>
        <v>Stockport County-</v>
      </c>
      <c r="S657" t="str">
        <f>IF(Team_Level[[#This Row],[Result]]="","",COUNTIFS(Team_Level[Team],Team_Level[[#This Row],[Team]],Team_Level[Date],"&lt;="&amp;Team_Level[[#This Row],[Date]],Team_Level[Result],"&lt;&gt;"))</f>
        <v/>
      </c>
      <c r="T657" t="str">
        <f>Team_Level[[#This Row],[Team]]&amp;"-"&amp;Team_Level[[#This Row],[Chrono Rank]]</f>
        <v>Stockport County-</v>
      </c>
    </row>
    <row r="658" spans="1:20" x14ac:dyDescent="0.25">
      <c r="A658" t="s">
        <v>183</v>
      </c>
      <c r="B658" s="6">
        <v>46298</v>
      </c>
      <c r="C658" t="s">
        <v>13</v>
      </c>
      <c r="D658" t="s">
        <v>15</v>
      </c>
      <c r="K658">
        <v>1</v>
      </c>
      <c r="L658" t="s">
        <v>35</v>
      </c>
      <c r="Q658" t="str">
        <f>IF(Team_Level[[#This Row],[Result]]="","",COUNTIFS(Team_Level[Team],Team_Level[[#This Row],[Team]],Team_Level[Date],"&gt;="&amp;Team_Level[[#This Row],[Date]],Team_Level[Result],"&lt;&gt;"))</f>
        <v/>
      </c>
      <c r="R658" t="str">
        <f>Team_Level[[#This Row],[Team]]&amp;"-"&amp;Team_Level[[#This Row],[Recency Rank]]</f>
        <v>Notts County-</v>
      </c>
      <c r="S658" t="str">
        <f>IF(Team_Level[[#This Row],[Result]]="","",COUNTIFS(Team_Level[Team],Team_Level[[#This Row],[Team]],Team_Level[Date],"&lt;="&amp;Team_Level[[#This Row],[Date]],Team_Level[Result],"&lt;&gt;"))</f>
        <v/>
      </c>
      <c r="T658" t="str">
        <f>Team_Level[[#This Row],[Team]]&amp;"-"&amp;Team_Level[[#This Row],[Chrono Rank]]</f>
        <v>Notts County-</v>
      </c>
    </row>
    <row r="659" spans="1:20" x14ac:dyDescent="0.25">
      <c r="A659" t="s">
        <v>184</v>
      </c>
      <c r="B659" s="6">
        <v>46298</v>
      </c>
      <c r="C659" t="s">
        <v>3</v>
      </c>
      <c r="D659" t="s">
        <v>17</v>
      </c>
      <c r="K659">
        <v>1</v>
      </c>
      <c r="L659" t="s">
        <v>35</v>
      </c>
      <c r="Q659" t="str">
        <f>IF(Team_Level[[#This Row],[Result]]="","",COUNTIFS(Team_Level[Team],Team_Level[[#This Row],[Team]],Team_Level[Date],"&gt;="&amp;Team_Level[[#This Row],[Date]],Team_Level[Result],"&lt;&gt;"))</f>
        <v/>
      </c>
      <c r="R659" t="str">
        <f>Team_Level[[#This Row],[Team]]&amp;"-"&amp;Team_Level[[#This Row],[Recency Rank]]</f>
        <v>Bradford City-</v>
      </c>
      <c r="S659" t="str">
        <f>IF(Team_Level[[#This Row],[Result]]="","",COUNTIFS(Team_Level[Team],Team_Level[[#This Row],[Team]],Team_Level[Date],"&lt;="&amp;Team_Level[[#This Row],[Date]],Team_Level[Result],"&lt;&gt;"))</f>
        <v/>
      </c>
      <c r="T659" t="str">
        <f>Team_Level[[#This Row],[Team]]&amp;"-"&amp;Team_Level[[#This Row],[Chrono Rank]]</f>
        <v>Bradford City-</v>
      </c>
    </row>
    <row r="660" spans="1:20" x14ac:dyDescent="0.25">
      <c r="A660" t="s">
        <v>185</v>
      </c>
      <c r="B660" s="6">
        <v>46298</v>
      </c>
      <c r="C660" t="s">
        <v>6</v>
      </c>
      <c r="D660" t="s">
        <v>18</v>
      </c>
      <c r="K660">
        <v>1</v>
      </c>
      <c r="L660" t="s">
        <v>35</v>
      </c>
      <c r="Q660" t="str">
        <f>IF(Team_Level[[#This Row],[Result]]="","",COUNTIFS(Team_Level[Team],Team_Level[[#This Row],[Team]],Team_Level[Date],"&gt;="&amp;Team_Level[[#This Row],[Date]],Team_Level[Result],"&lt;&gt;"))</f>
        <v/>
      </c>
      <c r="R660" t="str">
        <f>Team_Level[[#This Row],[Team]]&amp;"-"&amp;Team_Level[[#This Row],[Recency Rank]]</f>
        <v>Cambridge United-</v>
      </c>
      <c r="S660" t="str">
        <f>IF(Team_Level[[#This Row],[Result]]="","",COUNTIFS(Team_Level[Team],Team_Level[[#This Row],[Team]],Team_Level[Date],"&lt;="&amp;Team_Level[[#This Row],[Date]],Team_Level[Result],"&lt;&gt;"))</f>
        <v/>
      </c>
      <c r="T660" t="str">
        <f>Team_Level[[#This Row],[Team]]&amp;"-"&amp;Team_Level[[#This Row],[Chrono Rank]]</f>
        <v>Cambridge United-</v>
      </c>
    </row>
    <row r="661" spans="1:20" x14ac:dyDescent="0.25">
      <c r="A661" t="s">
        <v>186</v>
      </c>
      <c r="B661" s="6">
        <v>46298</v>
      </c>
      <c r="C661" t="s">
        <v>12</v>
      </c>
      <c r="D661" t="s">
        <v>21</v>
      </c>
      <c r="K661">
        <v>1</v>
      </c>
      <c r="L661" t="s">
        <v>35</v>
      </c>
      <c r="Q661" t="str">
        <f>IF(Team_Level[[#This Row],[Result]]="","",COUNTIFS(Team_Level[Team],Team_Level[[#This Row],[Team]],Team_Level[Date],"&gt;="&amp;Team_Level[[#This Row],[Date]],Team_Level[Result],"&lt;&gt;"))</f>
        <v/>
      </c>
      <c r="R661" t="str">
        <f>Team_Level[[#This Row],[Team]]&amp;"-"&amp;Team_Level[[#This Row],[Recency Rank]]</f>
        <v>Mansfield Town-</v>
      </c>
      <c r="S661" t="str">
        <f>IF(Team_Level[[#This Row],[Result]]="","",COUNTIFS(Team_Level[Team],Team_Level[[#This Row],[Team]],Team_Level[Date],"&lt;="&amp;Team_Level[[#This Row],[Date]],Team_Level[Result],"&lt;&gt;"))</f>
        <v/>
      </c>
      <c r="T661" t="str">
        <f>Team_Level[[#This Row],[Team]]&amp;"-"&amp;Team_Level[[#This Row],[Chrono Rank]]</f>
        <v>Mansfield Town-</v>
      </c>
    </row>
    <row r="662" spans="1:20" x14ac:dyDescent="0.25">
      <c r="A662" t="s">
        <v>187</v>
      </c>
      <c r="B662" s="6">
        <v>46305</v>
      </c>
      <c r="C662" t="s">
        <v>10</v>
      </c>
      <c r="D662" t="s">
        <v>3</v>
      </c>
      <c r="K662">
        <v>1</v>
      </c>
      <c r="L662" t="s">
        <v>35</v>
      </c>
      <c r="Q662" t="str">
        <f>IF(Team_Level[[#This Row],[Result]]="","",COUNTIFS(Team_Level[Team],Team_Level[[#This Row],[Team]],Team_Level[Date],"&gt;="&amp;Team_Level[[#This Row],[Date]],Team_Level[Result],"&lt;&gt;"))</f>
        <v/>
      </c>
      <c r="R662" t="str">
        <f>Team_Level[[#This Row],[Team]]&amp;"-"&amp;Team_Level[[#This Row],[Recency Rank]]</f>
        <v>Leyton Orient-</v>
      </c>
      <c r="S662" t="str">
        <f>IF(Team_Level[[#This Row],[Result]]="","",COUNTIFS(Team_Level[Team],Team_Level[[#This Row],[Team]],Team_Level[Date],"&lt;="&amp;Team_Level[[#This Row],[Date]],Team_Level[Result],"&lt;&gt;"))</f>
        <v/>
      </c>
      <c r="T662" t="str">
        <f>Team_Level[[#This Row],[Team]]&amp;"-"&amp;Team_Level[[#This Row],[Chrono Rank]]</f>
        <v>Leyton Orient-</v>
      </c>
    </row>
    <row r="663" spans="1:20" x14ac:dyDescent="0.25">
      <c r="A663" t="s">
        <v>188</v>
      </c>
      <c r="B663" s="6">
        <v>46305</v>
      </c>
      <c r="C663" t="s">
        <v>2</v>
      </c>
      <c r="D663" t="s">
        <v>6</v>
      </c>
      <c r="K663">
        <v>1</v>
      </c>
      <c r="L663" t="s">
        <v>35</v>
      </c>
      <c r="Q663" t="str">
        <f>IF(Team_Level[[#This Row],[Result]]="","",COUNTIFS(Team_Level[Team],Team_Level[[#This Row],[Team]],Team_Level[Date],"&gt;="&amp;Team_Level[[#This Row],[Date]],Team_Level[Result],"&lt;&gt;"))</f>
        <v/>
      </c>
      <c r="R663" t="str">
        <f>Team_Level[[#This Row],[Team]]&amp;"-"&amp;Team_Level[[#This Row],[Recency Rank]]</f>
        <v>Blackpool-</v>
      </c>
      <c r="S663" t="str">
        <f>IF(Team_Level[[#This Row],[Result]]="","",COUNTIFS(Team_Level[Team],Team_Level[[#This Row],[Team]],Team_Level[Date],"&lt;="&amp;Team_Level[[#This Row],[Date]],Team_Level[Result],"&lt;&gt;"))</f>
        <v/>
      </c>
      <c r="T663" t="str">
        <f>Team_Level[[#This Row],[Team]]&amp;"-"&amp;Team_Level[[#This Row],[Chrono Rank]]</f>
        <v>Blackpool-</v>
      </c>
    </row>
    <row r="664" spans="1:20" x14ac:dyDescent="0.25">
      <c r="A664" t="s">
        <v>189</v>
      </c>
      <c r="B664" s="6">
        <v>46305</v>
      </c>
      <c r="C664" t="s">
        <v>5</v>
      </c>
      <c r="D664" t="s">
        <v>7</v>
      </c>
      <c r="K664">
        <v>1</v>
      </c>
      <c r="L664" t="s">
        <v>35</v>
      </c>
      <c r="Q664" t="str">
        <f>IF(Team_Level[[#This Row],[Result]]="","",COUNTIFS(Team_Level[Team],Team_Level[[#This Row],[Team]],Team_Level[Date],"&gt;="&amp;Team_Level[[#This Row],[Date]],Team_Level[Result],"&lt;&gt;"))</f>
        <v/>
      </c>
      <c r="R664" t="str">
        <f>Team_Level[[#This Row],[Team]]&amp;"-"&amp;Team_Level[[#This Row],[Recency Rank]]</f>
        <v>Burton Albion-</v>
      </c>
      <c r="S664" t="str">
        <f>IF(Team_Level[[#This Row],[Result]]="","",COUNTIFS(Team_Level[Team],Team_Level[[#This Row],[Team]],Team_Level[Date],"&lt;="&amp;Team_Level[[#This Row],[Date]],Team_Level[Result],"&lt;&gt;"))</f>
        <v/>
      </c>
      <c r="T664" t="str">
        <f>Team_Level[[#This Row],[Team]]&amp;"-"&amp;Team_Level[[#This Row],[Chrono Rank]]</f>
        <v>Burton Albion-</v>
      </c>
    </row>
    <row r="665" spans="1:20" x14ac:dyDescent="0.25">
      <c r="A665" t="s">
        <v>190</v>
      </c>
      <c r="B665" s="6">
        <v>46305</v>
      </c>
      <c r="C665" t="s">
        <v>18</v>
      </c>
      <c r="D665" t="s">
        <v>8</v>
      </c>
      <c r="K665">
        <v>1</v>
      </c>
      <c r="L665" t="s">
        <v>35</v>
      </c>
      <c r="Q665" t="str">
        <f>IF(Team_Level[[#This Row],[Result]]="","",COUNTIFS(Team_Level[Team],Team_Level[[#This Row],[Team]],Team_Level[Date],"&gt;="&amp;Team_Level[[#This Row],[Date]],Team_Level[Result],"&lt;&gt;"))</f>
        <v/>
      </c>
      <c r="R665" t="str">
        <f>Team_Level[[#This Row],[Team]]&amp;"-"&amp;Team_Level[[#This Row],[Recency Rank]]</f>
        <v>Sheffield Wednesday-</v>
      </c>
      <c r="S665" t="str">
        <f>IF(Team_Level[[#This Row],[Result]]="","",COUNTIFS(Team_Level[Team],Team_Level[[#This Row],[Team]],Team_Level[Date],"&lt;="&amp;Team_Level[[#This Row],[Date]],Team_Level[Result],"&lt;&gt;"))</f>
        <v/>
      </c>
      <c r="T665" t="str">
        <f>Team_Level[[#This Row],[Team]]&amp;"-"&amp;Team_Level[[#This Row],[Chrono Rank]]</f>
        <v>Sheffield Wednesday-</v>
      </c>
    </row>
    <row r="666" spans="1:20" x14ac:dyDescent="0.25">
      <c r="A666" t="s">
        <v>191</v>
      </c>
      <c r="B666" s="6">
        <v>46305</v>
      </c>
      <c r="C666" t="s">
        <v>15</v>
      </c>
      <c r="D666" t="s">
        <v>9</v>
      </c>
      <c r="K666">
        <v>1</v>
      </c>
      <c r="L666" t="s">
        <v>35</v>
      </c>
      <c r="Q666" t="str">
        <f>IF(Team_Level[[#This Row],[Result]]="","",COUNTIFS(Team_Level[Team],Team_Level[[#This Row],[Team]],Team_Level[Date],"&gt;="&amp;Team_Level[[#This Row],[Date]],Team_Level[Result],"&lt;&gt;"))</f>
        <v/>
      </c>
      <c r="R666" t="str">
        <f>Team_Level[[#This Row],[Team]]&amp;"-"&amp;Team_Level[[#This Row],[Recency Rank]]</f>
        <v>Peterborough United-</v>
      </c>
      <c r="S666" t="str">
        <f>IF(Team_Level[[#This Row],[Result]]="","",COUNTIFS(Team_Level[Team],Team_Level[[#This Row],[Team]],Team_Level[Date],"&lt;="&amp;Team_Level[[#This Row],[Date]],Team_Level[Result],"&lt;&gt;"))</f>
        <v/>
      </c>
      <c r="T666" t="str">
        <f>Team_Level[[#This Row],[Team]]&amp;"-"&amp;Team_Level[[#This Row],[Chrono Rank]]</f>
        <v>Peterborough United-</v>
      </c>
    </row>
    <row r="667" spans="1:20" x14ac:dyDescent="0.25">
      <c r="A667" t="s">
        <v>192</v>
      </c>
      <c r="B667" s="6">
        <v>46305</v>
      </c>
      <c r="C667" t="s">
        <v>4</v>
      </c>
      <c r="D667" t="s">
        <v>12</v>
      </c>
      <c r="K667">
        <v>1</v>
      </c>
      <c r="L667" t="s">
        <v>35</v>
      </c>
      <c r="Q667" t="str">
        <f>IF(Team_Level[[#This Row],[Result]]="","",COUNTIFS(Team_Level[Team],Team_Level[[#This Row],[Team]],Team_Level[Date],"&gt;="&amp;Team_Level[[#This Row],[Date]],Team_Level[Result],"&lt;&gt;"))</f>
        <v/>
      </c>
      <c r="R667" t="str">
        <f>Team_Level[[#This Row],[Team]]&amp;"-"&amp;Team_Level[[#This Row],[Recency Rank]]</f>
        <v>Bromley-</v>
      </c>
      <c r="S667" t="str">
        <f>IF(Team_Level[[#This Row],[Result]]="","",COUNTIFS(Team_Level[Team],Team_Level[[#This Row],[Team]],Team_Level[Date],"&lt;="&amp;Team_Level[[#This Row],[Date]],Team_Level[Result],"&lt;&gt;"))</f>
        <v/>
      </c>
      <c r="T667" t="str">
        <f>Team_Level[[#This Row],[Team]]&amp;"-"&amp;Team_Level[[#This Row],[Chrono Rank]]</f>
        <v>Bromley-</v>
      </c>
    </row>
    <row r="668" spans="1:20" x14ac:dyDescent="0.25">
      <c r="A668" t="s">
        <v>193</v>
      </c>
      <c r="B668" s="6">
        <v>46305</v>
      </c>
      <c r="C668" t="s">
        <v>17</v>
      </c>
      <c r="D668" t="s">
        <v>33</v>
      </c>
      <c r="K668">
        <v>1</v>
      </c>
      <c r="L668" t="s">
        <v>35</v>
      </c>
      <c r="Q668" t="str">
        <f>IF(Team_Level[[#This Row],[Result]]="","",COUNTIFS(Team_Level[Team],Team_Level[[#This Row],[Team]],Team_Level[Date],"&gt;="&amp;Team_Level[[#This Row],[Date]],Team_Level[Result],"&lt;&gt;"))</f>
        <v/>
      </c>
      <c r="R668" t="str">
        <f>Team_Level[[#This Row],[Team]]&amp;"-"&amp;Team_Level[[#This Row],[Recency Rank]]</f>
        <v>Reading-</v>
      </c>
      <c r="S668" t="str">
        <f>IF(Team_Level[[#This Row],[Result]]="","",COUNTIFS(Team_Level[Team],Team_Level[[#This Row],[Team]],Team_Level[Date],"&lt;="&amp;Team_Level[[#This Row],[Date]],Team_Level[Result],"&lt;&gt;"))</f>
        <v/>
      </c>
      <c r="T668" t="str">
        <f>Team_Level[[#This Row],[Team]]&amp;"-"&amp;Team_Level[[#This Row],[Chrono Rank]]</f>
        <v>Reading-</v>
      </c>
    </row>
    <row r="669" spans="1:20" x14ac:dyDescent="0.25">
      <c r="A669" t="s">
        <v>194</v>
      </c>
      <c r="B669" s="6">
        <v>46305</v>
      </c>
      <c r="C669" t="s">
        <v>14</v>
      </c>
      <c r="D669" t="s">
        <v>13</v>
      </c>
      <c r="K669">
        <v>1</v>
      </c>
      <c r="L669" t="s">
        <v>35</v>
      </c>
      <c r="Q669" t="str">
        <f>IF(Team_Level[[#This Row],[Result]]="","",COUNTIFS(Team_Level[Team],Team_Level[[#This Row],[Team]],Team_Level[Date],"&gt;="&amp;Team_Level[[#This Row],[Date]],Team_Level[Result],"&lt;&gt;"))</f>
        <v/>
      </c>
      <c r="R669" t="str">
        <f>Team_Level[[#This Row],[Team]]&amp;"-"&amp;Team_Level[[#This Row],[Recency Rank]]</f>
        <v>Oxford United-</v>
      </c>
      <c r="S669" t="str">
        <f>IF(Team_Level[[#This Row],[Result]]="","",COUNTIFS(Team_Level[Team],Team_Level[[#This Row],[Team]],Team_Level[Date],"&lt;="&amp;Team_Level[[#This Row],[Date]],Team_Level[Result],"&lt;&gt;"))</f>
        <v/>
      </c>
      <c r="T669" t="str">
        <f>Team_Level[[#This Row],[Team]]&amp;"-"&amp;Team_Level[[#This Row],[Chrono Rank]]</f>
        <v>Oxford United-</v>
      </c>
    </row>
    <row r="670" spans="1:20" x14ac:dyDescent="0.25">
      <c r="A670" t="s">
        <v>195</v>
      </c>
      <c r="B670" s="6">
        <v>46305</v>
      </c>
      <c r="C670" t="s">
        <v>0</v>
      </c>
      <c r="D670" t="s">
        <v>16</v>
      </c>
      <c r="K670">
        <v>1</v>
      </c>
      <c r="L670" t="s">
        <v>35</v>
      </c>
      <c r="Q670" t="str">
        <f>IF(Team_Level[[#This Row],[Result]]="","",COUNTIFS(Team_Level[Team],Team_Level[[#This Row],[Team]],Team_Level[Date],"&gt;="&amp;Team_Level[[#This Row],[Date]],Team_Level[Result],"&lt;&gt;"))</f>
        <v/>
      </c>
      <c r="R670" t="str">
        <f>Team_Level[[#This Row],[Team]]&amp;"-"&amp;Team_Level[[#This Row],[Recency Rank]]</f>
        <v>AFC Wimbledon-</v>
      </c>
      <c r="S670" t="str">
        <f>IF(Team_Level[[#This Row],[Result]]="","",COUNTIFS(Team_Level[Team],Team_Level[[#This Row],[Team]],Team_Level[Date],"&lt;="&amp;Team_Level[[#This Row],[Date]],Team_Level[Result],"&lt;&gt;"))</f>
        <v/>
      </c>
      <c r="T670" t="str">
        <f>Team_Level[[#This Row],[Team]]&amp;"-"&amp;Team_Level[[#This Row],[Chrono Rank]]</f>
        <v>AFC Wimbledon-</v>
      </c>
    </row>
    <row r="671" spans="1:20" x14ac:dyDescent="0.25">
      <c r="A671" t="s">
        <v>196</v>
      </c>
      <c r="B671" s="6">
        <v>46305</v>
      </c>
      <c r="C671" t="s">
        <v>21</v>
      </c>
      <c r="D671" t="s">
        <v>19</v>
      </c>
      <c r="K671">
        <v>1</v>
      </c>
      <c r="L671" t="s">
        <v>35</v>
      </c>
      <c r="Q671" t="str">
        <f>IF(Team_Level[[#This Row],[Result]]="","",COUNTIFS(Team_Level[Team],Team_Level[[#This Row],[Team]],Team_Level[Date],"&gt;="&amp;Team_Level[[#This Row],[Date]],Team_Level[Result],"&lt;&gt;"))</f>
        <v/>
      </c>
      <c r="R671" t="str">
        <f>Team_Level[[#This Row],[Team]]&amp;"-"&amp;Team_Level[[#This Row],[Recency Rank]]</f>
        <v>Wigan Athletic-</v>
      </c>
      <c r="S671" t="str">
        <f>IF(Team_Level[[#This Row],[Result]]="","",COUNTIFS(Team_Level[Team],Team_Level[[#This Row],[Team]],Team_Level[Date],"&lt;="&amp;Team_Level[[#This Row],[Date]],Team_Level[Result],"&lt;&gt;"))</f>
        <v/>
      </c>
      <c r="T671" t="str">
        <f>Team_Level[[#This Row],[Team]]&amp;"-"&amp;Team_Level[[#This Row],[Chrono Rank]]</f>
        <v>Wigan Athletic-</v>
      </c>
    </row>
    <row r="672" spans="1:20" x14ac:dyDescent="0.25">
      <c r="A672" t="s">
        <v>197</v>
      </c>
      <c r="B672" s="6">
        <v>46305</v>
      </c>
      <c r="C672" t="s">
        <v>1</v>
      </c>
      <c r="D672" t="s">
        <v>20</v>
      </c>
      <c r="K672">
        <v>1</v>
      </c>
      <c r="L672" t="s">
        <v>35</v>
      </c>
      <c r="Q672" t="str">
        <f>IF(Team_Level[[#This Row],[Result]]="","",COUNTIFS(Team_Level[Team],Team_Level[[#This Row],[Team]],Team_Level[Date],"&gt;="&amp;Team_Level[[#This Row],[Date]],Team_Level[Result],"&lt;&gt;"))</f>
        <v/>
      </c>
      <c r="R672" t="str">
        <f>Team_Level[[#This Row],[Team]]&amp;"-"&amp;Team_Level[[#This Row],[Recency Rank]]</f>
        <v>Barnsley-</v>
      </c>
      <c r="S672" t="str">
        <f>IF(Team_Level[[#This Row],[Result]]="","",COUNTIFS(Team_Level[Team],Team_Level[[#This Row],[Team]],Team_Level[Date],"&lt;="&amp;Team_Level[[#This Row],[Date]],Team_Level[Result],"&lt;&gt;"))</f>
        <v/>
      </c>
      <c r="T672" t="str">
        <f>Team_Level[[#This Row],[Team]]&amp;"-"&amp;Team_Level[[#This Row],[Chrono Rank]]</f>
        <v>Barnsley-</v>
      </c>
    </row>
    <row r="673" spans="1:20" x14ac:dyDescent="0.25">
      <c r="A673" t="s">
        <v>198</v>
      </c>
      <c r="B673" s="6">
        <v>46305</v>
      </c>
      <c r="C673" t="s">
        <v>11</v>
      </c>
      <c r="D673" t="s">
        <v>22</v>
      </c>
      <c r="K673">
        <v>1</v>
      </c>
      <c r="L673" t="s">
        <v>35</v>
      </c>
      <c r="Q673" t="str">
        <f>IF(Team_Level[[#This Row],[Result]]="","",COUNTIFS(Team_Level[Team],Team_Level[[#This Row],[Team]],Team_Level[Date],"&gt;="&amp;Team_Level[[#This Row],[Date]],Team_Level[Result],"&lt;&gt;"))</f>
        <v/>
      </c>
      <c r="R673" t="str">
        <f>Team_Level[[#This Row],[Team]]&amp;"-"&amp;Team_Level[[#This Row],[Recency Rank]]</f>
        <v>Luton Town-</v>
      </c>
      <c r="S673" t="str">
        <f>IF(Team_Level[[#This Row],[Result]]="","",COUNTIFS(Team_Level[Team],Team_Level[[#This Row],[Team]],Team_Level[Date],"&lt;="&amp;Team_Level[[#This Row],[Date]],Team_Level[Result],"&lt;&gt;"))</f>
        <v/>
      </c>
      <c r="T673" t="str">
        <f>Team_Level[[#This Row],[Team]]&amp;"-"&amp;Team_Level[[#This Row],[Chrono Rank]]</f>
        <v>Luton Town-</v>
      </c>
    </row>
    <row r="674" spans="1:20" x14ac:dyDescent="0.25">
      <c r="A674" t="s">
        <v>199</v>
      </c>
      <c r="B674" s="6">
        <v>46310</v>
      </c>
      <c r="C674" t="s">
        <v>14</v>
      </c>
      <c r="D674" t="s">
        <v>12</v>
      </c>
      <c r="K674">
        <v>1</v>
      </c>
      <c r="L674" t="s">
        <v>35</v>
      </c>
      <c r="Q674" t="str">
        <f>IF(Team_Level[[#This Row],[Result]]="","",COUNTIFS(Team_Level[Team],Team_Level[[#This Row],[Team]],Team_Level[Date],"&gt;="&amp;Team_Level[[#This Row],[Date]],Team_Level[Result],"&lt;&gt;"))</f>
        <v/>
      </c>
      <c r="R674" t="str">
        <f>Team_Level[[#This Row],[Team]]&amp;"-"&amp;Team_Level[[#This Row],[Recency Rank]]</f>
        <v>Oxford United-</v>
      </c>
      <c r="S674" t="str">
        <f>IF(Team_Level[[#This Row],[Result]]="","",COUNTIFS(Team_Level[Team],Team_Level[[#This Row],[Team]],Team_Level[Date],"&lt;="&amp;Team_Level[[#This Row],[Date]],Team_Level[Result],"&lt;&gt;"))</f>
        <v/>
      </c>
      <c r="T674" t="str">
        <f>Team_Level[[#This Row],[Team]]&amp;"-"&amp;Team_Level[[#This Row],[Chrono Rank]]</f>
        <v>Oxford United-</v>
      </c>
    </row>
    <row r="675" spans="1:20" x14ac:dyDescent="0.25">
      <c r="A675" t="s">
        <v>200</v>
      </c>
      <c r="B675" s="6">
        <v>46312</v>
      </c>
      <c r="C675" t="s">
        <v>6</v>
      </c>
      <c r="D675" t="s">
        <v>1</v>
      </c>
      <c r="K675">
        <v>1</v>
      </c>
      <c r="L675" t="s">
        <v>35</v>
      </c>
      <c r="Q675" t="str">
        <f>IF(Team_Level[[#This Row],[Result]]="","",COUNTIFS(Team_Level[Team],Team_Level[[#This Row],[Team]],Team_Level[Date],"&gt;="&amp;Team_Level[[#This Row],[Date]],Team_Level[Result],"&lt;&gt;"))</f>
        <v/>
      </c>
      <c r="R675" t="str">
        <f>Team_Level[[#This Row],[Team]]&amp;"-"&amp;Team_Level[[#This Row],[Recency Rank]]</f>
        <v>Cambridge United-</v>
      </c>
      <c r="S675" t="str">
        <f>IF(Team_Level[[#This Row],[Result]]="","",COUNTIFS(Team_Level[Team],Team_Level[[#This Row],[Team]],Team_Level[Date],"&lt;="&amp;Team_Level[[#This Row],[Date]],Team_Level[Result],"&lt;&gt;"))</f>
        <v/>
      </c>
      <c r="T675" t="str">
        <f>Team_Level[[#This Row],[Team]]&amp;"-"&amp;Team_Level[[#This Row],[Chrono Rank]]</f>
        <v>Cambridge United-</v>
      </c>
    </row>
    <row r="676" spans="1:20" x14ac:dyDescent="0.25">
      <c r="A676" t="s">
        <v>201</v>
      </c>
      <c r="B676" s="6">
        <v>46312</v>
      </c>
      <c r="C676" t="s">
        <v>19</v>
      </c>
      <c r="D676" t="s">
        <v>3</v>
      </c>
      <c r="K676">
        <v>1</v>
      </c>
      <c r="L676" t="s">
        <v>35</v>
      </c>
      <c r="Q676" t="str">
        <f>IF(Team_Level[[#This Row],[Result]]="","",COUNTIFS(Team_Level[Team],Team_Level[[#This Row],[Team]],Team_Level[Date],"&gt;="&amp;Team_Level[[#This Row],[Date]],Team_Level[Result],"&lt;&gt;"))</f>
        <v/>
      </c>
      <c r="R676" t="str">
        <f>Team_Level[[#This Row],[Team]]&amp;"-"&amp;Team_Level[[#This Row],[Recency Rank]]</f>
        <v>Stevenage-</v>
      </c>
      <c r="S676" t="str">
        <f>IF(Team_Level[[#This Row],[Result]]="","",COUNTIFS(Team_Level[Team],Team_Level[[#This Row],[Team]],Team_Level[Date],"&lt;="&amp;Team_Level[[#This Row],[Date]],Team_Level[Result],"&lt;&gt;"))</f>
        <v/>
      </c>
      <c r="T676" t="str">
        <f>Team_Level[[#This Row],[Team]]&amp;"-"&amp;Team_Level[[#This Row],[Chrono Rank]]</f>
        <v>Stevenage-</v>
      </c>
    </row>
    <row r="677" spans="1:20" x14ac:dyDescent="0.25">
      <c r="A677" t="s">
        <v>202</v>
      </c>
      <c r="B677" s="6">
        <v>46312</v>
      </c>
      <c r="C677" t="s">
        <v>7</v>
      </c>
      <c r="D677" t="s">
        <v>9</v>
      </c>
      <c r="K677">
        <v>1</v>
      </c>
      <c r="L677" t="s">
        <v>35</v>
      </c>
      <c r="Q677" t="str">
        <f>IF(Team_Level[[#This Row],[Result]]="","",COUNTIFS(Team_Level[Team],Team_Level[[#This Row],[Team]],Team_Level[Date],"&gt;="&amp;Team_Level[[#This Row],[Date]],Team_Level[Result],"&lt;&gt;"))</f>
        <v/>
      </c>
      <c r="R677" t="str">
        <f>Team_Level[[#This Row],[Team]]&amp;"-"&amp;Team_Level[[#This Row],[Recency Rank]]</f>
        <v>Doncaster Rovers-</v>
      </c>
      <c r="S677" t="str">
        <f>IF(Team_Level[[#This Row],[Result]]="","",COUNTIFS(Team_Level[Team],Team_Level[[#This Row],[Team]],Team_Level[Date],"&lt;="&amp;Team_Level[[#This Row],[Date]],Team_Level[Result],"&lt;&gt;"))</f>
        <v/>
      </c>
      <c r="T677" t="str">
        <f>Team_Level[[#This Row],[Team]]&amp;"-"&amp;Team_Level[[#This Row],[Chrono Rank]]</f>
        <v>Doncaster Rovers-</v>
      </c>
    </row>
    <row r="678" spans="1:20" x14ac:dyDescent="0.25">
      <c r="A678" t="s">
        <v>203</v>
      </c>
      <c r="B678" s="6">
        <v>46312</v>
      </c>
      <c r="C678" t="s">
        <v>2</v>
      </c>
      <c r="D678" t="s">
        <v>10</v>
      </c>
      <c r="K678">
        <v>1</v>
      </c>
      <c r="L678" t="s">
        <v>35</v>
      </c>
      <c r="Q678" t="str">
        <f>IF(Team_Level[[#This Row],[Result]]="","",COUNTIFS(Team_Level[Team],Team_Level[[#This Row],[Team]],Team_Level[Date],"&gt;="&amp;Team_Level[[#This Row],[Date]],Team_Level[Result],"&lt;&gt;"))</f>
        <v/>
      </c>
      <c r="R678" t="str">
        <f>Team_Level[[#This Row],[Team]]&amp;"-"&amp;Team_Level[[#This Row],[Recency Rank]]</f>
        <v>Blackpool-</v>
      </c>
      <c r="S678" t="str">
        <f>IF(Team_Level[[#This Row],[Result]]="","",COUNTIFS(Team_Level[Team],Team_Level[[#This Row],[Team]],Team_Level[Date],"&lt;="&amp;Team_Level[[#This Row],[Date]],Team_Level[Result],"&lt;&gt;"))</f>
        <v/>
      </c>
      <c r="T678" t="str">
        <f>Team_Level[[#This Row],[Team]]&amp;"-"&amp;Team_Level[[#This Row],[Chrono Rank]]</f>
        <v>Blackpool-</v>
      </c>
    </row>
    <row r="679" spans="1:20" x14ac:dyDescent="0.25">
      <c r="A679" t="s">
        <v>204</v>
      </c>
      <c r="B679" s="6">
        <v>46312</v>
      </c>
      <c r="C679" t="s">
        <v>11</v>
      </c>
      <c r="D679" t="s">
        <v>33</v>
      </c>
      <c r="K679">
        <v>1</v>
      </c>
      <c r="L679" t="s">
        <v>35</v>
      </c>
      <c r="Q679" t="str">
        <f>IF(Team_Level[[#This Row],[Result]]="","",COUNTIFS(Team_Level[Team],Team_Level[[#This Row],[Team]],Team_Level[Date],"&gt;="&amp;Team_Level[[#This Row],[Date]],Team_Level[Result],"&lt;&gt;"))</f>
        <v/>
      </c>
      <c r="R679" t="str">
        <f>Team_Level[[#This Row],[Team]]&amp;"-"&amp;Team_Level[[#This Row],[Recency Rank]]</f>
        <v>Luton Town-</v>
      </c>
      <c r="S679" t="str">
        <f>IF(Team_Level[[#This Row],[Result]]="","",COUNTIFS(Team_Level[Team],Team_Level[[#This Row],[Team]],Team_Level[Date],"&lt;="&amp;Team_Level[[#This Row],[Date]],Team_Level[Result],"&lt;&gt;"))</f>
        <v/>
      </c>
      <c r="T679" t="str">
        <f>Team_Level[[#This Row],[Team]]&amp;"-"&amp;Team_Level[[#This Row],[Chrono Rank]]</f>
        <v>Luton Town-</v>
      </c>
    </row>
    <row r="680" spans="1:20" x14ac:dyDescent="0.25">
      <c r="A680" t="s">
        <v>205</v>
      </c>
      <c r="B680" s="6">
        <v>46312</v>
      </c>
      <c r="C680" t="s">
        <v>5</v>
      </c>
      <c r="D680" t="s">
        <v>15</v>
      </c>
      <c r="K680">
        <v>1</v>
      </c>
      <c r="L680" t="s">
        <v>35</v>
      </c>
      <c r="Q680" t="str">
        <f>IF(Team_Level[[#This Row],[Result]]="","",COUNTIFS(Team_Level[Team],Team_Level[[#This Row],[Team]],Team_Level[Date],"&gt;="&amp;Team_Level[[#This Row],[Date]],Team_Level[Result],"&lt;&gt;"))</f>
        <v/>
      </c>
      <c r="R680" t="str">
        <f>Team_Level[[#This Row],[Team]]&amp;"-"&amp;Team_Level[[#This Row],[Recency Rank]]</f>
        <v>Burton Albion-</v>
      </c>
      <c r="S680" t="str">
        <f>IF(Team_Level[[#This Row],[Result]]="","",COUNTIFS(Team_Level[Team],Team_Level[[#This Row],[Team]],Team_Level[Date],"&lt;="&amp;Team_Level[[#This Row],[Date]],Team_Level[Result],"&lt;&gt;"))</f>
        <v/>
      </c>
      <c r="T680" t="str">
        <f>Team_Level[[#This Row],[Team]]&amp;"-"&amp;Team_Level[[#This Row],[Chrono Rank]]</f>
        <v>Burton Albion-</v>
      </c>
    </row>
    <row r="681" spans="1:20" x14ac:dyDescent="0.25">
      <c r="A681" t="s">
        <v>206</v>
      </c>
      <c r="B681" s="6">
        <v>46312</v>
      </c>
      <c r="C681" t="s">
        <v>8</v>
      </c>
      <c r="D681" t="s">
        <v>16</v>
      </c>
      <c r="K681">
        <v>1</v>
      </c>
      <c r="L681" t="s">
        <v>35</v>
      </c>
      <c r="Q681" t="str">
        <f>IF(Team_Level[[#This Row],[Result]]="","",COUNTIFS(Team_Level[Team],Team_Level[[#This Row],[Team]],Team_Level[Date],"&gt;="&amp;Team_Level[[#This Row],[Date]],Team_Level[Result],"&lt;&gt;"))</f>
        <v/>
      </c>
      <c r="R681" t="str">
        <f>Team_Level[[#This Row],[Team]]&amp;"-"&amp;Team_Level[[#This Row],[Recency Rank]]</f>
        <v>Huddersfield Town-</v>
      </c>
      <c r="S681" t="str">
        <f>IF(Team_Level[[#This Row],[Result]]="","",COUNTIFS(Team_Level[Team],Team_Level[[#This Row],[Team]],Team_Level[Date],"&lt;="&amp;Team_Level[[#This Row],[Date]],Team_Level[Result],"&lt;&gt;"))</f>
        <v/>
      </c>
      <c r="T681" t="str">
        <f>Team_Level[[#This Row],[Team]]&amp;"-"&amp;Team_Level[[#This Row],[Chrono Rank]]</f>
        <v>Huddersfield Town-</v>
      </c>
    </row>
    <row r="682" spans="1:20" x14ac:dyDescent="0.25">
      <c r="A682" t="s">
        <v>207</v>
      </c>
      <c r="B682" s="6">
        <v>46312</v>
      </c>
      <c r="C682" t="s">
        <v>0</v>
      </c>
      <c r="D682" t="s">
        <v>18</v>
      </c>
      <c r="K682">
        <v>1</v>
      </c>
      <c r="L682" t="s">
        <v>35</v>
      </c>
      <c r="Q682" t="str">
        <f>IF(Team_Level[[#This Row],[Result]]="","",COUNTIFS(Team_Level[Team],Team_Level[[#This Row],[Team]],Team_Level[Date],"&gt;="&amp;Team_Level[[#This Row],[Date]],Team_Level[Result],"&lt;&gt;"))</f>
        <v/>
      </c>
      <c r="R682" t="str">
        <f>Team_Level[[#This Row],[Team]]&amp;"-"&amp;Team_Level[[#This Row],[Recency Rank]]</f>
        <v>AFC Wimbledon-</v>
      </c>
      <c r="S682" t="str">
        <f>IF(Team_Level[[#This Row],[Result]]="","",COUNTIFS(Team_Level[Team],Team_Level[[#This Row],[Team]],Team_Level[Date],"&lt;="&amp;Team_Level[[#This Row],[Date]],Team_Level[Result],"&lt;&gt;"))</f>
        <v/>
      </c>
      <c r="T682" t="str">
        <f>Team_Level[[#This Row],[Team]]&amp;"-"&amp;Team_Level[[#This Row],[Chrono Rank]]</f>
        <v>AFC Wimbledon-</v>
      </c>
    </row>
    <row r="683" spans="1:20" x14ac:dyDescent="0.25">
      <c r="A683" t="s">
        <v>208</v>
      </c>
      <c r="B683" s="6">
        <v>46312</v>
      </c>
      <c r="C683" t="s">
        <v>4</v>
      </c>
      <c r="D683" t="s">
        <v>20</v>
      </c>
      <c r="K683">
        <v>1</v>
      </c>
      <c r="L683" t="s">
        <v>35</v>
      </c>
      <c r="Q683" t="str">
        <f>IF(Team_Level[[#This Row],[Result]]="","",COUNTIFS(Team_Level[Team],Team_Level[[#This Row],[Team]],Team_Level[Date],"&gt;="&amp;Team_Level[[#This Row],[Date]],Team_Level[Result],"&lt;&gt;"))</f>
        <v/>
      </c>
      <c r="R683" t="str">
        <f>Team_Level[[#This Row],[Team]]&amp;"-"&amp;Team_Level[[#This Row],[Recency Rank]]</f>
        <v>Bromley-</v>
      </c>
      <c r="S683" t="str">
        <f>IF(Team_Level[[#This Row],[Result]]="","",COUNTIFS(Team_Level[Team],Team_Level[[#This Row],[Team]],Team_Level[Date],"&lt;="&amp;Team_Level[[#This Row],[Date]],Team_Level[Result],"&lt;&gt;"))</f>
        <v/>
      </c>
      <c r="T683" t="str">
        <f>Team_Level[[#This Row],[Team]]&amp;"-"&amp;Team_Level[[#This Row],[Chrono Rank]]</f>
        <v>Bromley-</v>
      </c>
    </row>
    <row r="684" spans="1:20" x14ac:dyDescent="0.25">
      <c r="A684" t="s">
        <v>209</v>
      </c>
      <c r="B684" s="6">
        <v>46312</v>
      </c>
      <c r="C684" t="s">
        <v>17</v>
      </c>
      <c r="D684" t="s">
        <v>21</v>
      </c>
      <c r="K684">
        <v>1</v>
      </c>
      <c r="L684" t="s">
        <v>35</v>
      </c>
      <c r="Q684" t="str">
        <f>IF(Team_Level[[#This Row],[Result]]="","",COUNTIFS(Team_Level[Team],Team_Level[[#This Row],[Team]],Team_Level[Date],"&gt;="&amp;Team_Level[[#This Row],[Date]],Team_Level[Result],"&lt;&gt;"))</f>
        <v/>
      </c>
      <c r="R684" t="str">
        <f>Team_Level[[#This Row],[Team]]&amp;"-"&amp;Team_Level[[#This Row],[Recency Rank]]</f>
        <v>Reading-</v>
      </c>
      <c r="S684" t="str">
        <f>IF(Team_Level[[#This Row],[Result]]="","",COUNTIFS(Team_Level[Team],Team_Level[[#This Row],[Team]],Team_Level[Date],"&lt;="&amp;Team_Level[[#This Row],[Date]],Team_Level[Result],"&lt;&gt;"))</f>
        <v/>
      </c>
      <c r="T684" t="str">
        <f>Team_Level[[#This Row],[Team]]&amp;"-"&amp;Team_Level[[#This Row],[Chrono Rank]]</f>
        <v>Reading-</v>
      </c>
    </row>
    <row r="685" spans="1:20" x14ac:dyDescent="0.25">
      <c r="A685" t="s">
        <v>210</v>
      </c>
      <c r="B685" s="6">
        <v>46312</v>
      </c>
      <c r="C685" t="s">
        <v>13</v>
      </c>
      <c r="D685" t="s">
        <v>22</v>
      </c>
      <c r="K685">
        <v>1</v>
      </c>
      <c r="L685" t="s">
        <v>35</v>
      </c>
      <c r="Q685" t="str">
        <f>IF(Team_Level[[#This Row],[Result]]="","",COUNTIFS(Team_Level[Team],Team_Level[[#This Row],[Team]],Team_Level[Date],"&gt;="&amp;Team_Level[[#This Row],[Date]],Team_Level[Result],"&lt;&gt;"))</f>
        <v/>
      </c>
      <c r="R685" t="str">
        <f>Team_Level[[#This Row],[Team]]&amp;"-"&amp;Team_Level[[#This Row],[Recency Rank]]</f>
        <v>Notts County-</v>
      </c>
      <c r="S685" t="str">
        <f>IF(Team_Level[[#This Row],[Result]]="","",COUNTIFS(Team_Level[Team],Team_Level[[#This Row],[Team]],Team_Level[Date],"&lt;="&amp;Team_Level[[#This Row],[Date]],Team_Level[Result],"&lt;&gt;"))</f>
        <v/>
      </c>
      <c r="T685" t="str">
        <f>Team_Level[[#This Row],[Team]]&amp;"-"&amp;Team_Level[[#This Row],[Chrono Rank]]</f>
        <v>Notts County-</v>
      </c>
    </row>
    <row r="686" spans="1:20" x14ac:dyDescent="0.25">
      <c r="A686" t="s">
        <v>211</v>
      </c>
      <c r="B686" s="6">
        <v>46315</v>
      </c>
      <c r="C686" t="s">
        <v>12</v>
      </c>
      <c r="D686" t="s">
        <v>0</v>
      </c>
      <c r="K686">
        <v>1</v>
      </c>
      <c r="L686" t="s">
        <v>35</v>
      </c>
      <c r="Q686" t="str">
        <f>IF(Team_Level[[#This Row],[Result]]="","",COUNTIFS(Team_Level[Team],Team_Level[[#This Row],[Team]],Team_Level[Date],"&gt;="&amp;Team_Level[[#This Row],[Date]],Team_Level[Result],"&lt;&gt;"))</f>
        <v/>
      </c>
      <c r="R686" t="str">
        <f>Team_Level[[#This Row],[Team]]&amp;"-"&amp;Team_Level[[#This Row],[Recency Rank]]</f>
        <v>Mansfield Town-</v>
      </c>
      <c r="S686" t="str">
        <f>IF(Team_Level[[#This Row],[Result]]="","",COUNTIFS(Team_Level[Team],Team_Level[[#This Row],[Team]],Team_Level[Date],"&lt;="&amp;Team_Level[[#This Row],[Date]],Team_Level[Result],"&lt;&gt;"))</f>
        <v/>
      </c>
      <c r="T686" t="str">
        <f>Team_Level[[#This Row],[Team]]&amp;"-"&amp;Team_Level[[#This Row],[Chrono Rank]]</f>
        <v>Mansfield Town-</v>
      </c>
    </row>
    <row r="687" spans="1:20" x14ac:dyDescent="0.25">
      <c r="A687" t="s">
        <v>212</v>
      </c>
      <c r="B687" s="6">
        <v>46315</v>
      </c>
      <c r="C687" t="s">
        <v>33</v>
      </c>
      <c r="D687" t="s">
        <v>2</v>
      </c>
      <c r="K687">
        <v>1</v>
      </c>
      <c r="L687" t="s">
        <v>35</v>
      </c>
      <c r="Q687" t="str">
        <f>IF(Team_Level[[#This Row],[Result]]="","",COUNTIFS(Team_Level[Team],Team_Level[[#This Row],[Team]],Team_Level[Date],"&gt;="&amp;Team_Level[[#This Row],[Date]],Team_Level[Result],"&lt;&gt;"))</f>
        <v/>
      </c>
      <c r="R687" t="str">
        <f>Team_Level[[#This Row],[Team]]&amp;"-"&amp;Team_Level[[#This Row],[Recency Rank]]</f>
        <v>Milton Keynes Dons-</v>
      </c>
      <c r="S687" t="str">
        <f>IF(Team_Level[[#This Row],[Result]]="","",COUNTIFS(Team_Level[Team],Team_Level[[#This Row],[Team]],Team_Level[Date],"&lt;="&amp;Team_Level[[#This Row],[Date]],Team_Level[Result],"&lt;&gt;"))</f>
        <v/>
      </c>
      <c r="T687" t="str">
        <f>Team_Level[[#This Row],[Team]]&amp;"-"&amp;Team_Level[[#This Row],[Chrono Rank]]</f>
        <v>Milton Keynes Dons-</v>
      </c>
    </row>
    <row r="688" spans="1:20" x14ac:dyDescent="0.25">
      <c r="A688" t="s">
        <v>213</v>
      </c>
      <c r="B688" s="6">
        <v>46315</v>
      </c>
      <c r="C688" t="s">
        <v>9</v>
      </c>
      <c r="D688" t="s">
        <v>4</v>
      </c>
      <c r="K688">
        <v>1</v>
      </c>
      <c r="L688" t="s">
        <v>35</v>
      </c>
      <c r="Q688" t="str">
        <f>IF(Team_Level[[#This Row],[Result]]="","",COUNTIFS(Team_Level[Team],Team_Level[[#This Row],[Team]],Team_Level[Date],"&gt;="&amp;Team_Level[[#This Row],[Date]],Team_Level[Result],"&lt;&gt;"))</f>
        <v/>
      </c>
      <c r="R688" t="str">
        <f>Team_Level[[#This Row],[Team]]&amp;"-"&amp;Team_Level[[#This Row],[Recency Rank]]</f>
        <v>Leicester City-</v>
      </c>
      <c r="S688" t="str">
        <f>IF(Team_Level[[#This Row],[Result]]="","",COUNTIFS(Team_Level[Team],Team_Level[[#This Row],[Team]],Team_Level[Date],"&lt;="&amp;Team_Level[[#This Row],[Date]],Team_Level[Result],"&lt;&gt;"))</f>
        <v/>
      </c>
      <c r="T688" t="str">
        <f>Team_Level[[#This Row],[Team]]&amp;"-"&amp;Team_Level[[#This Row],[Chrono Rank]]</f>
        <v>Leicester City-</v>
      </c>
    </row>
    <row r="689" spans="1:20" x14ac:dyDescent="0.25">
      <c r="A689" t="s">
        <v>214</v>
      </c>
      <c r="B689" s="6">
        <v>46315</v>
      </c>
      <c r="C689" t="s">
        <v>3</v>
      </c>
      <c r="D689" t="s">
        <v>5</v>
      </c>
      <c r="K689">
        <v>1</v>
      </c>
      <c r="L689" t="s">
        <v>35</v>
      </c>
      <c r="Q689" t="str">
        <f>IF(Team_Level[[#This Row],[Result]]="","",COUNTIFS(Team_Level[Team],Team_Level[[#This Row],[Team]],Team_Level[Date],"&gt;="&amp;Team_Level[[#This Row],[Date]],Team_Level[Result],"&lt;&gt;"))</f>
        <v/>
      </c>
      <c r="R689" t="str">
        <f>Team_Level[[#This Row],[Team]]&amp;"-"&amp;Team_Level[[#This Row],[Recency Rank]]</f>
        <v>Bradford City-</v>
      </c>
      <c r="S689" t="str">
        <f>IF(Team_Level[[#This Row],[Result]]="","",COUNTIFS(Team_Level[Team],Team_Level[[#This Row],[Team]],Team_Level[Date],"&lt;="&amp;Team_Level[[#This Row],[Date]],Team_Level[Result],"&lt;&gt;"))</f>
        <v/>
      </c>
      <c r="T689" t="str">
        <f>Team_Level[[#This Row],[Team]]&amp;"-"&amp;Team_Level[[#This Row],[Chrono Rank]]</f>
        <v>Bradford City-</v>
      </c>
    </row>
    <row r="690" spans="1:20" x14ac:dyDescent="0.25">
      <c r="A690" t="s">
        <v>215</v>
      </c>
      <c r="B690" s="6">
        <v>46315</v>
      </c>
      <c r="C690" t="s">
        <v>22</v>
      </c>
      <c r="D690" t="s">
        <v>6</v>
      </c>
      <c r="K690">
        <v>1</v>
      </c>
      <c r="L690" t="s">
        <v>35</v>
      </c>
      <c r="Q690" t="str">
        <f>IF(Team_Level[[#This Row],[Result]]="","",COUNTIFS(Team_Level[Team],Team_Level[[#This Row],[Team]],Team_Level[Date],"&gt;="&amp;Team_Level[[#This Row],[Date]],Team_Level[Result],"&lt;&gt;"))</f>
        <v/>
      </c>
      <c r="R690" t="str">
        <f>Team_Level[[#This Row],[Team]]&amp;"-"&amp;Team_Level[[#This Row],[Recency Rank]]</f>
        <v>Wycombe Wanderers-</v>
      </c>
      <c r="S690" t="str">
        <f>IF(Team_Level[[#This Row],[Result]]="","",COUNTIFS(Team_Level[Team],Team_Level[[#This Row],[Team]],Team_Level[Date],"&lt;="&amp;Team_Level[[#This Row],[Date]],Team_Level[Result],"&lt;&gt;"))</f>
        <v/>
      </c>
      <c r="T690" t="str">
        <f>Team_Level[[#This Row],[Team]]&amp;"-"&amp;Team_Level[[#This Row],[Chrono Rank]]</f>
        <v>Wycombe Wanderers-</v>
      </c>
    </row>
    <row r="691" spans="1:20" x14ac:dyDescent="0.25">
      <c r="A691" t="s">
        <v>216</v>
      </c>
      <c r="B691" s="6">
        <v>46315</v>
      </c>
      <c r="C691" t="s">
        <v>20</v>
      </c>
      <c r="D691" t="s">
        <v>7</v>
      </c>
      <c r="K691">
        <v>1</v>
      </c>
      <c r="L691" t="s">
        <v>35</v>
      </c>
      <c r="Q691" t="str">
        <f>IF(Team_Level[[#This Row],[Result]]="","",COUNTIFS(Team_Level[Team],Team_Level[[#This Row],[Team]],Team_Level[Date],"&gt;="&amp;Team_Level[[#This Row],[Date]],Team_Level[Result],"&lt;&gt;"))</f>
        <v/>
      </c>
      <c r="R691" t="str">
        <f>Team_Level[[#This Row],[Team]]&amp;"-"&amp;Team_Level[[#This Row],[Recency Rank]]</f>
        <v>Stockport County-</v>
      </c>
      <c r="S691" t="str">
        <f>IF(Team_Level[[#This Row],[Result]]="","",COUNTIFS(Team_Level[Team],Team_Level[[#This Row],[Team]],Team_Level[Date],"&lt;="&amp;Team_Level[[#This Row],[Date]],Team_Level[Result],"&lt;&gt;"))</f>
        <v/>
      </c>
      <c r="T691" t="str">
        <f>Team_Level[[#This Row],[Team]]&amp;"-"&amp;Team_Level[[#This Row],[Chrono Rank]]</f>
        <v>Stockport County-</v>
      </c>
    </row>
    <row r="692" spans="1:20" x14ac:dyDescent="0.25">
      <c r="A692" t="s">
        <v>217</v>
      </c>
      <c r="B692" s="6">
        <v>46315</v>
      </c>
      <c r="C692" t="s">
        <v>15</v>
      </c>
      <c r="D692" t="s">
        <v>8</v>
      </c>
      <c r="K692">
        <v>1</v>
      </c>
      <c r="L692" t="s">
        <v>35</v>
      </c>
      <c r="Q692" t="str">
        <f>IF(Team_Level[[#This Row],[Result]]="","",COUNTIFS(Team_Level[Team],Team_Level[[#This Row],[Team]],Team_Level[Date],"&gt;="&amp;Team_Level[[#This Row],[Date]],Team_Level[Result],"&lt;&gt;"))</f>
        <v/>
      </c>
      <c r="R692" t="str">
        <f>Team_Level[[#This Row],[Team]]&amp;"-"&amp;Team_Level[[#This Row],[Recency Rank]]</f>
        <v>Peterborough United-</v>
      </c>
      <c r="S692" t="str">
        <f>IF(Team_Level[[#This Row],[Result]]="","",COUNTIFS(Team_Level[Team],Team_Level[[#This Row],[Team]],Team_Level[Date],"&lt;="&amp;Team_Level[[#This Row],[Date]],Team_Level[Result],"&lt;&gt;"))</f>
        <v/>
      </c>
      <c r="T692" t="str">
        <f>Team_Level[[#This Row],[Team]]&amp;"-"&amp;Team_Level[[#This Row],[Chrono Rank]]</f>
        <v>Peterborough United-</v>
      </c>
    </row>
    <row r="693" spans="1:20" x14ac:dyDescent="0.25">
      <c r="A693" t="s">
        <v>218</v>
      </c>
      <c r="B693" s="6">
        <v>46315</v>
      </c>
      <c r="C693" t="s">
        <v>1</v>
      </c>
      <c r="D693" t="s">
        <v>11</v>
      </c>
      <c r="K693">
        <v>1</v>
      </c>
      <c r="L693" t="s">
        <v>35</v>
      </c>
      <c r="Q693" t="str">
        <f>IF(Team_Level[[#This Row],[Result]]="","",COUNTIFS(Team_Level[Team],Team_Level[[#This Row],[Team]],Team_Level[Date],"&gt;="&amp;Team_Level[[#This Row],[Date]],Team_Level[Result],"&lt;&gt;"))</f>
        <v/>
      </c>
      <c r="R693" t="str">
        <f>Team_Level[[#This Row],[Team]]&amp;"-"&amp;Team_Level[[#This Row],[Recency Rank]]</f>
        <v>Barnsley-</v>
      </c>
      <c r="S693" t="str">
        <f>IF(Team_Level[[#This Row],[Result]]="","",COUNTIFS(Team_Level[Team],Team_Level[[#This Row],[Team]],Team_Level[Date],"&lt;="&amp;Team_Level[[#This Row],[Date]],Team_Level[Result],"&lt;&gt;"))</f>
        <v/>
      </c>
      <c r="T693" t="str">
        <f>Team_Level[[#This Row],[Team]]&amp;"-"&amp;Team_Level[[#This Row],[Chrono Rank]]</f>
        <v>Barnsley-</v>
      </c>
    </row>
    <row r="694" spans="1:20" x14ac:dyDescent="0.25">
      <c r="A694" t="s">
        <v>219</v>
      </c>
      <c r="B694" s="6">
        <v>46315</v>
      </c>
      <c r="C694" t="s">
        <v>18</v>
      </c>
      <c r="D694" t="s">
        <v>13</v>
      </c>
      <c r="K694">
        <v>1</v>
      </c>
      <c r="L694" t="s">
        <v>35</v>
      </c>
      <c r="Q694" t="str">
        <f>IF(Team_Level[[#This Row],[Result]]="","",COUNTIFS(Team_Level[Team],Team_Level[[#This Row],[Team]],Team_Level[Date],"&gt;="&amp;Team_Level[[#This Row],[Date]],Team_Level[Result],"&lt;&gt;"))</f>
        <v/>
      </c>
      <c r="R694" t="str">
        <f>Team_Level[[#This Row],[Team]]&amp;"-"&amp;Team_Level[[#This Row],[Recency Rank]]</f>
        <v>Sheffield Wednesday-</v>
      </c>
      <c r="S694" t="str">
        <f>IF(Team_Level[[#This Row],[Result]]="","",COUNTIFS(Team_Level[Team],Team_Level[[#This Row],[Team]],Team_Level[Date],"&lt;="&amp;Team_Level[[#This Row],[Date]],Team_Level[Result],"&lt;&gt;"))</f>
        <v/>
      </c>
      <c r="T694" t="str">
        <f>Team_Level[[#This Row],[Team]]&amp;"-"&amp;Team_Level[[#This Row],[Chrono Rank]]</f>
        <v>Sheffield Wednesday-</v>
      </c>
    </row>
    <row r="695" spans="1:20" x14ac:dyDescent="0.25">
      <c r="A695" t="s">
        <v>220</v>
      </c>
      <c r="B695" s="6">
        <v>46315</v>
      </c>
      <c r="C695" t="s">
        <v>21</v>
      </c>
      <c r="D695" t="s">
        <v>14</v>
      </c>
      <c r="K695">
        <v>1</v>
      </c>
      <c r="L695" t="s">
        <v>35</v>
      </c>
      <c r="Q695" t="str">
        <f>IF(Team_Level[[#This Row],[Result]]="","",COUNTIFS(Team_Level[Team],Team_Level[[#This Row],[Team]],Team_Level[Date],"&gt;="&amp;Team_Level[[#This Row],[Date]],Team_Level[Result],"&lt;&gt;"))</f>
        <v/>
      </c>
      <c r="R695" t="str">
        <f>Team_Level[[#This Row],[Team]]&amp;"-"&amp;Team_Level[[#This Row],[Recency Rank]]</f>
        <v>Wigan Athletic-</v>
      </c>
      <c r="S695" t="str">
        <f>IF(Team_Level[[#This Row],[Result]]="","",COUNTIFS(Team_Level[Team],Team_Level[[#This Row],[Team]],Team_Level[Date],"&lt;="&amp;Team_Level[[#This Row],[Date]],Team_Level[Result],"&lt;&gt;"))</f>
        <v/>
      </c>
      <c r="T695" t="str">
        <f>Team_Level[[#This Row],[Team]]&amp;"-"&amp;Team_Level[[#This Row],[Chrono Rank]]</f>
        <v>Wigan Athletic-</v>
      </c>
    </row>
    <row r="696" spans="1:20" x14ac:dyDescent="0.25">
      <c r="A696" t="s">
        <v>221</v>
      </c>
      <c r="B696" s="6">
        <v>46315</v>
      </c>
      <c r="C696" t="s">
        <v>16</v>
      </c>
      <c r="D696" t="s">
        <v>19</v>
      </c>
      <c r="K696">
        <v>1</v>
      </c>
      <c r="L696" t="s">
        <v>35</v>
      </c>
      <c r="Q696" t="str">
        <f>IF(Team_Level[[#This Row],[Result]]="","",COUNTIFS(Team_Level[Team],Team_Level[[#This Row],[Team]],Team_Level[Date],"&gt;="&amp;Team_Level[[#This Row],[Date]],Team_Level[Result],"&lt;&gt;"))</f>
        <v/>
      </c>
      <c r="R696" t="str">
        <f>Team_Level[[#This Row],[Team]]&amp;"-"&amp;Team_Level[[#This Row],[Recency Rank]]</f>
        <v>Plymouth Argyle-</v>
      </c>
      <c r="S696" t="str">
        <f>IF(Team_Level[[#This Row],[Result]]="","",COUNTIFS(Team_Level[Team],Team_Level[[#This Row],[Team]],Team_Level[Date],"&lt;="&amp;Team_Level[[#This Row],[Date]],Team_Level[Result],"&lt;&gt;"))</f>
        <v/>
      </c>
      <c r="T696" t="str">
        <f>Team_Level[[#This Row],[Team]]&amp;"-"&amp;Team_Level[[#This Row],[Chrono Rank]]</f>
        <v>Plymouth Argyle-</v>
      </c>
    </row>
    <row r="697" spans="1:20" x14ac:dyDescent="0.25">
      <c r="A697" t="s">
        <v>222</v>
      </c>
      <c r="B697" s="6">
        <v>46316</v>
      </c>
      <c r="C697" t="s">
        <v>10</v>
      </c>
      <c r="D697" t="s">
        <v>17</v>
      </c>
      <c r="K697">
        <v>1</v>
      </c>
      <c r="L697" t="s">
        <v>35</v>
      </c>
      <c r="Q697" t="str">
        <f>IF(Team_Level[[#This Row],[Result]]="","",COUNTIFS(Team_Level[Team],Team_Level[[#This Row],[Team]],Team_Level[Date],"&gt;="&amp;Team_Level[[#This Row],[Date]],Team_Level[Result],"&lt;&gt;"))</f>
        <v/>
      </c>
      <c r="R697" t="str">
        <f>Team_Level[[#This Row],[Team]]&amp;"-"&amp;Team_Level[[#This Row],[Recency Rank]]</f>
        <v>Leyton Orient-</v>
      </c>
      <c r="S697" t="str">
        <f>IF(Team_Level[[#This Row],[Result]]="","",COUNTIFS(Team_Level[Team],Team_Level[[#This Row],[Team]],Team_Level[Date],"&lt;="&amp;Team_Level[[#This Row],[Date]],Team_Level[Result],"&lt;&gt;"))</f>
        <v/>
      </c>
      <c r="T697" t="str">
        <f>Team_Level[[#This Row],[Team]]&amp;"-"&amp;Team_Level[[#This Row],[Chrono Rank]]</f>
        <v>Leyton Orient-</v>
      </c>
    </row>
    <row r="698" spans="1:20" x14ac:dyDescent="0.25">
      <c r="A698" t="s">
        <v>223</v>
      </c>
      <c r="B698" s="6">
        <v>46319</v>
      </c>
      <c r="C698" t="s">
        <v>22</v>
      </c>
      <c r="D698" t="s">
        <v>0</v>
      </c>
      <c r="K698">
        <v>1</v>
      </c>
      <c r="L698" t="s">
        <v>35</v>
      </c>
      <c r="Q698" t="str">
        <f>IF(Team_Level[[#This Row],[Result]]="","",COUNTIFS(Team_Level[Team],Team_Level[[#This Row],[Team]],Team_Level[Date],"&gt;="&amp;Team_Level[[#This Row],[Date]],Team_Level[Result],"&lt;&gt;"))</f>
        <v/>
      </c>
      <c r="R698" t="str">
        <f>Team_Level[[#This Row],[Team]]&amp;"-"&amp;Team_Level[[#This Row],[Recency Rank]]</f>
        <v>Wycombe Wanderers-</v>
      </c>
      <c r="S698" t="str">
        <f>IF(Team_Level[[#This Row],[Result]]="","",COUNTIFS(Team_Level[Team],Team_Level[[#This Row],[Team]],Team_Level[Date],"&lt;="&amp;Team_Level[[#This Row],[Date]],Team_Level[Result],"&lt;&gt;"))</f>
        <v/>
      </c>
      <c r="T698" t="str">
        <f>Team_Level[[#This Row],[Team]]&amp;"-"&amp;Team_Level[[#This Row],[Chrono Rank]]</f>
        <v>Wycombe Wanderers-</v>
      </c>
    </row>
    <row r="699" spans="1:20" x14ac:dyDescent="0.25">
      <c r="A699" t="s">
        <v>224</v>
      </c>
      <c r="B699" s="6">
        <v>46319</v>
      </c>
      <c r="C699" t="s">
        <v>12</v>
      </c>
      <c r="D699" t="s">
        <v>2</v>
      </c>
      <c r="K699">
        <v>1</v>
      </c>
      <c r="L699" t="s">
        <v>35</v>
      </c>
      <c r="Q699" t="str">
        <f>IF(Team_Level[[#This Row],[Result]]="","",COUNTIFS(Team_Level[Team],Team_Level[[#This Row],[Team]],Team_Level[Date],"&gt;="&amp;Team_Level[[#This Row],[Date]],Team_Level[Result],"&lt;&gt;"))</f>
        <v/>
      </c>
      <c r="R699" t="str">
        <f>Team_Level[[#This Row],[Team]]&amp;"-"&amp;Team_Level[[#This Row],[Recency Rank]]</f>
        <v>Mansfield Town-</v>
      </c>
      <c r="S699" t="str">
        <f>IF(Team_Level[[#This Row],[Result]]="","",COUNTIFS(Team_Level[Team],Team_Level[[#This Row],[Team]],Team_Level[Date],"&lt;="&amp;Team_Level[[#This Row],[Date]],Team_Level[Result],"&lt;&gt;"))</f>
        <v/>
      </c>
      <c r="T699" t="str">
        <f>Team_Level[[#This Row],[Team]]&amp;"-"&amp;Team_Level[[#This Row],[Chrono Rank]]</f>
        <v>Mansfield Town-</v>
      </c>
    </row>
    <row r="700" spans="1:20" x14ac:dyDescent="0.25">
      <c r="A700" t="s">
        <v>225</v>
      </c>
      <c r="B700" s="6">
        <v>46319</v>
      </c>
      <c r="C700" t="s">
        <v>15</v>
      </c>
      <c r="D700" t="s">
        <v>4</v>
      </c>
      <c r="K700">
        <v>1</v>
      </c>
      <c r="L700" t="s">
        <v>35</v>
      </c>
      <c r="Q700" t="str">
        <f>IF(Team_Level[[#This Row],[Result]]="","",COUNTIFS(Team_Level[Team],Team_Level[[#This Row],[Team]],Team_Level[Date],"&gt;="&amp;Team_Level[[#This Row],[Date]],Team_Level[Result],"&lt;&gt;"))</f>
        <v/>
      </c>
      <c r="R700" t="str">
        <f>Team_Level[[#This Row],[Team]]&amp;"-"&amp;Team_Level[[#This Row],[Recency Rank]]</f>
        <v>Peterborough United-</v>
      </c>
      <c r="S700" t="str">
        <f>IF(Team_Level[[#This Row],[Result]]="","",COUNTIFS(Team_Level[Team],Team_Level[[#This Row],[Team]],Team_Level[Date],"&lt;="&amp;Team_Level[[#This Row],[Date]],Team_Level[Result],"&lt;&gt;"))</f>
        <v/>
      </c>
      <c r="T700" t="str">
        <f>Team_Level[[#This Row],[Team]]&amp;"-"&amp;Team_Level[[#This Row],[Chrono Rank]]</f>
        <v>Peterborough United-</v>
      </c>
    </row>
    <row r="701" spans="1:20" x14ac:dyDescent="0.25">
      <c r="A701" t="s">
        <v>226</v>
      </c>
      <c r="B701" s="6">
        <v>46319</v>
      </c>
      <c r="C701" t="s">
        <v>10</v>
      </c>
      <c r="D701" t="s">
        <v>5</v>
      </c>
      <c r="K701">
        <v>1</v>
      </c>
      <c r="L701" t="s">
        <v>35</v>
      </c>
      <c r="Q701" t="str">
        <f>IF(Team_Level[[#This Row],[Result]]="","",COUNTIFS(Team_Level[Team],Team_Level[[#This Row],[Team]],Team_Level[Date],"&gt;="&amp;Team_Level[[#This Row],[Date]],Team_Level[Result],"&lt;&gt;"))</f>
        <v/>
      </c>
      <c r="R701" t="str">
        <f>Team_Level[[#This Row],[Team]]&amp;"-"&amp;Team_Level[[#This Row],[Recency Rank]]</f>
        <v>Leyton Orient-</v>
      </c>
      <c r="S701" t="str">
        <f>IF(Team_Level[[#This Row],[Result]]="","",COUNTIFS(Team_Level[Team],Team_Level[[#This Row],[Team]],Team_Level[Date],"&lt;="&amp;Team_Level[[#This Row],[Date]],Team_Level[Result],"&lt;&gt;"))</f>
        <v/>
      </c>
      <c r="T701" t="str">
        <f>Team_Level[[#This Row],[Team]]&amp;"-"&amp;Team_Level[[#This Row],[Chrono Rank]]</f>
        <v>Leyton Orient-</v>
      </c>
    </row>
    <row r="702" spans="1:20" x14ac:dyDescent="0.25">
      <c r="A702" t="s">
        <v>227</v>
      </c>
      <c r="B702" s="6">
        <v>46319</v>
      </c>
      <c r="C702" t="s">
        <v>16</v>
      </c>
      <c r="D702" t="s">
        <v>6</v>
      </c>
      <c r="K702">
        <v>1</v>
      </c>
      <c r="L702" t="s">
        <v>35</v>
      </c>
      <c r="Q702" t="str">
        <f>IF(Team_Level[[#This Row],[Result]]="","",COUNTIFS(Team_Level[Team],Team_Level[[#This Row],[Team]],Team_Level[Date],"&gt;="&amp;Team_Level[[#This Row],[Date]],Team_Level[Result],"&lt;&gt;"))</f>
        <v/>
      </c>
      <c r="R702" t="str">
        <f>Team_Level[[#This Row],[Team]]&amp;"-"&amp;Team_Level[[#This Row],[Recency Rank]]</f>
        <v>Plymouth Argyle-</v>
      </c>
      <c r="S702" t="str">
        <f>IF(Team_Level[[#This Row],[Result]]="","",COUNTIFS(Team_Level[Team],Team_Level[[#This Row],[Team]],Team_Level[Date],"&lt;="&amp;Team_Level[[#This Row],[Date]],Team_Level[Result],"&lt;&gt;"))</f>
        <v/>
      </c>
      <c r="T702" t="str">
        <f>Team_Level[[#This Row],[Team]]&amp;"-"&amp;Team_Level[[#This Row],[Chrono Rank]]</f>
        <v>Plymouth Argyle-</v>
      </c>
    </row>
    <row r="703" spans="1:20" x14ac:dyDescent="0.25">
      <c r="A703" t="s">
        <v>228</v>
      </c>
      <c r="B703" s="6">
        <v>46319</v>
      </c>
      <c r="C703" t="s">
        <v>18</v>
      </c>
      <c r="D703" t="s">
        <v>7</v>
      </c>
      <c r="K703">
        <v>1</v>
      </c>
      <c r="L703" t="s">
        <v>35</v>
      </c>
      <c r="Q703" t="str">
        <f>IF(Team_Level[[#This Row],[Result]]="","",COUNTIFS(Team_Level[Team],Team_Level[[#This Row],[Team]],Team_Level[Date],"&gt;="&amp;Team_Level[[#This Row],[Date]],Team_Level[Result],"&lt;&gt;"))</f>
        <v/>
      </c>
      <c r="R703" t="str">
        <f>Team_Level[[#This Row],[Team]]&amp;"-"&amp;Team_Level[[#This Row],[Recency Rank]]</f>
        <v>Sheffield Wednesday-</v>
      </c>
      <c r="S703" t="str">
        <f>IF(Team_Level[[#This Row],[Result]]="","",COUNTIFS(Team_Level[Team],Team_Level[[#This Row],[Team]],Team_Level[Date],"&lt;="&amp;Team_Level[[#This Row],[Date]],Team_Level[Result],"&lt;&gt;"))</f>
        <v/>
      </c>
      <c r="T703" t="str">
        <f>Team_Level[[#This Row],[Team]]&amp;"-"&amp;Team_Level[[#This Row],[Chrono Rank]]</f>
        <v>Sheffield Wednesday-</v>
      </c>
    </row>
    <row r="704" spans="1:20" x14ac:dyDescent="0.25">
      <c r="A704" t="s">
        <v>229</v>
      </c>
      <c r="B704" s="6">
        <v>46319</v>
      </c>
      <c r="C704" t="s">
        <v>21</v>
      </c>
      <c r="D704" t="s">
        <v>8</v>
      </c>
      <c r="K704">
        <v>1</v>
      </c>
      <c r="L704" t="s">
        <v>35</v>
      </c>
      <c r="Q704" t="str">
        <f>IF(Team_Level[[#This Row],[Result]]="","",COUNTIFS(Team_Level[Team],Team_Level[[#This Row],[Team]],Team_Level[Date],"&gt;="&amp;Team_Level[[#This Row],[Date]],Team_Level[Result],"&lt;&gt;"))</f>
        <v/>
      </c>
      <c r="R704" t="str">
        <f>Team_Level[[#This Row],[Team]]&amp;"-"&amp;Team_Level[[#This Row],[Recency Rank]]</f>
        <v>Wigan Athletic-</v>
      </c>
      <c r="S704" t="str">
        <f>IF(Team_Level[[#This Row],[Result]]="","",COUNTIFS(Team_Level[Team],Team_Level[[#This Row],[Team]],Team_Level[Date],"&lt;="&amp;Team_Level[[#This Row],[Date]],Team_Level[Result],"&lt;&gt;"))</f>
        <v/>
      </c>
      <c r="T704" t="str">
        <f>Team_Level[[#This Row],[Team]]&amp;"-"&amp;Team_Level[[#This Row],[Chrono Rank]]</f>
        <v>Wigan Athletic-</v>
      </c>
    </row>
    <row r="705" spans="1:20" x14ac:dyDescent="0.25">
      <c r="A705" t="s">
        <v>230</v>
      </c>
      <c r="B705" s="6">
        <v>46319</v>
      </c>
      <c r="C705" t="s">
        <v>9</v>
      </c>
      <c r="D705" t="s">
        <v>11</v>
      </c>
      <c r="K705">
        <v>1</v>
      </c>
      <c r="L705" t="s">
        <v>35</v>
      </c>
      <c r="Q705" t="str">
        <f>IF(Team_Level[[#This Row],[Result]]="","",COUNTIFS(Team_Level[Team],Team_Level[[#This Row],[Team]],Team_Level[Date],"&gt;="&amp;Team_Level[[#This Row],[Date]],Team_Level[Result],"&lt;&gt;"))</f>
        <v/>
      </c>
      <c r="R705" t="str">
        <f>Team_Level[[#This Row],[Team]]&amp;"-"&amp;Team_Level[[#This Row],[Recency Rank]]</f>
        <v>Leicester City-</v>
      </c>
      <c r="S705" t="str">
        <f>IF(Team_Level[[#This Row],[Result]]="","",COUNTIFS(Team_Level[Team],Team_Level[[#This Row],[Team]],Team_Level[Date],"&lt;="&amp;Team_Level[[#This Row],[Date]],Team_Level[Result],"&lt;&gt;"))</f>
        <v/>
      </c>
      <c r="T705" t="str">
        <f>Team_Level[[#This Row],[Team]]&amp;"-"&amp;Team_Level[[#This Row],[Chrono Rank]]</f>
        <v>Leicester City-</v>
      </c>
    </row>
    <row r="706" spans="1:20" x14ac:dyDescent="0.25">
      <c r="A706" t="s">
        <v>231</v>
      </c>
      <c r="B706" s="6">
        <v>46319</v>
      </c>
      <c r="C706" t="s">
        <v>20</v>
      </c>
      <c r="D706" t="s">
        <v>13</v>
      </c>
      <c r="K706">
        <v>1</v>
      </c>
      <c r="L706" t="s">
        <v>35</v>
      </c>
      <c r="Q706" t="str">
        <f>IF(Team_Level[[#This Row],[Result]]="","",COUNTIFS(Team_Level[Team],Team_Level[[#This Row],[Team]],Team_Level[Date],"&gt;="&amp;Team_Level[[#This Row],[Date]],Team_Level[Result],"&lt;&gt;"))</f>
        <v/>
      </c>
      <c r="R706" t="str">
        <f>Team_Level[[#This Row],[Team]]&amp;"-"&amp;Team_Level[[#This Row],[Recency Rank]]</f>
        <v>Stockport County-</v>
      </c>
      <c r="S706" t="str">
        <f>IF(Team_Level[[#This Row],[Result]]="","",COUNTIFS(Team_Level[Team],Team_Level[[#This Row],[Team]],Team_Level[Date],"&lt;="&amp;Team_Level[[#This Row],[Date]],Team_Level[Result],"&lt;&gt;"))</f>
        <v/>
      </c>
      <c r="T706" t="str">
        <f>Team_Level[[#This Row],[Team]]&amp;"-"&amp;Team_Level[[#This Row],[Chrono Rank]]</f>
        <v>Stockport County-</v>
      </c>
    </row>
    <row r="707" spans="1:20" x14ac:dyDescent="0.25">
      <c r="A707" t="s">
        <v>232</v>
      </c>
      <c r="B707" s="6">
        <v>46319</v>
      </c>
      <c r="C707" t="s">
        <v>3</v>
      </c>
      <c r="D707" t="s">
        <v>14</v>
      </c>
      <c r="K707">
        <v>1</v>
      </c>
      <c r="L707" t="s">
        <v>35</v>
      </c>
      <c r="Q707" t="str">
        <f>IF(Team_Level[[#This Row],[Result]]="","",COUNTIFS(Team_Level[Team],Team_Level[[#This Row],[Team]],Team_Level[Date],"&gt;="&amp;Team_Level[[#This Row],[Date]],Team_Level[Result],"&lt;&gt;"))</f>
        <v/>
      </c>
      <c r="R707" t="str">
        <f>Team_Level[[#This Row],[Team]]&amp;"-"&amp;Team_Level[[#This Row],[Recency Rank]]</f>
        <v>Bradford City-</v>
      </c>
      <c r="S707" t="str">
        <f>IF(Team_Level[[#This Row],[Result]]="","",COUNTIFS(Team_Level[Team],Team_Level[[#This Row],[Team]],Team_Level[Date],"&lt;="&amp;Team_Level[[#This Row],[Date]],Team_Level[Result],"&lt;&gt;"))</f>
        <v/>
      </c>
      <c r="T707" t="str">
        <f>Team_Level[[#This Row],[Team]]&amp;"-"&amp;Team_Level[[#This Row],[Chrono Rank]]</f>
        <v>Bradford City-</v>
      </c>
    </row>
    <row r="708" spans="1:20" x14ac:dyDescent="0.25">
      <c r="A708" t="s">
        <v>233</v>
      </c>
      <c r="B708" s="6">
        <v>46319</v>
      </c>
      <c r="C708" t="s">
        <v>1</v>
      </c>
      <c r="D708" t="s">
        <v>17</v>
      </c>
      <c r="K708">
        <v>1</v>
      </c>
      <c r="L708" t="s">
        <v>35</v>
      </c>
      <c r="Q708" t="str">
        <f>IF(Team_Level[[#This Row],[Result]]="","",COUNTIFS(Team_Level[Team],Team_Level[[#This Row],[Team]],Team_Level[Date],"&gt;="&amp;Team_Level[[#This Row],[Date]],Team_Level[Result],"&lt;&gt;"))</f>
        <v/>
      </c>
      <c r="R708" t="str">
        <f>Team_Level[[#This Row],[Team]]&amp;"-"&amp;Team_Level[[#This Row],[Recency Rank]]</f>
        <v>Barnsley-</v>
      </c>
      <c r="S708" t="str">
        <f>IF(Team_Level[[#This Row],[Result]]="","",COUNTIFS(Team_Level[Team],Team_Level[[#This Row],[Team]],Team_Level[Date],"&lt;="&amp;Team_Level[[#This Row],[Date]],Team_Level[Result],"&lt;&gt;"))</f>
        <v/>
      </c>
      <c r="T708" t="str">
        <f>Team_Level[[#This Row],[Team]]&amp;"-"&amp;Team_Level[[#This Row],[Chrono Rank]]</f>
        <v>Barnsley-</v>
      </c>
    </row>
    <row r="709" spans="1:20" x14ac:dyDescent="0.25">
      <c r="A709" t="s">
        <v>234</v>
      </c>
      <c r="B709" s="6">
        <v>46319</v>
      </c>
      <c r="C709" t="s">
        <v>33</v>
      </c>
      <c r="D709" t="s">
        <v>19</v>
      </c>
      <c r="K709">
        <v>1</v>
      </c>
      <c r="L709" t="s">
        <v>35</v>
      </c>
      <c r="Q709" t="str">
        <f>IF(Team_Level[[#This Row],[Result]]="","",COUNTIFS(Team_Level[Team],Team_Level[[#This Row],[Team]],Team_Level[Date],"&gt;="&amp;Team_Level[[#This Row],[Date]],Team_Level[Result],"&lt;&gt;"))</f>
        <v/>
      </c>
      <c r="R709" t="str">
        <f>Team_Level[[#This Row],[Team]]&amp;"-"&amp;Team_Level[[#This Row],[Recency Rank]]</f>
        <v>Milton Keynes Dons-</v>
      </c>
      <c r="S709" t="str">
        <f>IF(Team_Level[[#This Row],[Result]]="","",COUNTIFS(Team_Level[Team],Team_Level[[#This Row],[Team]],Team_Level[Date],"&lt;="&amp;Team_Level[[#This Row],[Date]],Team_Level[Result],"&lt;&gt;"))</f>
        <v/>
      </c>
      <c r="T709" t="str">
        <f>Team_Level[[#This Row],[Team]]&amp;"-"&amp;Team_Level[[#This Row],[Chrono Rank]]</f>
        <v>Milton Keynes Dons-</v>
      </c>
    </row>
    <row r="710" spans="1:20" x14ac:dyDescent="0.25">
      <c r="A710" t="s">
        <v>235</v>
      </c>
      <c r="B710" s="6">
        <v>46326</v>
      </c>
      <c r="C710" t="s">
        <v>14</v>
      </c>
      <c r="D710" t="s">
        <v>1</v>
      </c>
      <c r="K710">
        <v>1</v>
      </c>
      <c r="L710" t="s">
        <v>35</v>
      </c>
      <c r="Q710" t="str">
        <f>IF(Team_Level[[#This Row],[Result]]="","",COUNTIFS(Team_Level[Team],Team_Level[[#This Row],[Team]],Team_Level[Date],"&gt;="&amp;Team_Level[[#This Row],[Date]],Team_Level[Result],"&lt;&gt;"))</f>
        <v/>
      </c>
      <c r="R710" t="str">
        <f>Team_Level[[#This Row],[Team]]&amp;"-"&amp;Team_Level[[#This Row],[Recency Rank]]</f>
        <v>Oxford United-</v>
      </c>
      <c r="S710" t="str">
        <f>IF(Team_Level[[#This Row],[Result]]="","",COUNTIFS(Team_Level[Team],Team_Level[[#This Row],[Team]],Team_Level[Date],"&lt;="&amp;Team_Level[[#This Row],[Date]],Team_Level[Result],"&lt;&gt;"))</f>
        <v/>
      </c>
      <c r="T710" t="str">
        <f>Team_Level[[#This Row],[Team]]&amp;"-"&amp;Team_Level[[#This Row],[Chrono Rank]]</f>
        <v>Oxford United-</v>
      </c>
    </row>
    <row r="711" spans="1:20" x14ac:dyDescent="0.25">
      <c r="A711" t="s">
        <v>236</v>
      </c>
      <c r="B711" s="6">
        <v>46326</v>
      </c>
      <c r="C711" t="s">
        <v>8</v>
      </c>
      <c r="D711" t="s">
        <v>3</v>
      </c>
      <c r="K711">
        <v>1</v>
      </c>
      <c r="L711" t="s">
        <v>35</v>
      </c>
      <c r="Q711" t="str">
        <f>IF(Team_Level[[#This Row],[Result]]="","",COUNTIFS(Team_Level[Team],Team_Level[[#This Row],[Team]],Team_Level[Date],"&gt;="&amp;Team_Level[[#This Row],[Date]],Team_Level[Result],"&lt;&gt;"))</f>
        <v/>
      </c>
      <c r="R711" t="str">
        <f>Team_Level[[#This Row],[Team]]&amp;"-"&amp;Team_Level[[#This Row],[Recency Rank]]</f>
        <v>Huddersfield Town-</v>
      </c>
      <c r="S711" t="str">
        <f>IF(Team_Level[[#This Row],[Result]]="","",COUNTIFS(Team_Level[Team],Team_Level[[#This Row],[Team]],Team_Level[Date],"&lt;="&amp;Team_Level[[#This Row],[Date]],Team_Level[Result],"&lt;&gt;"))</f>
        <v/>
      </c>
      <c r="T711" t="str">
        <f>Team_Level[[#This Row],[Team]]&amp;"-"&amp;Team_Level[[#This Row],[Chrono Rank]]</f>
        <v>Huddersfield Town-</v>
      </c>
    </row>
    <row r="712" spans="1:20" x14ac:dyDescent="0.25">
      <c r="A712" t="s">
        <v>237</v>
      </c>
      <c r="B712" s="6">
        <v>46326</v>
      </c>
      <c r="C712" t="s">
        <v>19</v>
      </c>
      <c r="D712" t="s">
        <v>9</v>
      </c>
      <c r="K712">
        <v>1</v>
      </c>
      <c r="L712" t="s">
        <v>35</v>
      </c>
      <c r="Q712" t="str">
        <f>IF(Team_Level[[#This Row],[Result]]="","",COUNTIFS(Team_Level[Team],Team_Level[[#This Row],[Team]],Team_Level[Date],"&gt;="&amp;Team_Level[[#This Row],[Date]],Team_Level[Result],"&lt;&gt;"))</f>
        <v/>
      </c>
      <c r="R712" t="str">
        <f>Team_Level[[#This Row],[Team]]&amp;"-"&amp;Team_Level[[#This Row],[Recency Rank]]</f>
        <v>Stevenage-</v>
      </c>
      <c r="S712" t="str">
        <f>IF(Team_Level[[#This Row],[Result]]="","",COUNTIFS(Team_Level[Team],Team_Level[[#This Row],[Team]],Team_Level[Date],"&lt;="&amp;Team_Level[[#This Row],[Date]],Team_Level[Result],"&lt;&gt;"))</f>
        <v/>
      </c>
      <c r="T712" t="str">
        <f>Team_Level[[#This Row],[Team]]&amp;"-"&amp;Team_Level[[#This Row],[Chrono Rank]]</f>
        <v>Stevenage-</v>
      </c>
    </row>
    <row r="713" spans="1:20" x14ac:dyDescent="0.25">
      <c r="A713" t="s">
        <v>238</v>
      </c>
      <c r="B713" s="6">
        <v>46326</v>
      </c>
      <c r="C713" t="s">
        <v>6</v>
      </c>
      <c r="D713" t="s">
        <v>10</v>
      </c>
      <c r="K713">
        <v>1</v>
      </c>
      <c r="L713" t="s">
        <v>35</v>
      </c>
      <c r="Q713" t="str">
        <f>IF(Team_Level[[#This Row],[Result]]="","",COUNTIFS(Team_Level[Team],Team_Level[[#This Row],[Team]],Team_Level[Date],"&gt;="&amp;Team_Level[[#This Row],[Date]],Team_Level[Result],"&lt;&gt;"))</f>
        <v/>
      </c>
      <c r="R713" t="str">
        <f>Team_Level[[#This Row],[Team]]&amp;"-"&amp;Team_Level[[#This Row],[Recency Rank]]</f>
        <v>Cambridge United-</v>
      </c>
      <c r="S713" t="str">
        <f>IF(Team_Level[[#This Row],[Result]]="","",COUNTIFS(Team_Level[Team],Team_Level[[#This Row],[Team]],Team_Level[Date],"&lt;="&amp;Team_Level[[#This Row],[Date]],Team_Level[Result],"&lt;&gt;"))</f>
        <v/>
      </c>
      <c r="T713" t="str">
        <f>Team_Level[[#This Row],[Team]]&amp;"-"&amp;Team_Level[[#This Row],[Chrono Rank]]</f>
        <v>Cambridge United-</v>
      </c>
    </row>
    <row r="714" spans="1:20" x14ac:dyDescent="0.25">
      <c r="A714" t="s">
        <v>239</v>
      </c>
      <c r="B714" s="6">
        <v>46326</v>
      </c>
      <c r="C714" t="s">
        <v>13</v>
      </c>
      <c r="D714" t="s">
        <v>12</v>
      </c>
      <c r="K714">
        <v>1</v>
      </c>
      <c r="L714" t="s">
        <v>35</v>
      </c>
      <c r="Q714" t="str">
        <f>IF(Team_Level[[#This Row],[Result]]="","",COUNTIFS(Team_Level[Team],Team_Level[[#This Row],[Team]],Team_Level[Date],"&gt;="&amp;Team_Level[[#This Row],[Date]],Team_Level[Result],"&lt;&gt;"))</f>
        <v/>
      </c>
      <c r="R714" t="str">
        <f>Team_Level[[#This Row],[Team]]&amp;"-"&amp;Team_Level[[#This Row],[Recency Rank]]</f>
        <v>Notts County-</v>
      </c>
      <c r="S714" t="str">
        <f>IF(Team_Level[[#This Row],[Result]]="","",COUNTIFS(Team_Level[Team],Team_Level[[#This Row],[Team]],Team_Level[Date],"&lt;="&amp;Team_Level[[#This Row],[Date]],Team_Level[Result],"&lt;&gt;"))</f>
        <v/>
      </c>
      <c r="T714" t="str">
        <f>Team_Level[[#This Row],[Team]]&amp;"-"&amp;Team_Level[[#This Row],[Chrono Rank]]</f>
        <v>Notts County-</v>
      </c>
    </row>
    <row r="715" spans="1:20" x14ac:dyDescent="0.25">
      <c r="A715" t="s">
        <v>240</v>
      </c>
      <c r="B715" s="6">
        <v>46326</v>
      </c>
      <c r="C715" t="s">
        <v>7</v>
      </c>
      <c r="D715" t="s">
        <v>33</v>
      </c>
      <c r="K715">
        <v>1</v>
      </c>
      <c r="L715" t="s">
        <v>35</v>
      </c>
      <c r="Q715" t="str">
        <f>IF(Team_Level[[#This Row],[Result]]="","",COUNTIFS(Team_Level[Team],Team_Level[[#This Row],[Team]],Team_Level[Date],"&gt;="&amp;Team_Level[[#This Row],[Date]],Team_Level[Result],"&lt;&gt;"))</f>
        <v/>
      </c>
      <c r="R715" t="str">
        <f>Team_Level[[#This Row],[Team]]&amp;"-"&amp;Team_Level[[#This Row],[Recency Rank]]</f>
        <v>Doncaster Rovers-</v>
      </c>
      <c r="S715" t="str">
        <f>IF(Team_Level[[#This Row],[Result]]="","",COUNTIFS(Team_Level[Team],Team_Level[[#This Row],[Team]],Team_Level[Date],"&lt;="&amp;Team_Level[[#This Row],[Date]],Team_Level[Result],"&lt;&gt;"))</f>
        <v/>
      </c>
      <c r="T715" t="str">
        <f>Team_Level[[#This Row],[Team]]&amp;"-"&amp;Team_Level[[#This Row],[Chrono Rank]]</f>
        <v>Doncaster Rovers-</v>
      </c>
    </row>
    <row r="716" spans="1:20" x14ac:dyDescent="0.25">
      <c r="A716" t="s">
        <v>241</v>
      </c>
      <c r="B716" s="6">
        <v>46326</v>
      </c>
      <c r="C716" t="s">
        <v>11</v>
      </c>
      <c r="D716" t="s">
        <v>15</v>
      </c>
      <c r="K716">
        <v>1</v>
      </c>
      <c r="L716" t="s">
        <v>35</v>
      </c>
      <c r="Q716" t="str">
        <f>IF(Team_Level[[#This Row],[Result]]="","",COUNTIFS(Team_Level[Team],Team_Level[[#This Row],[Team]],Team_Level[Date],"&gt;="&amp;Team_Level[[#This Row],[Date]],Team_Level[Result],"&lt;&gt;"))</f>
        <v/>
      </c>
      <c r="R716" t="str">
        <f>Team_Level[[#This Row],[Team]]&amp;"-"&amp;Team_Level[[#This Row],[Recency Rank]]</f>
        <v>Luton Town-</v>
      </c>
      <c r="S716" t="str">
        <f>IF(Team_Level[[#This Row],[Result]]="","",COUNTIFS(Team_Level[Team],Team_Level[[#This Row],[Team]],Team_Level[Date],"&lt;="&amp;Team_Level[[#This Row],[Date]],Team_Level[Result],"&lt;&gt;"))</f>
        <v/>
      </c>
      <c r="T716" t="str">
        <f>Team_Level[[#This Row],[Team]]&amp;"-"&amp;Team_Level[[#This Row],[Chrono Rank]]</f>
        <v>Luton Town-</v>
      </c>
    </row>
    <row r="717" spans="1:20" x14ac:dyDescent="0.25">
      <c r="A717" t="s">
        <v>242</v>
      </c>
      <c r="B717" s="6">
        <v>46326</v>
      </c>
      <c r="C717" t="s">
        <v>17</v>
      </c>
      <c r="D717" t="s">
        <v>16</v>
      </c>
      <c r="K717">
        <v>1</v>
      </c>
      <c r="L717" t="s">
        <v>35</v>
      </c>
      <c r="Q717" t="str">
        <f>IF(Team_Level[[#This Row],[Result]]="","",COUNTIFS(Team_Level[Team],Team_Level[[#This Row],[Team]],Team_Level[Date],"&gt;="&amp;Team_Level[[#This Row],[Date]],Team_Level[Result],"&lt;&gt;"))</f>
        <v/>
      </c>
      <c r="R717" t="str">
        <f>Team_Level[[#This Row],[Team]]&amp;"-"&amp;Team_Level[[#This Row],[Recency Rank]]</f>
        <v>Reading-</v>
      </c>
      <c r="S717" t="str">
        <f>IF(Team_Level[[#This Row],[Result]]="","",COUNTIFS(Team_Level[Team],Team_Level[[#This Row],[Team]],Team_Level[Date],"&lt;="&amp;Team_Level[[#This Row],[Date]],Team_Level[Result],"&lt;&gt;"))</f>
        <v/>
      </c>
      <c r="T717" t="str">
        <f>Team_Level[[#This Row],[Team]]&amp;"-"&amp;Team_Level[[#This Row],[Chrono Rank]]</f>
        <v>Reading-</v>
      </c>
    </row>
    <row r="718" spans="1:20" x14ac:dyDescent="0.25">
      <c r="A718" t="s">
        <v>243</v>
      </c>
      <c r="B718" s="6">
        <v>46326</v>
      </c>
      <c r="C718" t="s">
        <v>0</v>
      </c>
      <c r="D718" t="s">
        <v>20</v>
      </c>
      <c r="K718">
        <v>1</v>
      </c>
      <c r="L718" t="s">
        <v>35</v>
      </c>
      <c r="Q718" t="str">
        <f>IF(Team_Level[[#This Row],[Result]]="","",COUNTIFS(Team_Level[Team],Team_Level[[#This Row],[Team]],Team_Level[Date],"&gt;="&amp;Team_Level[[#This Row],[Date]],Team_Level[Result],"&lt;&gt;"))</f>
        <v/>
      </c>
      <c r="R718" t="str">
        <f>Team_Level[[#This Row],[Team]]&amp;"-"&amp;Team_Level[[#This Row],[Recency Rank]]</f>
        <v>AFC Wimbledon-</v>
      </c>
      <c r="S718" t="str">
        <f>IF(Team_Level[[#This Row],[Result]]="","",COUNTIFS(Team_Level[Team],Team_Level[[#This Row],[Team]],Team_Level[Date],"&lt;="&amp;Team_Level[[#This Row],[Date]],Team_Level[Result],"&lt;&gt;"))</f>
        <v/>
      </c>
      <c r="T718" t="str">
        <f>Team_Level[[#This Row],[Team]]&amp;"-"&amp;Team_Level[[#This Row],[Chrono Rank]]</f>
        <v>AFC Wimbledon-</v>
      </c>
    </row>
    <row r="719" spans="1:20" x14ac:dyDescent="0.25">
      <c r="A719" t="s">
        <v>244</v>
      </c>
      <c r="B719" s="6">
        <v>46326</v>
      </c>
      <c r="C719" t="s">
        <v>4</v>
      </c>
      <c r="D719" t="s">
        <v>21</v>
      </c>
      <c r="K719">
        <v>1</v>
      </c>
      <c r="L719" t="s">
        <v>35</v>
      </c>
      <c r="Q719" t="str">
        <f>IF(Team_Level[[#This Row],[Result]]="","",COUNTIFS(Team_Level[Team],Team_Level[[#This Row],[Team]],Team_Level[Date],"&gt;="&amp;Team_Level[[#This Row],[Date]],Team_Level[Result],"&lt;&gt;"))</f>
        <v/>
      </c>
      <c r="R719" t="str">
        <f>Team_Level[[#This Row],[Team]]&amp;"-"&amp;Team_Level[[#This Row],[Recency Rank]]</f>
        <v>Bromley-</v>
      </c>
      <c r="S719" t="str">
        <f>IF(Team_Level[[#This Row],[Result]]="","",COUNTIFS(Team_Level[Team],Team_Level[[#This Row],[Team]],Team_Level[Date],"&lt;="&amp;Team_Level[[#This Row],[Date]],Team_Level[Result],"&lt;&gt;"))</f>
        <v/>
      </c>
      <c r="T719" t="str">
        <f>Team_Level[[#This Row],[Team]]&amp;"-"&amp;Team_Level[[#This Row],[Chrono Rank]]</f>
        <v>Bromley-</v>
      </c>
    </row>
    <row r="720" spans="1:20" x14ac:dyDescent="0.25">
      <c r="A720" t="s">
        <v>245</v>
      </c>
      <c r="B720" s="6">
        <v>46326</v>
      </c>
      <c r="C720" t="s">
        <v>5</v>
      </c>
      <c r="D720" t="s">
        <v>22</v>
      </c>
      <c r="K720">
        <v>1</v>
      </c>
      <c r="L720" t="s">
        <v>35</v>
      </c>
      <c r="Q720" t="str">
        <f>IF(Team_Level[[#This Row],[Result]]="","",COUNTIFS(Team_Level[Team],Team_Level[[#This Row],[Team]],Team_Level[Date],"&gt;="&amp;Team_Level[[#This Row],[Date]],Team_Level[Result],"&lt;&gt;"))</f>
        <v/>
      </c>
      <c r="R720" t="str">
        <f>Team_Level[[#This Row],[Team]]&amp;"-"&amp;Team_Level[[#This Row],[Recency Rank]]</f>
        <v>Burton Albion-</v>
      </c>
      <c r="S720" t="str">
        <f>IF(Team_Level[[#This Row],[Result]]="","",COUNTIFS(Team_Level[Team],Team_Level[[#This Row],[Team]],Team_Level[Date],"&lt;="&amp;Team_Level[[#This Row],[Date]],Team_Level[Result],"&lt;&gt;"))</f>
        <v/>
      </c>
      <c r="T720" t="str">
        <f>Team_Level[[#This Row],[Team]]&amp;"-"&amp;Team_Level[[#This Row],[Chrono Rank]]</f>
        <v>Burton Albion-</v>
      </c>
    </row>
    <row r="721" spans="1:20" x14ac:dyDescent="0.25">
      <c r="A721" t="s">
        <v>246</v>
      </c>
      <c r="B721" s="6">
        <v>46327</v>
      </c>
      <c r="C721" t="s">
        <v>2</v>
      </c>
      <c r="D721" t="s">
        <v>18</v>
      </c>
      <c r="K721">
        <v>1</v>
      </c>
      <c r="L721" t="s">
        <v>35</v>
      </c>
      <c r="Q721" t="str">
        <f>IF(Team_Level[[#This Row],[Result]]="","",COUNTIFS(Team_Level[Team],Team_Level[[#This Row],[Team]],Team_Level[Date],"&gt;="&amp;Team_Level[[#This Row],[Date]],Team_Level[Result],"&lt;&gt;"))</f>
        <v/>
      </c>
      <c r="R721" t="str">
        <f>Team_Level[[#This Row],[Team]]&amp;"-"&amp;Team_Level[[#This Row],[Recency Rank]]</f>
        <v>Blackpool-</v>
      </c>
      <c r="S721" t="str">
        <f>IF(Team_Level[[#This Row],[Result]]="","",COUNTIFS(Team_Level[Team],Team_Level[[#This Row],[Team]],Team_Level[Date],"&lt;="&amp;Team_Level[[#This Row],[Date]],Team_Level[Result],"&lt;&gt;"))</f>
        <v/>
      </c>
      <c r="T721" t="str">
        <f>Team_Level[[#This Row],[Team]]&amp;"-"&amp;Team_Level[[#This Row],[Chrono Rank]]</f>
        <v>Blackpool-</v>
      </c>
    </row>
    <row r="722" spans="1:20" x14ac:dyDescent="0.25">
      <c r="A722" t="s">
        <v>247</v>
      </c>
      <c r="B722" s="6">
        <v>46340</v>
      </c>
      <c r="C722" t="s">
        <v>2</v>
      </c>
      <c r="D722" t="s">
        <v>0</v>
      </c>
      <c r="K722">
        <v>1</v>
      </c>
      <c r="L722" t="s">
        <v>35</v>
      </c>
      <c r="Q722" t="str">
        <f>IF(Team_Level[[#This Row],[Result]]="","",COUNTIFS(Team_Level[Team],Team_Level[[#This Row],[Team]],Team_Level[Date],"&gt;="&amp;Team_Level[[#This Row],[Date]],Team_Level[Result],"&lt;&gt;"))</f>
        <v/>
      </c>
      <c r="R722" t="str">
        <f>Team_Level[[#This Row],[Team]]&amp;"-"&amp;Team_Level[[#This Row],[Recency Rank]]</f>
        <v>Blackpool-</v>
      </c>
      <c r="S722" t="str">
        <f>IF(Team_Level[[#This Row],[Result]]="","",COUNTIFS(Team_Level[Team],Team_Level[[#This Row],[Team]],Team_Level[Date],"&lt;="&amp;Team_Level[[#This Row],[Date]],Team_Level[Result],"&lt;&gt;"))</f>
        <v/>
      </c>
      <c r="T722" t="str">
        <f>Team_Level[[#This Row],[Team]]&amp;"-"&amp;Team_Level[[#This Row],[Chrono Rank]]</f>
        <v>Blackpool-</v>
      </c>
    </row>
    <row r="723" spans="1:20" x14ac:dyDescent="0.25">
      <c r="A723" t="s">
        <v>248</v>
      </c>
      <c r="B723" s="6">
        <v>46340</v>
      </c>
      <c r="C723" t="s">
        <v>13</v>
      </c>
      <c r="D723" t="s">
        <v>4</v>
      </c>
      <c r="K723">
        <v>1</v>
      </c>
      <c r="L723" t="s">
        <v>35</v>
      </c>
      <c r="Q723" t="str">
        <f>IF(Team_Level[[#This Row],[Result]]="","",COUNTIFS(Team_Level[Team],Team_Level[[#This Row],[Team]],Team_Level[Date],"&gt;="&amp;Team_Level[[#This Row],[Date]],Team_Level[Result],"&lt;&gt;"))</f>
        <v/>
      </c>
      <c r="R723" t="str">
        <f>Team_Level[[#This Row],[Team]]&amp;"-"&amp;Team_Level[[#This Row],[Recency Rank]]</f>
        <v>Notts County-</v>
      </c>
      <c r="S723" t="str">
        <f>IF(Team_Level[[#This Row],[Result]]="","",COUNTIFS(Team_Level[Team],Team_Level[[#This Row],[Team]],Team_Level[Date],"&lt;="&amp;Team_Level[[#This Row],[Date]],Team_Level[Result],"&lt;&gt;"))</f>
        <v/>
      </c>
      <c r="T723" t="str">
        <f>Team_Level[[#This Row],[Team]]&amp;"-"&amp;Team_Level[[#This Row],[Chrono Rank]]</f>
        <v>Notts County-</v>
      </c>
    </row>
    <row r="724" spans="1:20" x14ac:dyDescent="0.25">
      <c r="A724" t="s">
        <v>249</v>
      </c>
      <c r="B724" s="6">
        <v>46340</v>
      </c>
      <c r="C724" t="s">
        <v>10</v>
      </c>
      <c r="D724" t="s">
        <v>7</v>
      </c>
      <c r="K724">
        <v>1</v>
      </c>
      <c r="L724" t="s">
        <v>35</v>
      </c>
      <c r="Q724" t="str">
        <f>IF(Team_Level[[#This Row],[Result]]="","",COUNTIFS(Team_Level[Team],Team_Level[[#This Row],[Team]],Team_Level[Date],"&gt;="&amp;Team_Level[[#This Row],[Date]],Team_Level[Result],"&lt;&gt;"))</f>
        <v/>
      </c>
      <c r="R724" t="str">
        <f>Team_Level[[#This Row],[Team]]&amp;"-"&amp;Team_Level[[#This Row],[Recency Rank]]</f>
        <v>Leyton Orient-</v>
      </c>
      <c r="S724" t="str">
        <f>IF(Team_Level[[#This Row],[Result]]="","",COUNTIFS(Team_Level[Team],Team_Level[[#This Row],[Team]],Team_Level[Date],"&lt;="&amp;Team_Level[[#This Row],[Date]],Team_Level[Result],"&lt;&gt;"))</f>
        <v/>
      </c>
      <c r="T724" t="str">
        <f>Team_Level[[#This Row],[Team]]&amp;"-"&amp;Team_Level[[#This Row],[Chrono Rank]]</f>
        <v>Leyton Orient-</v>
      </c>
    </row>
    <row r="725" spans="1:20" x14ac:dyDescent="0.25">
      <c r="A725" t="s">
        <v>250</v>
      </c>
      <c r="B725" s="6">
        <v>46340</v>
      </c>
      <c r="C725" t="s">
        <v>3</v>
      </c>
      <c r="D725" t="s">
        <v>9</v>
      </c>
      <c r="K725">
        <v>1</v>
      </c>
      <c r="L725" t="s">
        <v>35</v>
      </c>
      <c r="Q725" t="str">
        <f>IF(Team_Level[[#This Row],[Result]]="","",COUNTIFS(Team_Level[Team],Team_Level[[#This Row],[Team]],Team_Level[Date],"&gt;="&amp;Team_Level[[#This Row],[Date]],Team_Level[Result],"&lt;&gt;"))</f>
        <v/>
      </c>
      <c r="R725" t="str">
        <f>Team_Level[[#This Row],[Team]]&amp;"-"&amp;Team_Level[[#This Row],[Recency Rank]]</f>
        <v>Bradford City-</v>
      </c>
      <c r="S725" t="str">
        <f>IF(Team_Level[[#This Row],[Result]]="","",COUNTIFS(Team_Level[Team],Team_Level[[#This Row],[Team]],Team_Level[Date],"&lt;="&amp;Team_Level[[#This Row],[Date]],Team_Level[Result],"&lt;&gt;"))</f>
        <v/>
      </c>
      <c r="T725" t="str">
        <f>Team_Level[[#This Row],[Team]]&amp;"-"&amp;Team_Level[[#This Row],[Chrono Rank]]</f>
        <v>Bradford City-</v>
      </c>
    </row>
    <row r="726" spans="1:20" x14ac:dyDescent="0.25">
      <c r="A726" t="s">
        <v>251</v>
      </c>
      <c r="B726" s="6">
        <v>46340</v>
      </c>
      <c r="C726" t="s">
        <v>6</v>
      </c>
      <c r="D726" t="s">
        <v>11</v>
      </c>
      <c r="K726">
        <v>1</v>
      </c>
      <c r="L726" t="s">
        <v>35</v>
      </c>
      <c r="Q726" t="str">
        <f>IF(Team_Level[[#This Row],[Result]]="","",COUNTIFS(Team_Level[Team],Team_Level[[#This Row],[Team]],Team_Level[Date],"&gt;="&amp;Team_Level[[#This Row],[Date]],Team_Level[Result],"&lt;&gt;"))</f>
        <v/>
      </c>
      <c r="R726" t="str">
        <f>Team_Level[[#This Row],[Team]]&amp;"-"&amp;Team_Level[[#This Row],[Recency Rank]]</f>
        <v>Cambridge United-</v>
      </c>
      <c r="S726" t="str">
        <f>IF(Team_Level[[#This Row],[Result]]="","",COUNTIFS(Team_Level[Team],Team_Level[[#This Row],[Team]],Team_Level[Date],"&lt;="&amp;Team_Level[[#This Row],[Date]],Team_Level[Result],"&lt;&gt;"))</f>
        <v/>
      </c>
      <c r="T726" t="str">
        <f>Team_Level[[#This Row],[Team]]&amp;"-"&amp;Team_Level[[#This Row],[Chrono Rank]]</f>
        <v>Cambridge United-</v>
      </c>
    </row>
    <row r="727" spans="1:20" x14ac:dyDescent="0.25">
      <c r="A727" t="s">
        <v>252</v>
      </c>
      <c r="B727" s="6">
        <v>46340</v>
      </c>
      <c r="C727" t="s">
        <v>5</v>
      </c>
      <c r="D727" t="s">
        <v>33</v>
      </c>
      <c r="K727">
        <v>1</v>
      </c>
      <c r="L727" t="s">
        <v>35</v>
      </c>
      <c r="Q727" t="str">
        <f>IF(Team_Level[[#This Row],[Result]]="","",COUNTIFS(Team_Level[Team],Team_Level[[#This Row],[Team]],Team_Level[Date],"&gt;="&amp;Team_Level[[#This Row],[Date]],Team_Level[Result],"&lt;&gt;"))</f>
        <v/>
      </c>
      <c r="R727" t="str">
        <f>Team_Level[[#This Row],[Team]]&amp;"-"&amp;Team_Level[[#This Row],[Recency Rank]]</f>
        <v>Burton Albion-</v>
      </c>
      <c r="S727" t="str">
        <f>IF(Team_Level[[#This Row],[Result]]="","",COUNTIFS(Team_Level[Team],Team_Level[[#This Row],[Team]],Team_Level[Date],"&lt;="&amp;Team_Level[[#This Row],[Date]],Team_Level[Result],"&lt;&gt;"))</f>
        <v/>
      </c>
      <c r="T727" t="str">
        <f>Team_Level[[#This Row],[Team]]&amp;"-"&amp;Team_Level[[#This Row],[Chrono Rank]]</f>
        <v>Burton Albion-</v>
      </c>
    </row>
    <row r="728" spans="1:20" x14ac:dyDescent="0.25">
      <c r="A728" t="s">
        <v>253</v>
      </c>
      <c r="B728" s="6">
        <v>46340</v>
      </c>
      <c r="C728" t="s">
        <v>14</v>
      </c>
      <c r="D728" t="s">
        <v>15</v>
      </c>
      <c r="K728">
        <v>1</v>
      </c>
      <c r="L728" t="s">
        <v>35</v>
      </c>
      <c r="Q728" t="str">
        <f>IF(Team_Level[[#This Row],[Result]]="","",COUNTIFS(Team_Level[Team],Team_Level[[#This Row],[Team]],Team_Level[Date],"&gt;="&amp;Team_Level[[#This Row],[Date]],Team_Level[Result],"&lt;&gt;"))</f>
        <v/>
      </c>
      <c r="R728" t="str">
        <f>Team_Level[[#This Row],[Team]]&amp;"-"&amp;Team_Level[[#This Row],[Recency Rank]]</f>
        <v>Oxford United-</v>
      </c>
      <c r="S728" t="str">
        <f>IF(Team_Level[[#This Row],[Result]]="","",COUNTIFS(Team_Level[Team],Team_Level[[#This Row],[Team]],Team_Level[Date],"&lt;="&amp;Team_Level[[#This Row],[Date]],Team_Level[Result],"&lt;&gt;"))</f>
        <v/>
      </c>
      <c r="T728" t="str">
        <f>Team_Level[[#This Row],[Team]]&amp;"-"&amp;Team_Level[[#This Row],[Chrono Rank]]</f>
        <v>Oxford United-</v>
      </c>
    </row>
    <row r="729" spans="1:20" x14ac:dyDescent="0.25">
      <c r="A729" t="s">
        <v>254</v>
      </c>
      <c r="B729" s="6">
        <v>46340</v>
      </c>
      <c r="C729" t="s">
        <v>16</v>
      </c>
      <c r="D729" t="s">
        <v>18</v>
      </c>
      <c r="K729">
        <v>1</v>
      </c>
      <c r="L729" t="s">
        <v>35</v>
      </c>
      <c r="Q729" t="str">
        <f>IF(Team_Level[[#This Row],[Result]]="","",COUNTIFS(Team_Level[Team],Team_Level[[#This Row],[Team]],Team_Level[Date],"&gt;="&amp;Team_Level[[#This Row],[Date]],Team_Level[Result],"&lt;&gt;"))</f>
        <v/>
      </c>
      <c r="R729" t="str">
        <f>Team_Level[[#This Row],[Team]]&amp;"-"&amp;Team_Level[[#This Row],[Recency Rank]]</f>
        <v>Plymouth Argyle-</v>
      </c>
      <c r="S729" t="str">
        <f>IF(Team_Level[[#This Row],[Result]]="","",COUNTIFS(Team_Level[Team],Team_Level[[#This Row],[Team]],Team_Level[Date],"&lt;="&amp;Team_Level[[#This Row],[Date]],Team_Level[Result],"&lt;&gt;"))</f>
        <v/>
      </c>
      <c r="T729" t="str">
        <f>Team_Level[[#This Row],[Team]]&amp;"-"&amp;Team_Level[[#This Row],[Chrono Rank]]</f>
        <v>Plymouth Argyle-</v>
      </c>
    </row>
    <row r="730" spans="1:20" x14ac:dyDescent="0.25">
      <c r="A730" t="s">
        <v>255</v>
      </c>
      <c r="B730" s="6">
        <v>46340</v>
      </c>
      <c r="C730" t="s">
        <v>12</v>
      </c>
      <c r="D730" t="s">
        <v>19</v>
      </c>
      <c r="K730">
        <v>1</v>
      </c>
      <c r="L730" t="s">
        <v>35</v>
      </c>
      <c r="Q730" t="str">
        <f>IF(Team_Level[[#This Row],[Result]]="","",COUNTIFS(Team_Level[Team],Team_Level[[#This Row],[Team]],Team_Level[Date],"&gt;="&amp;Team_Level[[#This Row],[Date]],Team_Level[Result],"&lt;&gt;"))</f>
        <v/>
      </c>
      <c r="R730" t="str">
        <f>Team_Level[[#This Row],[Team]]&amp;"-"&amp;Team_Level[[#This Row],[Recency Rank]]</f>
        <v>Mansfield Town-</v>
      </c>
      <c r="S730" t="str">
        <f>IF(Team_Level[[#This Row],[Result]]="","",COUNTIFS(Team_Level[Team],Team_Level[[#This Row],[Team]],Team_Level[Date],"&lt;="&amp;Team_Level[[#This Row],[Date]],Team_Level[Result],"&lt;&gt;"))</f>
        <v/>
      </c>
      <c r="T730" t="str">
        <f>Team_Level[[#This Row],[Team]]&amp;"-"&amp;Team_Level[[#This Row],[Chrono Rank]]</f>
        <v>Mansfield Town-</v>
      </c>
    </row>
    <row r="731" spans="1:20" x14ac:dyDescent="0.25">
      <c r="A731" t="s">
        <v>256</v>
      </c>
      <c r="B731" s="6">
        <v>46340</v>
      </c>
      <c r="C731" t="s">
        <v>17</v>
      </c>
      <c r="D731" t="s">
        <v>20</v>
      </c>
      <c r="K731">
        <v>1</v>
      </c>
      <c r="L731" t="s">
        <v>35</v>
      </c>
      <c r="Q731" t="str">
        <f>IF(Team_Level[[#This Row],[Result]]="","",COUNTIFS(Team_Level[Team],Team_Level[[#This Row],[Team]],Team_Level[Date],"&gt;="&amp;Team_Level[[#This Row],[Date]],Team_Level[Result],"&lt;&gt;"))</f>
        <v/>
      </c>
      <c r="R731" t="str">
        <f>Team_Level[[#This Row],[Team]]&amp;"-"&amp;Team_Level[[#This Row],[Recency Rank]]</f>
        <v>Reading-</v>
      </c>
      <c r="S731" t="str">
        <f>IF(Team_Level[[#This Row],[Result]]="","",COUNTIFS(Team_Level[Team],Team_Level[[#This Row],[Team]],Team_Level[Date],"&lt;="&amp;Team_Level[[#This Row],[Date]],Team_Level[Result],"&lt;&gt;"))</f>
        <v/>
      </c>
      <c r="T731" t="str">
        <f>Team_Level[[#This Row],[Team]]&amp;"-"&amp;Team_Level[[#This Row],[Chrono Rank]]</f>
        <v>Reading-</v>
      </c>
    </row>
    <row r="732" spans="1:20" x14ac:dyDescent="0.25">
      <c r="A732" t="s">
        <v>257</v>
      </c>
      <c r="B732" s="6">
        <v>46340</v>
      </c>
      <c r="C732" t="s">
        <v>1</v>
      </c>
      <c r="D732" t="s">
        <v>21</v>
      </c>
      <c r="K732">
        <v>1</v>
      </c>
      <c r="L732" t="s">
        <v>35</v>
      </c>
      <c r="Q732" t="str">
        <f>IF(Team_Level[[#This Row],[Result]]="","",COUNTIFS(Team_Level[Team],Team_Level[[#This Row],[Team]],Team_Level[Date],"&gt;="&amp;Team_Level[[#This Row],[Date]],Team_Level[Result],"&lt;&gt;"))</f>
        <v/>
      </c>
      <c r="R732" t="str">
        <f>Team_Level[[#This Row],[Team]]&amp;"-"&amp;Team_Level[[#This Row],[Recency Rank]]</f>
        <v>Barnsley-</v>
      </c>
      <c r="S732" t="str">
        <f>IF(Team_Level[[#This Row],[Result]]="","",COUNTIFS(Team_Level[Team],Team_Level[[#This Row],[Team]],Team_Level[Date],"&lt;="&amp;Team_Level[[#This Row],[Date]],Team_Level[Result],"&lt;&gt;"))</f>
        <v/>
      </c>
      <c r="T732" t="str">
        <f>Team_Level[[#This Row],[Team]]&amp;"-"&amp;Team_Level[[#This Row],[Chrono Rank]]</f>
        <v>Barnsley-</v>
      </c>
    </row>
    <row r="733" spans="1:20" x14ac:dyDescent="0.25">
      <c r="A733" t="s">
        <v>258</v>
      </c>
      <c r="B733" s="6">
        <v>46340</v>
      </c>
      <c r="C733" t="s">
        <v>8</v>
      </c>
      <c r="D733" t="s">
        <v>22</v>
      </c>
      <c r="K733">
        <v>1</v>
      </c>
      <c r="L733" t="s">
        <v>35</v>
      </c>
      <c r="Q733" t="str">
        <f>IF(Team_Level[[#This Row],[Result]]="","",COUNTIFS(Team_Level[Team],Team_Level[[#This Row],[Team]],Team_Level[Date],"&gt;="&amp;Team_Level[[#This Row],[Date]],Team_Level[Result],"&lt;&gt;"))</f>
        <v/>
      </c>
      <c r="R733" t="str">
        <f>Team_Level[[#This Row],[Team]]&amp;"-"&amp;Team_Level[[#This Row],[Recency Rank]]</f>
        <v>Huddersfield Town-</v>
      </c>
      <c r="S733" t="str">
        <f>IF(Team_Level[[#This Row],[Result]]="","",COUNTIFS(Team_Level[Team],Team_Level[[#This Row],[Team]],Team_Level[Date],"&lt;="&amp;Team_Level[[#This Row],[Date]],Team_Level[Result],"&lt;&gt;"))</f>
        <v/>
      </c>
      <c r="T733" t="str">
        <f>Team_Level[[#This Row],[Team]]&amp;"-"&amp;Team_Level[[#This Row],[Chrono Rank]]</f>
        <v>Huddersfield Town-</v>
      </c>
    </row>
    <row r="734" spans="1:20" x14ac:dyDescent="0.25">
      <c r="A734" t="s">
        <v>259</v>
      </c>
      <c r="B734" s="6">
        <v>46346</v>
      </c>
      <c r="C734" t="s">
        <v>18</v>
      </c>
      <c r="D734" t="s">
        <v>1</v>
      </c>
      <c r="K734">
        <v>1</v>
      </c>
      <c r="L734" t="s">
        <v>35</v>
      </c>
      <c r="Q734" t="str">
        <f>IF(Team_Level[[#This Row],[Result]]="","",COUNTIFS(Team_Level[Team],Team_Level[[#This Row],[Team]],Team_Level[Date],"&gt;="&amp;Team_Level[[#This Row],[Date]],Team_Level[Result],"&lt;&gt;"))</f>
        <v/>
      </c>
      <c r="R734" t="str">
        <f>Team_Level[[#This Row],[Team]]&amp;"-"&amp;Team_Level[[#This Row],[Recency Rank]]</f>
        <v>Sheffield Wednesday-</v>
      </c>
      <c r="S734" t="str">
        <f>IF(Team_Level[[#This Row],[Result]]="","",COUNTIFS(Team_Level[Team],Team_Level[[#This Row],[Team]],Team_Level[Date],"&lt;="&amp;Team_Level[[#This Row],[Date]],Team_Level[Result],"&lt;&gt;"))</f>
        <v/>
      </c>
      <c r="T734" t="str">
        <f>Team_Level[[#This Row],[Team]]&amp;"-"&amp;Team_Level[[#This Row],[Chrono Rank]]</f>
        <v>Sheffield Wednesday-</v>
      </c>
    </row>
    <row r="735" spans="1:20" x14ac:dyDescent="0.25">
      <c r="A735" t="s">
        <v>260</v>
      </c>
      <c r="B735" s="6">
        <v>46347</v>
      </c>
      <c r="C735" t="s">
        <v>21</v>
      </c>
      <c r="D735" t="s">
        <v>2</v>
      </c>
      <c r="K735">
        <v>1</v>
      </c>
      <c r="L735" t="s">
        <v>35</v>
      </c>
      <c r="Q735" t="str">
        <f>IF(Team_Level[[#This Row],[Result]]="","",COUNTIFS(Team_Level[Team],Team_Level[[#This Row],[Team]],Team_Level[Date],"&gt;="&amp;Team_Level[[#This Row],[Date]],Team_Level[Result],"&lt;&gt;"))</f>
        <v/>
      </c>
      <c r="R735" t="str">
        <f>Team_Level[[#This Row],[Team]]&amp;"-"&amp;Team_Level[[#This Row],[Recency Rank]]</f>
        <v>Wigan Athletic-</v>
      </c>
      <c r="S735" t="str">
        <f>IF(Team_Level[[#This Row],[Result]]="","",COUNTIFS(Team_Level[Team],Team_Level[[#This Row],[Team]],Team_Level[Date],"&lt;="&amp;Team_Level[[#This Row],[Date]],Team_Level[Result],"&lt;&gt;"))</f>
        <v/>
      </c>
      <c r="T735" t="str">
        <f>Team_Level[[#This Row],[Team]]&amp;"-"&amp;Team_Level[[#This Row],[Chrono Rank]]</f>
        <v>Wigan Athletic-</v>
      </c>
    </row>
    <row r="736" spans="1:20" x14ac:dyDescent="0.25">
      <c r="A736" t="s">
        <v>261</v>
      </c>
      <c r="B736" s="6">
        <v>46347</v>
      </c>
      <c r="C736" t="s">
        <v>7</v>
      </c>
      <c r="D736" t="s">
        <v>3</v>
      </c>
      <c r="K736">
        <v>1</v>
      </c>
      <c r="L736" t="s">
        <v>35</v>
      </c>
      <c r="Q736" t="str">
        <f>IF(Team_Level[[#This Row],[Result]]="","",COUNTIFS(Team_Level[Team],Team_Level[[#This Row],[Team]],Team_Level[Date],"&gt;="&amp;Team_Level[[#This Row],[Date]],Team_Level[Result],"&lt;&gt;"))</f>
        <v/>
      </c>
      <c r="R736" t="str">
        <f>Team_Level[[#This Row],[Team]]&amp;"-"&amp;Team_Level[[#This Row],[Recency Rank]]</f>
        <v>Doncaster Rovers-</v>
      </c>
      <c r="S736" t="str">
        <f>IF(Team_Level[[#This Row],[Result]]="","",COUNTIFS(Team_Level[Team],Team_Level[[#This Row],[Team]],Team_Level[Date],"&lt;="&amp;Team_Level[[#This Row],[Date]],Team_Level[Result],"&lt;&gt;"))</f>
        <v/>
      </c>
      <c r="T736" t="str">
        <f>Team_Level[[#This Row],[Team]]&amp;"-"&amp;Team_Level[[#This Row],[Chrono Rank]]</f>
        <v>Doncaster Rovers-</v>
      </c>
    </row>
    <row r="737" spans="1:20" x14ac:dyDescent="0.25">
      <c r="A737" t="s">
        <v>262</v>
      </c>
      <c r="B737" s="6">
        <v>46347</v>
      </c>
      <c r="C737" t="s">
        <v>11</v>
      </c>
      <c r="D737" t="s">
        <v>5</v>
      </c>
      <c r="K737">
        <v>1</v>
      </c>
      <c r="L737" t="s">
        <v>35</v>
      </c>
      <c r="Q737" t="str">
        <f>IF(Team_Level[[#This Row],[Result]]="","",COUNTIFS(Team_Level[Team],Team_Level[[#This Row],[Team]],Team_Level[Date],"&gt;="&amp;Team_Level[[#This Row],[Date]],Team_Level[Result],"&lt;&gt;"))</f>
        <v/>
      </c>
      <c r="R737" t="str">
        <f>Team_Level[[#This Row],[Team]]&amp;"-"&amp;Team_Level[[#This Row],[Recency Rank]]</f>
        <v>Luton Town-</v>
      </c>
      <c r="S737" t="str">
        <f>IF(Team_Level[[#This Row],[Result]]="","",COUNTIFS(Team_Level[Team],Team_Level[[#This Row],[Team]],Team_Level[Date],"&lt;="&amp;Team_Level[[#This Row],[Date]],Team_Level[Result],"&lt;&gt;"))</f>
        <v/>
      </c>
      <c r="T737" t="str">
        <f>Team_Level[[#This Row],[Team]]&amp;"-"&amp;Team_Level[[#This Row],[Chrono Rank]]</f>
        <v>Luton Town-</v>
      </c>
    </row>
    <row r="738" spans="1:20" x14ac:dyDescent="0.25">
      <c r="A738" t="s">
        <v>263</v>
      </c>
      <c r="B738" s="6">
        <v>46347</v>
      </c>
      <c r="C738" t="s">
        <v>20</v>
      </c>
      <c r="D738" t="s">
        <v>6</v>
      </c>
      <c r="K738">
        <v>1</v>
      </c>
      <c r="L738" t="s">
        <v>35</v>
      </c>
      <c r="Q738" t="str">
        <f>IF(Team_Level[[#This Row],[Result]]="","",COUNTIFS(Team_Level[Team],Team_Level[[#This Row],[Team]],Team_Level[Date],"&gt;="&amp;Team_Level[[#This Row],[Date]],Team_Level[Result],"&lt;&gt;"))</f>
        <v/>
      </c>
      <c r="R738" t="str">
        <f>Team_Level[[#This Row],[Team]]&amp;"-"&amp;Team_Level[[#This Row],[Recency Rank]]</f>
        <v>Stockport County-</v>
      </c>
      <c r="S738" t="str">
        <f>IF(Team_Level[[#This Row],[Result]]="","",COUNTIFS(Team_Level[Team],Team_Level[[#This Row],[Team]],Team_Level[Date],"&lt;="&amp;Team_Level[[#This Row],[Date]],Team_Level[Result],"&lt;&gt;"))</f>
        <v/>
      </c>
      <c r="T738" t="str">
        <f>Team_Level[[#This Row],[Team]]&amp;"-"&amp;Team_Level[[#This Row],[Chrono Rank]]</f>
        <v>Stockport County-</v>
      </c>
    </row>
    <row r="739" spans="1:20" x14ac:dyDescent="0.25">
      <c r="A739" t="s">
        <v>264</v>
      </c>
      <c r="B739" s="6">
        <v>46347</v>
      </c>
      <c r="C739" t="s">
        <v>9</v>
      </c>
      <c r="D739" t="s">
        <v>8</v>
      </c>
      <c r="K739">
        <v>1</v>
      </c>
      <c r="L739" t="s">
        <v>35</v>
      </c>
      <c r="Q739" t="str">
        <f>IF(Team_Level[[#This Row],[Result]]="","",COUNTIFS(Team_Level[Team],Team_Level[[#This Row],[Team]],Team_Level[Date],"&gt;="&amp;Team_Level[[#This Row],[Date]],Team_Level[Result],"&lt;&gt;"))</f>
        <v/>
      </c>
      <c r="R739" t="str">
        <f>Team_Level[[#This Row],[Team]]&amp;"-"&amp;Team_Level[[#This Row],[Recency Rank]]</f>
        <v>Leicester City-</v>
      </c>
      <c r="S739" t="str">
        <f>IF(Team_Level[[#This Row],[Result]]="","",COUNTIFS(Team_Level[Team],Team_Level[[#This Row],[Team]],Team_Level[Date],"&lt;="&amp;Team_Level[[#This Row],[Date]],Team_Level[Result],"&lt;&gt;"))</f>
        <v/>
      </c>
      <c r="T739" t="str">
        <f>Team_Level[[#This Row],[Team]]&amp;"-"&amp;Team_Level[[#This Row],[Chrono Rank]]</f>
        <v>Leicester City-</v>
      </c>
    </row>
    <row r="740" spans="1:20" x14ac:dyDescent="0.25">
      <c r="A740" t="s">
        <v>265</v>
      </c>
      <c r="B740" s="6">
        <v>46347</v>
      </c>
      <c r="C740" t="s">
        <v>0</v>
      </c>
      <c r="D740" t="s">
        <v>10</v>
      </c>
      <c r="K740">
        <v>1</v>
      </c>
      <c r="L740" t="s">
        <v>35</v>
      </c>
      <c r="Q740" t="str">
        <f>IF(Team_Level[[#This Row],[Result]]="","",COUNTIFS(Team_Level[Team],Team_Level[[#This Row],[Team]],Team_Level[Date],"&gt;="&amp;Team_Level[[#This Row],[Date]],Team_Level[Result],"&lt;&gt;"))</f>
        <v/>
      </c>
      <c r="R740" t="str">
        <f>Team_Level[[#This Row],[Team]]&amp;"-"&amp;Team_Level[[#This Row],[Recency Rank]]</f>
        <v>AFC Wimbledon-</v>
      </c>
      <c r="S740" t="str">
        <f>IF(Team_Level[[#This Row],[Result]]="","",COUNTIFS(Team_Level[Team],Team_Level[[#This Row],[Team]],Team_Level[Date],"&lt;="&amp;Team_Level[[#This Row],[Date]],Team_Level[Result],"&lt;&gt;"))</f>
        <v/>
      </c>
      <c r="T740" t="str">
        <f>Team_Level[[#This Row],[Team]]&amp;"-"&amp;Team_Level[[#This Row],[Chrono Rank]]</f>
        <v>AFC Wimbledon-</v>
      </c>
    </row>
    <row r="741" spans="1:20" x14ac:dyDescent="0.25">
      <c r="A741" t="s">
        <v>266</v>
      </c>
      <c r="B741" s="6">
        <v>46347</v>
      </c>
      <c r="C741" t="s">
        <v>33</v>
      </c>
      <c r="D741" t="s">
        <v>12</v>
      </c>
      <c r="K741">
        <v>1</v>
      </c>
      <c r="L741" t="s">
        <v>35</v>
      </c>
      <c r="Q741" t="str">
        <f>IF(Team_Level[[#This Row],[Result]]="","",COUNTIFS(Team_Level[Team],Team_Level[[#This Row],[Team]],Team_Level[Date],"&gt;="&amp;Team_Level[[#This Row],[Date]],Team_Level[Result],"&lt;&gt;"))</f>
        <v/>
      </c>
      <c r="R741" t="str">
        <f>Team_Level[[#This Row],[Team]]&amp;"-"&amp;Team_Level[[#This Row],[Recency Rank]]</f>
        <v>Milton Keynes Dons-</v>
      </c>
      <c r="S741" t="str">
        <f>IF(Team_Level[[#This Row],[Result]]="","",COUNTIFS(Team_Level[Team],Team_Level[[#This Row],[Team]],Team_Level[Date],"&lt;="&amp;Team_Level[[#This Row],[Date]],Team_Level[Result],"&lt;&gt;"))</f>
        <v/>
      </c>
      <c r="T741" t="str">
        <f>Team_Level[[#This Row],[Team]]&amp;"-"&amp;Team_Level[[#This Row],[Chrono Rank]]</f>
        <v>Milton Keynes Dons-</v>
      </c>
    </row>
    <row r="742" spans="1:20" x14ac:dyDescent="0.25">
      <c r="A742" t="s">
        <v>267</v>
      </c>
      <c r="B742" s="6">
        <v>46347</v>
      </c>
      <c r="C742" t="s">
        <v>19</v>
      </c>
      <c r="D742" t="s">
        <v>13</v>
      </c>
      <c r="K742">
        <v>1</v>
      </c>
      <c r="L742" t="s">
        <v>35</v>
      </c>
      <c r="Q742" t="str">
        <f>IF(Team_Level[[#This Row],[Result]]="","",COUNTIFS(Team_Level[Team],Team_Level[[#This Row],[Team]],Team_Level[Date],"&gt;="&amp;Team_Level[[#This Row],[Date]],Team_Level[Result],"&lt;&gt;"))</f>
        <v/>
      </c>
      <c r="R742" t="str">
        <f>Team_Level[[#This Row],[Team]]&amp;"-"&amp;Team_Level[[#This Row],[Recency Rank]]</f>
        <v>Stevenage-</v>
      </c>
      <c r="S742" t="str">
        <f>IF(Team_Level[[#This Row],[Result]]="","",COUNTIFS(Team_Level[Team],Team_Level[[#This Row],[Team]],Team_Level[Date],"&lt;="&amp;Team_Level[[#This Row],[Date]],Team_Level[Result],"&lt;&gt;"))</f>
        <v/>
      </c>
      <c r="T742" t="str">
        <f>Team_Level[[#This Row],[Team]]&amp;"-"&amp;Team_Level[[#This Row],[Chrono Rank]]</f>
        <v>Stevenage-</v>
      </c>
    </row>
    <row r="743" spans="1:20" x14ac:dyDescent="0.25">
      <c r="A743" t="s">
        <v>268</v>
      </c>
      <c r="B743" s="6">
        <v>46347</v>
      </c>
      <c r="C743" t="s">
        <v>22</v>
      </c>
      <c r="D743" t="s">
        <v>14</v>
      </c>
      <c r="K743">
        <v>1</v>
      </c>
      <c r="L743" t="s">
        <v>35</v>
      </c>
      <c r="Q743" t="str">
        <f>IF(Team_Level[[#This Row],[Result]]="","",COUNTIFS(Team_Level[Team],Team_Level[[#This Row],[Team]],Team_Level[Date],"&gt;="&amp;Team_Level[[#This Row],[Date]],Team_Level[Result],"&lt;&gt;"))</f>
        <v/>
      </c>
      <c r="R743" t="str">
        <f>Team_Level[[#This Row],[Team]]&amp;"-"&amp;Team_Level[[#This Row],[Recency Rank]]</f>
        <v>Wycombe Wanderers-</v>
      </c>
      <c r="S743" t="str">
        <f>IF(Team_Level[[#This Row],[Result]]="","",COUNTIFS(Team_Level[Team],Team_Level[[#This Row],[Team]],Team_Level[Date],"&lt;="&amp;Team_Level[[#This Row],[Date]],Team_Level[Result],"&lt;&gt;"))</f>
        <v/>
      </c>
      <c r="T743" t="str">
        <f>Team_Level[[#This Row],[Team]]&amp;"-"&amp;Team_Level[[#This Row],[Chrono Rank]]</f>
        <v>Wycombe Wanderers-</v>
      </c>
    </row>
    <row r="744" spans="1:20" x14ac:dyDescent="0.25">
      <c r="A744" t="s">
        <v>269</v>
      </c>
      <c r="B744" s="6">
        <v>46347</v>
      </c>
      <c r="C744" t="s">
        <v>15</v>
      </c>
      <c r="D744" t="s">
        <v>16</v>
      </c>
      <c r="K744">
        <v>1</v>
      </c>
      <c r="L744" t="s">
        <v>35</v>
      </c>
      <c r="Q744" t="str">
        <f>IF(Team_Level[[#This Row],[Result]]="","",COUNTIFS(Team_Level[Team],Team_Level[[#This Row],[Team]],Team_Level[Date],"&gt;="&amp;Team_Level[[#This Row],[Date]],Team_Level[Result],"&lt;&gt;"))</f>
        <v/>
      </c>
      <c r="R744" t="str">
        <f>Team_Level[[#This Row],[Team]]&amp;"-"&amp;Team_Level[[#This Row],[Recency Rank]]</f>
        <v>Peterborough United-</v>
      </c>
      <c r="S744" t="str">
        <f>IF(Team_Level[[#This Row],[Result]]="","",COUNTIFS(Team_Level[Team],Team_Level[[#This Row],[Team]],Team_Level[Date],"&lt;="&amp;Team_Level[[#This Row],[Date]],Team_Level[Result],"&lt;&gt;"))</f>
        <v/>
      </c>
      <c r="T744" t="str">
        <f>Team_Level[[#This Row],[Team]]&amp;"-"&amp;Team_Level[[#This Row],[Chrono Rank]]</f>
        <v>Peterborough United-</v>
      </c>
    </row>
    <row r="745" spans="1:20" x14ac:dyDescent="0.25">
      <c r="A745" t="s">
        <v>270</v>
      </c>
      <c r="B745" s="6">
        <v>46347</v>
      </c>
      <c r="C745" t="s">
        <v>4</v>
      </c>
      <c r="D745" t="s">
        <v>17</v>
      </c>
      <c r="K745">
        <v>1</v>
      </c>
      <c r="L745" t="s">
        <v>35</v>
      </c>
      <c r="Q745" t="str">
        <f>IF(Team_Level[[#This Row],[Result]]="","",COUNTIFS(Team_Level[Team],Team_Level[[#This Row],[Team]],Team_Level[Date],"&gt;="&amp;Team_Level[[#This Row],[Date]],Team_Level[Result],"&lt;&gt;"))</f>
        <v/>
      </c>
      <c r="R745" t="str">
        <f>Team_Level[[#This Row],[Team]]&amp;"-"&amp;Team_Level[[#This Row],[Recency Rank]]</f>
        <v>Bromley-</v>
      </c>
      <c r="S745" t="str">
        <f>IF(Team_Level[[#This Row],[Result]]="","",COUNTIFS(Team_Level[Team],Team_Level[[#This Row],[Team]],Team_Level[Date],"&lt;="&amp;Team_Level[[#This Row],[Date]],Team_Level[Result],"&lt;&gt;"))</f>
        <v/>
      </c>
      <c r="T745" t="str">
        <f>Team_Level[[#This Row],[Team]]&amp;"-"&amp;Team_Level[[#This Row],[Chrono Rank]]</f>
        <v>Bromley-</v>
      </c>
    </row>
    <row r="746" spans="1:20" x14ac:dyDescent="0.25">
      <c r="A746" t="s">
        <v>271</v>
      </c>
      <c r="B746" s="6">
        <v>46352</v>
      </c>
      <c r="C746" t="s">
        <v>8</v>
      </c>
      <c r="D746" t="s">
        <v>7</v>
      </c>
      <c r="K746">
        <v>1</v>
      </c>
      <c r="L746" t="s">
        <v>35</v>
      </c>
      <c r="Q746" t="str">
        <f>IF(Team_Level[[#This Row],[Result]]="","",COUNTIFS(Team_Level[Team],Team_Level[[#This Row],[Team]],Team_Level[Date],"&gt;="&amp;Team_Level[[#This Row],[Date]],Team_Level[Result],"&lt;&gt;"))</f>
        <v/>
      </c>
      <c r="R746" t="str">
        <f>Team_Level[[#This Row],[Team]]&amp;"-"&amp;Team_Level[[#This Row],[Recency Rank]]</f>
        <v>Huddersfield Town-</v>
      </c>
      <c r="S746" t="str">
        <f>IF(Team_Level[[#This Row],[Result]]="","",COUNTIFS(Team_Level[Team],Team_Level[[#This Row],[Team]],Team_Level[Date],"&lt;="&amp;Team_Level[[#This Row],[Date]],Team_Level[Result],"&lt;&gt;"))</f>
        <v/>
      </c>
      <c r="T746" t="str">
        <f>Team_Level[[#This Row],[Team]]&amp;"-"&amp;Team_Level[[#This Row],[Chrono Rank]]</f>
        <v>Huddersfield Town-</v>
      </c>
    </row>
    <row r="747" spans="1:20" x14ac:dyDescent="0.25">
      <c r="A747" t="s">
        <v>272</v>
      </c>
      <c r="B747" s="6">
        <v>46354</v>
      </c>
      <c r="C747" t="s">
        <v>1</v>
      </c>
      <c r="D747" t="s">
        <v>0</v>
      </c>
      <c r="K747">
        <v>1</v>
      </c>
      <c r="L747" t="s">
        <v>35</v>
      </c>
      <c r="Q747" t="str">
        <f>IF(Team_Level[[#This Row],[Result]]="","",COUNTIFS(Team_Level[Team],Team_Level[[#This Row],[Team]],Team_Level[Date],"&gt;="&amp;Team_Level[[#This Row],[Date]],Team_Level[Result],"&lt;&gt;"))</f>
        <v/>
      </c>
      <c r="R747" t="str">
        <f>Team_Level[[#This Row],[Team]]&amp;"-"&amp;Team_Level[[#This Row],[Recency Rank]]</f>
        <v>Barnsley-</v>
      </c>
      <c r="S747" t="str">
        <f>IF(Team_Level[[#This Row],[Result]]="","",COUNTIFS(Team_Level[Team],Team_Level[[#This Row],[Team]],Team_Level[Date],"&lt;="&amp;Team_Level[[#This Row],[Date]],Team_Level[Result],"&lt;&gt;"))</f>
        <v/>
      </c>
      <c r="T747" t="str">
        <f>Team_Level[[#This Row],[Team]]&amp;"-"&amp;Team_Level[[#This Row],[Chrono Rank]]</f>
        <v>Barnsley-</v>
      </c>
    </row>
    <row r="748" spans="1:20" x14ac:dyDescent="0.25">
      <c r="A748" t="s">
        <v>273</v>
      </c>
      <c r="B748" s="6">
        <v>46354</v>
      </c>
      <c r="C748" t="s">
        <v>5</v>
      </c>
      <c r="D748" t="s">
        <v>4</v>
      </c>
      <c r="K748">
        <v>1</v>
      </c>
      <c r="L748" t="s">
        <v>35</v>
      </c>
      <c r="Q748" t="str">
        <f>IF(Team_Level[[#This Row],[Result]]="","",COUNTIFS(Team_Level[Team],Team_Level[[#This Row],[Team]],Team_Level[Date],"&gt;="&amp;Team_Level[[#This Row],[Date]],Team_Level[Result],"&lt;&gt;"))</f>
        <v/>
      </c>
      <c r="R748" t="str">
        <f>Team_Level[[#This Row],[Team]]&amp;"-"&amp;Team_Level[[#This Row],[Recency Rank]]</f>
        <v>Burton Albion-</v>
      </c>
      <c r="S748" t="str">
        <f>IF(Team_Level[[#This Row],[Result]]="","",COUNTIFS(Team_Level[Team],Team_Level[[#This Row],[Team]],Team_Level[Date],"&lt;="&amp;Team_Level[[#This Row],[Date]],Team_Level[Result],"&lt;&gt;"))</f>
        <v/>
      </c>
      <c r="T748" t="str">
        <f>Team_Level[[#This Row],[Team]]&amp;"-"&amp;Team_Level[[#This Row],[Chrono Rank]]</f>
        <v>Burton Albion-</v>
      </c>
    </row>
    <row r="749" spans="1:20" x14ac:dyDescent="0.25">
      <c r="A749" t="s">
        <v>274</v>
      </c>
      <c r="B749" s="6">
        <v>46354</v>
      </c>
      <c r="C749" t="s">
        <v>12</v>
      </c>
      <c r="D749" t="s">
        <v>9</v>
      </c>
      <c r="K749">
        <v>1</v>
      </c>
      <c r="L749" t="s">
        <v>35</v>
      </c>
      <c r="Q749" t="str">
        <f>IF(Team_Level[[#This Row],[Result]]="","",COUNTIFS(Team_Level[Team],Team_Level[[#This Row],[Team]],Team_Level[Date],"&gt;="&amp;Team_Level[[#This Row],[Date]],Team_Level[Result],"&lt;&gt;"))</f>
        <v/>
      </c>
      <c r="R749" t="str">
        <f>Team_Level[[#This Row],[Team]]&amp;"-"&amp;Team_Level[[#This Row],[Recency Rank]]</f>
        <v>Mansfield Town-</v>
      </c>
      <c r="S749" t="str">
        <f>IF(Team_Level[[#This Row],[Result]]="","",COUNTIFS(Team_Level[Team],Team_Level[[#This Row],[Team]],Team_Level[Date],"&lt;="&amp;Team_Level[[#This Row],[Date]],Team_Level[Result],"&lt;&gt;"))</f>
        <v/>
      </c>
      <c r="T749" t="str">
        <f>Team_Level[[#This Row],[Team]]&amp;"-"&amp;Team_Level[[#This Row],[Chrono Rank]]</f>
        <v>Mansfield Town-</v>
      </c>
    </row>
    <row r="750" spans="1:20" x14ac:dyDescent="0.25">
      <c r="A750" t="s">
        <v>275</v>
      </c>
      <c r="B750" s="6">
        <v>46354</v>
      </c>
      <c r="C750" t="s">
        <v>14</v>
      </c>
      <c r="D750" t="s">
        <v>11</v>
      </c>
      <c r="K750">
        <v>1</v>
      </c>
      <c r="L750" t="s">
        <v>35</v>
      </c>
      <c r="Q750" t="str">
        <f>IF(Team_Level[[#This Row],[Result]]="","",COUNTIFS(Team_Level[Team],Team_Level[[#This Row],[Team]],Team_Level[Date],"&gt;="&amp;Team_Level[[#This Row],[Date]],Team_Level[Result],"&lt;&gt;"))</f>
        <v/>
      </c>
      <c r="R750" t="str">
        <f>Team_Level[[#This Row],[Team]]&amp;"-"&amp;Team_Level[[#This Row],[Recency Rank]]</f>
        <v>Oxford United-</v>
      </c>
      <c r="S750" t="str">
        <f>IF(Team_Level[[#This Row],[Result]]="","",COUNTIFS(Team_Level[Team],Team_Level[[#This Row],[Team]],Team_Level[Date],"&lt;="&amp;Team_Level[[#This Row],[Date]],Team_Level[Result],"&lt;&gt;"))</f>
        <v/>
      </c>
      <c r="T750" t="str">
        <f>Team_Level[[#This Row],[Team]]&amp;"-"&amp;Team_Level[[#This Row],[Chrono Rank]]</f>
        <v>Oxford United-</v>
      </c>
    </row>
    <row r="751" spans="1:20" x14ac:dyDescent="0.25">
      <c r="A751" t="s">
        <v>276</v>
      </c>
      <c r="B751" s="6">
        <v>46354</v>
      </c>
      <c r="C751" t="s">
        <v>13</v>
      </c>
      <c r="D751" t="s">
        <v>33</v>
      </c>
      <c r="K751">
        <v>1</v>
      </c>
      <c r="L751" t="s">
        <v>35</v>
      </c>
      <c r="Q751" t="str">
        <f>IF(Team_Level[[#This Row],[Result]]="","",COUNTIFS(Team_Level[Team],Team_Level[[#This Row],[Team]],Team_Level[Date],"&gt;="&amp;Team_Level[[#This Row],[Date]],Team_Level[Result],"&lt;&gt;"))</f>
        <v/>
      </c>
      <c r="R751" t="str">
        <f>Team_Level[[#This Row],[Team]]&amp;"-"&amp;Team_Level[[#This Row],[Recency Rank]]</f>
        <v>Notts County-</v>
      </c>
      <c r="S751" t="str">
        <f>IF(Team_Level[[#This Row],[Result]]="","",COUNTIFS(Team_Level[Team],Team_Level[[#This Row],[Team]],Team_Level[Date],"&lt;="&amp;Team_Level[[#This Row],[Date]],Team_Level[Result],"&lt;&gt;"))</f>
        <v/>
      </c>
      <c r="T751" t="str">
        <f>Team_Level[[#This Row],[Team]]&amp;"-"&amp;Team_Level[[#This Row],[Chrono Rank]]</f>
        <v>Notts County-</v>
      </c>
    </row>
    <row r="752" spans="1:20" x14ac:dyDescent="0.25">
      <c r="A752" t="s">
        <v>277</v>
      </c>
      <c r="B752" s="6">
        <v>46354</v>
      </c>
      <c r="C752" t="s">
        <v>6</v>
      </c>
      <c r="D752" t="s">
        <v>15</v>
      </c>
      <c r="K752">
        <v>1</v>
      </c>
      <c r="L752" t="s">
        <v>35</v>
      </c>
      <c r="Q752" t="str">
        <f>IF(Team_Level[[#This Row],[Result]]="","",COUNTIFS(Team_Level[Team],Team_Level[[#This Row],[Team]],Team_Level[Date],"&gt;="&amp;Team_Level[[#This Row],[Date]],Team_Level[Result],"&lt;&gt;"))</f>
        <v/>
      </c>
      <c r="R752" t="str">
        <f>Team_Level[[#This Row],[Team]]&amp;"-"&amp;Team_Level[[#This Row],[Recency Rank]]</f>
        <v>Cambridge United-</v>
      </c>
      <c r="S752" t="str">
        <f>IF(Team_Level[[#This Row],[Result]]="","",COUNTIFS(Team_Level[Team],Team_Level[[#This Row],[Team]],Team_Level[Date],"&lt;="&amp;Team_Level[[#This Row],[Date]],Team_Level[Result],"&lt;&gt;"))</f>
        <v/>
      </c>
      <c r="T752" t="str">
        <f>Team_Level[[#This Row],[Team]]&amp;"-"&amp;Team_Level[[#This Row],[Chrono Rank]]</f>
        <v>Cambridge United-</v>
      </c>
    </row>
    <row r="753" spans="1:20" x14ac:dyDescent="0.25">
      <c r="A753" t="s">
        <v>278</v>
      </c>
      <c r="B753" s="6">
        <v>46354</v>
      </c>
      <c r="C753" t="s">
        <v>17</v>
      </c>
      <c r="D753" t="s">
        <v>18</v>
      </c>
      <c r="K753">
        <v>1</v>
      </c>
      <c r="L753" t="s">
        <v>35</v>
      </c>
      <c r="Q753" t="str">
        <f>IF(Team_Level[[#This Row],[Result]]="","",COUNTIFS(Team_Level[Team],Team_Level[[#This Row],[Team]],Team_Level[Date],"&gt;="&amp;Team_Level[[#This Row],[Date]],Team_Level[Result],"&lt;&gt;"))</f>
        <v/>
      </c>
      <c r="R753" t="str">
        <f>Team_Level[[#This Row],[Team]]&amp;"-"&amp;Team_Level[[#This Row],[Recency Rank]]</f>
        <v>Reading-</v>
      </c>
      <c r="S753" t="str">
        <f>IF(Team_Level[[#This Row],[Result]]="","",COUNTIFS(Team_Level[Team],Team_Level[[#This Row],[Team]],Team_Level[Date],"&lt;="&amp;Team_Level[[#This Row],[Date]],Team_Level[Result],"&lt;&gt;"))</f>
        <v/>
      </c>
      <c r="T753" t="str">
        <f>Team_Level[[#This Row],[Team]]&amp;"-"&amp;Team_Level[[#This Row],[Chrono Rank]]</f>
        <v>Reading-</v>
      </c>
    </row>
    <row r="754" spans="1:20" x14ac:dyDescent="0.25">
      <c r="A754" t="s">
        <v>279</v>
      </c>
      <c r="B754" s="6">
        <v>46354</v>
      </c>
      <c r="C754" t="s">
        <v>2</v>
      </c>
      <c r="D754" t="s">
        <v>19</v>
      </c>
      <c r="K754">
        <v>1</v>
      </c>
      <c r="L754" t="s">
        <v>35</v>
      </c>
      <c r="Q754" t="str">
        <f>IF(Team_Level[[#This Row],[Result]]="","",COUNTIFS(Team_Level[Team],Team_Level[[#This Row],[Team]],Team_Level[Date],"&gt;="&amp;Team_Level[[#This Row],[Date]],Team_Level[Result],"&lt;&gt;"))</f>
        <v/>
      </c>
      <c r="R754" t="str">
        <f>Team_Level[[#This Row],[Team]]&amp;"-"&amp;Team_Level[[#This Row],[Recency Rank]]</f>
        <v>Blackpool-</v>
      </c>
      <c r="S754" t="str">
        <f>IF(Team_Level[[#This Row],[Result]]="","",COUNTIFS(Team_Level[Team],Team_Level[[#This Row],[Team]],Team_Level[Date],"&lt;="&amp;Team_Level[[#This Row],[Date]],Team_Level[Result],"&lt;&gt;"))</f>
        <v/>
      </c>
      <c r="T754" t="str">
        <f>Team_Level[[#This Row],[Team]]&amp;"-"&amp;Team_Level[[#This Row],[Chrono Rank]]</f>
        <v>Blackpool-</v>
      </c>
    </row>
    <row r="755" spans="1:20" x14ac:dyDescent="0.25">
      <c r="A755" t="s">
        <v>280</v>
      </c>
      <c r="B755" s="6">
        <v>46354</v>
      </c>
      <c r="C755" t="s">
        <v>10</v>
      </c>
      <c r="D755" t="s">
        <v>20</v>
      </c>
      <c r="K755">
        <v>1</v>
      </c>
      <c r="L755" t="s">
        <v>35</v>
      </c>
      <c r="Q755" t="str">
        <f>IF(Team_Level[[#This Row],[Result]]="","",COUNTIFS(Team_Level[Team],Team_Level[[#This Row],[Team]],Team_Level[Date],"&gt;="&amp;Team_Level[[#This Row],[Date]],Team_Level[Result],"&lt;&gt;"))</f>
        <v/>
      </c>
      <c r="R755" t="str">
        <f>Team_Level[[#This Row],[Team]]&amp;"-"&amp;Team_Level[[#This Row],[Recency Rank]]</f>
        <v>Leyton Orient-</v>
      </c>
      <c r="S755" t="str">
        <f>IF(Team_Level[[#This Row],[Result]]="","",COUNTIFS(Team_Level[Team],Team_Level[[#This Row],[Team]],Team_Level[Date],"&lt;="&amp;Team_Level[[#This Row],[Date]],Team_Level[Result],"&lt;&gt;"))</f>
        <v/>
      </c>
      <c r="T755" t="str">
        <f>Team_Level[[#This Row],[Team]]&amp;"-"&amp;Team_Level[[#This Row],[Chrono Rank]]</f>
        <v>Leyton Orient-</v>
      </c>
    </row>
    <row r="756" spans="1:20" x14ac:dyDescent="0.25">
      <c r="A756" t="s">
        <v>281</v>
      </c>
      <c r="B756" s="6">
        <v>46354</v>
      </c>
      <c r="C756" t="s">
        <v>16</v>
      </c>
      <c r="D756" t="s">
        <v>21</v>
      </c>
      <c r="K756">
        <v>1</v>
      </c>
      <c r="L756" t="s">
        <v>35</v>
      </c>
      <c r="Q756" t="str">
        <f>IF(Team_Level[[#This Row],[Result]]="","",COUNTIFS(Team_Level[Team],Team_Level[[#This Row],[Team]],Team_Level[Date],"&gt;="&amp;Team_Level[[#This Row],[Date]],Team_Level[Result],"&lt;&gt;"))</f>
        <v/>
      </c>
      <c r="R756" t="str">
        <f>Team_Level[[#This Row],[Team]]&amp;"-"&amp;Team_Level[[#This Row],[Recency Rank]]</f>
        <v>Plymouth Argyle-</v>
      </c>
      <c r="S756" t="str">
        <f>IF(Team_Level[[#This Row],[Result]]="","",COUNTIFS(Team_Level[Team],Team_Level[[#This Row],[Team]],Team_Level[Date],"&lt;="&amp;Team_Level[[#This Row],[Date]],Team_Level[Result],"&lt;&gt;"))</f>
        <v/>
      </c>
      <c r="T756" t="str">
        <f>Team_Level[[#This Row],[Team]]&amp;"-"&amp;Team_Level[[#This Row],[Chrono Rank]]</f>
        <v>Plymouth Argyle-</v>
      </c>
    </row>
    <row r="757" spans="1:20" x14ac:dyDescent="0.25">
      <c r="A757" t="s">
        <v>282</v>
      </c>
      <c r="B757" s="6">
        <v>46354</v>
      </c>
      <c r="C757" t="s">
        <v>3</v>
      </c>
      <c r="D757" t="s">
        <v>22</v>
      </c>
      <c r="K757">
        <v>1</v>
      </c>
      <c r="L757" t="s">
        <v>35</v>
      </c>
      <c r="Q757" t="str">
        <f>IF(Team_Level[[#This Row],[Result]]="","",COUNTIFS(Team_Level[Team],Team_Level[[#This Row],[Team]],Team_Level[Date],"&gt;="&amp;Team_Level[[#This Row],[Date]],Team_Level[Result],"&lt;&gt;"))</f>
        <v/>
      </c>
      <c r="R757" t="str">
        <f>Team_Level[[#This Row],[Team]]&amp;"-"&amp;Team_Level[[#This Row],[Recency Rank]]</f>
        <v>Bradford City-</v>
      </c>
      <c r="S757" t="str">
        <f>IF(Team_Level[[#This Row],[Result]]="","",COUNTIFS(Team_Level[Team],Team_Level[[#This Row],[Team]],Team_Level[Date],"&lt;="&amp;Team_Level[[#This Row],[Date]],Team_Level[Result],"&lt;&gt;"))</f>
        <v/>
      </c>
      <c r="T757" t="str">
        <f>Team_Level[[#This Row],[Team]]&amp;"-"&amp;Team_Level[[#This Row],[Chrono Rank]]</f>
        <v>Bradford City-</v>
      </c>
    </row>
    <row r="758" spans="1:20" x14ac:dyDescent="0.25">
      <c r="A758" t="s">
        <v>283</v>
      </c>
      <c r="B758" s="6">
        <v>46357</v>
      </c>
      <c r="C758" t="s">
        <v>22</v>
      </c>
      <c r="D758" t="s">
        <v>1</v>
      </c>
      <c r="K758">
        <v>1</v>
      </c>
      <c r="L758" t="s">
        <v>35</v>
      </c>
      <c r="Q758" t="str">
        <f>IF(Team_Level[[#This Row],[Result]]="","",COUNTIFS(Team_Level[Team],Team_Level[[#This Row],[Team]],Team_Level[Date],"&gt;="&amp;Team_Level[[#This Row],[Date]],Team_Level[Result],"&lt;&gt;"))</f>
        <v/>
      </c>
      <c r="R758" t="str">
        <f>Team_Level[[#This Row],[Team]]&amp;"-"&amp;Team_Level[[#This Row],[Recency Rank]]</f>
        <v>Wycombe Wanderers-</v>
      </c>
      <c r="S758" t="str">
        <f>IF(Team_Level[[#This Row],[Result]]="","",COUNTIFS(Team_Level[Team],Team_Level[[#This Row],[Team]],Team_Level[Date],"&lt;="&amp;Team_Level[[#This Row],[Date]],Team_Level[Result],"&lt;&gt;"))</f>
        <v/>
      </c>
      <c r="T758" t="str">
        <f>Team_Level[[#This Row],[Team]]&amp;"-"&amp;Team_Level[[#This Row],[Chrono Rank]]</f>
        <v>Wycombe Wanderers-</v>
      </c>
    </row>
    <row r="759" spans="1:20" x14ac:dyDescent="0.25">
      <c r="A759" t="s">
        <v>284</v>
      </c>
      <c r="B759" s="6">
        <v>46357</v>
      </c>
      <c r="C759" t="s">
        <v>11</v>
      </c>
      <c r="D759" t="s">
        <v>2</v>
      </c>
      <c r="K759">
        <v>1</v>
      </c>
      <c r="L759" t="s">
        <v>35</v>
      </c>
      <c r="Q759" t="str">
        <f>IF(Team_Level[[#This Row],[Result]]="","",COUNTIFS(Team_Level[Team],Team_Level[[#This Row],[Team]],Team_Level[Date],"&gt;="&amp;Team_Level[[#This Row],[Date]],Team_Level[Result],"&lt;&gt;"))</f>
        <v/>
      </c>
      <c r="R759" t="str">
        <f>Team_Level[[#This Row],[Team]]&amp;"-"&amp;Team_Level[[#This Row],[Recency Rank]]</f>
        <v>Luton Town-</v>
      </c>
      <c r="S759" t="str">
        <f>IF(Team_Level[[#This Row],[Result]]="","",COUNTIFS(Team_Level[Team],Team_Level[[#This Row],[Team]],Team_Level[Date],"&lt;="&amp;Team_Level[[#This Row],[Date]],Team_Level[Result],"&lt;&gt;"))</f>
        <v/>
      </c>
      <c r="T759" t="str">
        <f>Team_Level[[#This Row],[Team]]&amp;"-"&amp;Team_Level[[#This Row],[Chrono Rank]]</f>
        <v>Luton Town-</v>
      </c>
    </row>
    <row r="760" spans="1:20" x14ac:dyDescent="0.25">
      <c r="A760" t="s">
        <v>285</v>
      </c>
      <c r="B760" s="6">
        <v>46357</v>
      </c>
      <c r="C760" t="s">
        <v>33</v>
      </c>
      <c r="D760" t="s">
        <v>3</v>
      </c>
      <c r="K760">
        <v>1</v>
      </c>
      <c r="L760" t="s">
        <v>35</v>
      </c>
      <c r="Q760" t="str">
        <f>IF(Team_Level[[#This Row],[Result]]="","",COUNTIFS(Team_Level[Team],Team_Level[[#This Row],[Team]],Team_Level[Date],"&gt;="&amp;Team_Level[[#This Row],[Date]],Team_Level[Result],"&lt;&gt;"))</f>
        <v/>
      </c>
      <c r="R760" t="str">
        <f>Team_Level[[#This Row],[Team]]&amp;"-"&amp;Team_Level[[#This Row],[Recency Rank]]</f>
        <v>Milton Keynes Dons-</v>
      </c>
      <c r="S760" t="str">
        <f>IF(Team_Level[[#This Row],[Result]]="","",COUNTIFS(Team_Level[Team],Team_Level[[#This Row],[Team]],Team_Level[Date],"&lt;="&amp;Team_Level[[#This Row],[Date]],Team_Level[Result],"&lt;&gt;"))</f>
        <v/>
      </c>
      <c r="T760" t="str">
        <f>Team_Level[[#This Row],[Team]]&amp;"-"&amp;Team_Level[[#This Row],[Chrono Rank]]</f>
        <v>Milton Keynes Dons-</v>
      </c>
    </row>
    <row r="761" spans="1:20" x14ac:dyDescent="0.25">
      <c r="A761" t="s">
        <v>286</v>
      </c>
      <c r="B761" s="6">
        <v>46357</v>
      </c>
      <c r="C761" t="s">
        <v>21</v>
      </c>
      <c r="D761" t="s">
        <v>5</v>
      </c>
      <c r="K761">
        <v>1</v>
      </c>
      <c r="L761" t="s">
        <v>35</v>
      </c>
      <c r="Q761" t="str">
        <f>IF(Team_Level[[#This Row],[Result]]="","",COUNTIFS(Team_Level[Team],Team_Level[[#This Row],[Team]],Team_Level[Date],"&gt;="&amp;Team_Level[[#This Row],[Date]],Team_Level[Result],"&lt;&gt;"))</f>
        <v/>
      </c>
      <c r="R761" t="str">
        <f>Team_Level[[#This Row],[Team]]&amp;"-"&amp;Team_Level[[#This Row],[Recency Rank]]</f>
        <v>Wigan Athletic-</v>
      </c>
      <c r="S761" t="str">
        <f>IF(Team_Level[[#This Row],[Result]]="","",COUNTIFS(Team_Level[Team],Team_Level[[#This Row],[Team]],Team_Level[Date],"&lt;="&amp;Team_Level[[#This Row],[Date]],Team_Level[Result],"&lt;&gt;"))</f>
        <v/>
      </c>
      <c r="T761" t="str">
        <f>Team_Level[[#This Row],[Team]]&amp;"-"&amp;Team_Level[[#This Row],[Chrono Rank]]</f>
        <v>Wigan Athletic-</v>
      </c>
    </row>
    <row r="762" spans="1:20" x14ac:dyDescent="0.25">
      <c r="A762" t="s">
        <v>287</v>
      </c>
      <c r="B762" s="6">
        <v>46357</v>
      </c>
      <c r="C762" t="s">
        <v>9</v>
      </c>
      <c r="D762" t="s">
        <v>6</v>
      </c>
      <c r="K762">
        <v>1</v>
      </c>
      <c r="L762" t="s">
        <v>35</v>
      </c>
      <c r="Q762" t="str">
        <f>IF(Team_Level[[#This Row],[Result]]="","",COUNTIFS(Team_Level[Team],Team_Level[[#This Row],[Team]],Team_Level[Date],"&gt;="&amp;Team_Level[[#This Row],[Date]],Team_Level[Result],"&lt;&gt;"))</f>
        <v/>
      </c>
      <c r="R762" t="str">
        <f>Team_Level[[#This Row],[Team]]&amp;"-"&amp;Team_Level[[#This Row],[Recency Rank]]</f>
        <v>Leicester City-</v>
      </c>
      <c r="S762" t="str">
        <f>IF(Team_Level[[#This Row],[Result]]="","",COUNTIFS(Team_Level[Team],Team_Level[[#This Row],[Team]],Team_Level[Date],"&lt;="&amp;Team_Level[[#This Row],[Date]],Team_Level[Result],"&lt;&gt;"))</f>
        <v/>
      </c>
      <c r="T762" t="str">
        <f>Team_Level[[#This Row],[Team]]&amp;"-"&amp;Team_Level[[#This Row],[Chrono Rank]]</f>
        <v>Leicester City-</v>
      </c>
    </row>
    <row r="763" spans="1:20" x14ac:dyDescent="0.25">
      <c r="A763" t="s">
        <v>288</v>
      </c>
      <c r="B763" s="6">
        <v>46357</v>
      </c>
      <c r="C763" t="s">
        <v>19</v>
      </c>
      <c r="D763" t="s">
        <v>8</v>
      </c>
      <c r="K763">
        <v>1</v>
      </c>
      <c r="L763" t="s">
        <v>35</v>
      </c>
      <c r="Q763" t="str">
        <f>IF(Team_Level[[#This Row],[Result]]="","",COUNTIFS(Team_Level[Team],Team_Level[[#This Row],[Team]],Team_Level[Date],"&gt;="&amp;Team_Level[[#This Row],[Date]],Team_Level[Result],"&lt;&gt;"))</f>
        <v/>
      </c>
      <c r="R763" t="str">
        <f>Team_Level[[#This Row],[Team]]&amp;"-"&amp;Team_Level[[#This Row],[Recency Rank]]</f>
        <v>Stevenage-</v>
      </c>
      <c r="S763" t="str">
        <f>IF(Team_Level[[#This Row],[Result]]="","",COUNTIFS(Team_Level[Team],Team_Level[[#This Row],[Team]],Team_Level[Date],"&lt;="&amp;Team_Level[[#This Row],[Date]],Team_Level[Result],"&lt;&gt;"))</f>
        <v/>
      </c>
      <c r="T763" t="str">
        <f>Team_Level[[#This Row],[Team]]&amp;"-"&amp;Team_Level[[#This Row],[Chrono Rank]]</f>
        <v>Stevenage-</v>
      </c>
    </row>
    <row r="764" spans="1:20" x14ac:dyDescent="0.25">
      <c r="A764" t="s">
        <v>289</v>
      </c>
      <c r="B764" s="6">
        <v>46357</v>
      </c>
      <c r="C764" t="s">
        <v>15</v>
      </c>
      <c r="D764" t="s">
        <v>10</v>
      </c>
      <c r="K764">
        <v>1</v>
      </c>
      <c r="L764" t="s">
        <v>35</v>
      </c>
      <c r="Q764" t="str">
        <f>IF(Team_Level[[#This Row],[Result]]="","",COUNTIFS(Team_Level[Team],Team_Level[[#This Row],[Team]],Team_Level[Date],"&gt;="&amp;Team_Level[[#This Row],[Date]],Team_Level[Result],"&lt;&gt;"))</f>
        <v/>
      </c>
      <c r="R764" t="str">
        <f>Team_Level[[#This Row],[Team]]&amp;"-"&amp;Team_Level[[#This Row],[Recency Rank]]</f>
        <v>Peterborough United-</v>
      </c>
      <c r="S764" t="str">
        <f>IF(Team_Level[[#This Row],[Result]]="","",COUNTIFS(Team_Level[Team],Team_Level[[#This Row],[Team]],Team_Level[Date],"&lt;="&amp;Team_Level[[#This Row],[Date]],Team_Level[Result],"&lt;&gt;"))</f>
        <v/>
      </c>
      <c r="T764" t="str">
        <f>Team_Level[[#This Row],[Team]]&amp;"-"&amp;Team_Level[[#This Row],[Chrono Rank]]</f>
        <v>Peterborough United-</v>
      </c>
    </row>
    <row r="765" spans="1:20" x14ac:dyDescent="0.25">
      <c r="A765" t="s">
        <v>290</v>
      </c>
      <c r="B765" s="6">
        <v>46357</v>
      </c>
      <c r="C765" t="s">
        <v>20</v>
      </c>
      <c r="D765" t="s">
        <v>12</v>
      </c>
      <c r="K765">
        <v>1</v>
      </c>
      <c r="L765" t="s">
        <v>35</v>
      </c>
      <c r="Q765" t="str">
        <f>IF(Team_Level[[#This Row],[Result]]="","",COUNTIFS(Team_Level[Team],Team_Level[[#This Row],[Team]],Team_Level[Date],"&gt;="&amp;Team_Level[[#This Row],[Date]],Team_Level[Result],"&lt;&gt;"))</f>
        <v/>
      </c>
      <c r="R765" t="str">
        <f>Team_Level[[#This Row],[Team]]&amp;"-"&amp;Team_Level[[#This Row],[Recency Rank]]</f>
        <v>Stockport County-</v>
      </c>
      <c r="S765" t="str">
        <f>IF(Team_Level[[#This Row],[Result]]="","",COUNTIFS(Team_Level[Team],Team_Level[[#This Row],[Team]],Team_Level[Date],"&lt;="&amp;Team_Level[[#This Row],[Date]],Team_Level[Result],"&lt;&gt;"))</f>
        <v/>
      </c>
      <c r="T765" t="str">
        <f>Team_Level[[#This Row],[Team]]&amp;"-"&amp;Team_Level[[#This Row],[Chrono Rank]]</f>
        <v>Stockport County-</v>
      </c>
    </row>
    <row r="766" spans="1:20" x14ac:dyDescent="0.25">
      <c r="A766" t="s">
        <v>291</v>
      </c>
      <c r="B766" s="6">
        <v>46357</v>
      </c>
      <c r="C766" t="s">
        <v>0</v>
      </c>
      <c r="D766" t="s">
        <v>13</v>
      </c>
      <c r="K766">
        <v>1</v>
      </c>
      <c r="L766" t="s">
        <v>35</v>
      </c>
      <c r="Q766" t="str">
        <f>IF(Team_Level[[#This Row],[Result]]="","",COUNTIFS(Team_Level[Team],Team_Level[[#This Row],[Team]],Team_Level[Date],"&gt;="&amp;Team_Level[[#This Row],[Date]],Team_Level[Result],"&lt;&gt;"))</f>
        <v/>
      </c>
      <c r="R766" t="str">
        <f>Team_Level[[#This Row],[Team]]&amp;"-"&amp;Team_Level[[#This Row],[Recency Rank]]</f>
        <v>AFC Wimbledon-</v>
      </c>
      <c r="S766" t="str">
        <f>IF(Team_Level[[#This Row],[Result]]="","",COUNTIFS(Team_Level[Team],Team_Level[[#This Row],[Team]],Team_Level[Date],"&lt;="&amp;Team_Level[[#This Row],[Date]],Team_Level[Result],"&lt;&gt;"))</f>
        <v/>
      </c>
      <c r="T766" t="str">
        <f>Team_Level[[#This Row],[Team]]&amp;"-"&amp;Team_Level[[#This Row],[Chrono Rank]]</f>
        <v>AFC Wimbledon-</v>
      </c>
    </row>
    <row r="767" spans="1:20" x14ac:dyDescent="0.25">
      <c r="A767" t="s">
        <v>292</v>
      </c>
      <c r="B767" s="6">
        <v>46357</v>
      </c>
      <c r="C767" t="s">
        <v>18</v>
      </c>
      <c r="D767" t="s">
        <v>14</v>
      </c>
      <c r="K767">
        <v>1</v>
      </c>
      <c r="L767" t="s">
        <v>35</v>
      </c>
      <c r="Q767" t="str">
        <f>IF(Team_Level[[#This Row],[Result]]="","",COUNTIFS(Team_Level[Team],Team_Level[[#This Row],[Team]],Team_Level[Date],"&gt;="&amp;Team_Level[[#This Row],[Date]],Team_Level[Result],"&lt;&gt;"))</f>
        <v/>
      </c>
      <c r="R767" t="str">
        <f>Team_Level[[#This Row],[Team]]&amp;"-"&amp;Team_Level[[#This Row],[Recency Rank]]</f>
        <v>Sheffield Wednesday-</v>
      </c>
      <c r="S767" t="str">
        <f>IF(Team_Level[[#This Row],[Result]]="","",COUNTIFS(Team_Level[Team],Team_Level[[#This Row],[Team]],Team_Level[Date],"&lt;="&amp;Team_Level[[#This Row],[Date]],Team_Level[Result],"&lt;&gt;"))</f>
        <v/>
      </c>
      <c r="T767" t="str">
        <f>Team_Level[[#This Row],[Team]]&amp;"-"&amp;Team_Level[[#This Row],[Chrono Rank]]</f>
        <v>Sheffield Wednesday-</v>
      </c>
    </row>
    <row r="768" spans="1:20" x14ac:dyDescent="0.25">
      <c r="A768" t="s">
        <v>293</v>
      </c>
      <c r="B768" s="6">
        <v>46357</v>
      </c>
      <c r="C768" t="s">
        <v>4</v>
      </c>
      <c r="D768" t="s">
        <v>16</v>
      </c>
      <c r="K768">
        <v>1</v>
      </c>
      <c r="L768" t="s">
        <v>35</v>
      </c>
      <c r="Q768" t="str">
        <f>IF(Team_Level[[#This Row],[Result]]="","",COUNTIFS(Team_Level[Team],Team_Level[[#This Row],[Team]],Team_Level[Date],"&gt;="&amp;Team_Level[[#This Row],[Date]],Team_Level[Result],"&lt;&gt;"))</f>
        <v/>
      </c>
      <c r="R768" t="str">
        <f>Team_Level[[#This Row],[Team]]&amp;"-"&amp;Team_Level[[#This Row],[Recency Rank]]</f>
        <v>Bromley-</v>
      </c>
      <c r="S768" t="str">
        <f>IF(Team_Level[[#This Row],[Result]]="","",COUNTIFS(Team_Level[Team],Team_Level[[#This Row],[Team]],Team_Level[Date],"&lt;="&amp;Team_Level[[#This Row],[Date]],Team_Level[Result],"&lt;&gt;"))</f>
        <v/>
      </c>
      <c r="T768" t="str">
        <f>Team_Level[[#This Row],[Team]]&amp;"-"&amp;Team_Level[[#This Row],[Chrono Rank]]</f>
        <v>Bromley-</v>
      </c>
    </row>
    <row r="769" spans="1:20" x14ac:dyDescent="0.25">
      <c r="A769" t="s">
        <v>294</v>
      </c>
      <c r="B769" s="6">
        <v>46357</v>
      </c>
      <c r="C769" t="s">
        <v>7</v>
      </c>
      <c r="D769" t="s">
        <v>17</v>
      </c>
      <c r="K769">
        <v>1</v>
      </c>
      <c r="L769" t="s">
        <v>35</v>
      </c>
      <c r="Q769" t="str">
        <f>IF(Team_Level[[#This Row],[Result]]="","",COUNTIFS(Team_Level[Team],Team_Level[[#This Row],[Team]],Team_Level[Date],"&gt;="&amp;Team_Level[[#This Row],[Date]],Team_Level[Result],"&lt;&gt;"))</f>
        <v/>
      </c>
      <c r="R769" t="str">
        <f>Team_Level[[#This Row],[Team]]&amp;"-"&amp;Team_Level[[#This Row],[Recency Rank]]</f>
        <v>Doncaster Rovers-</v>
      </c>
      <c r="S769" t="str">
        <f>IF(Team_Level[[#This Row],[Result]]="","",COUNTIFS(Team_Level[Team],Team_Level[[#This Row],[Team]],Team_Level[Date],"&lt;="&amp;Team_Level[[#This Row],[Date]],Team_Level[Result],"&lt;&gt;"))</f>
        <v/>
      </c>
      <c r="T769" t="str">
        <f>Team_Level[[#This Row],[Team]]&amp;"-"&amp;Team_Level[[#This Row],[Chrono Rank]]</f>
        <v>Doncaster Rovers-</v>
      </c>
    </row>
    <row r="770" spans="1:20" x14ac:dyDescent="0.25">
      <c r="A770" t="s">
        <v>295</v>
      </c>
      <c r="B770" s="6">
        <v>46366</v>
      </c>
      <c r="C770" t="s">
        <v>18</v>
      </c>
      <c r="D770" t="s">
        <v>9</v>
      </c>
      <c r="K770">
        <v>1</v>
      </c>
      <c r="L770" t="s">
        <v>35</v>
      </c>
      <c r="Q770" t="str">
        <f>IF(Team_Level[[#This Row],[Result]]="","",COUNTIFS(Team_Level[Team],Team_Level[[#This Row],[Team]],Team_Level[Date],"&gt;="&amp;Team_Level[[#This Row],[Date]],Team_Level[Result],"&lt;&gt;"))</f>
        <v/>
      </c>
      <c r="R770" t="str">
        <f>Team_Level[[#This Row],[Team]]&amp;"-"&amp;Team_Level[[#This Row],[Recency Rank]]</f>
        <v>Sheffield Wednesday-</v>
      </c>
      <c r="S770" t="str">
        <f>IF(Team_Level[[#This Row],[Result]]="","",COUNTIFS(Team_Level[Team],Team_Level[[#This Row],[Team]],Team_Level[Date],"&lt;="&amp;Team_Level[[#This Row],[Date]],Team_Level[Result],"&lt;&gt;"))</f>
        <v/>
      </c>
      <c r="T770" t="str">
        <f>Team_Level[[#This Row],[Team]]&amp;"-"&amp;Team_Level[[#This Row],[Chrono Rank]]</f>
        <v>Sheffield Wednesday-</v>
      </c>
    </row>
    <row r="771" spans="1:20" x14ac:dyDescent="0.25">
      <c r="A771" t="s">
        <v>296</v>
      </c>
      <c r="B771" s="6">
        <v>46368</v>
      </c>
      <c r="C771" t="s">
        <v>0</v>
      </c>
      <c r="D771" t="s">
        <v>3</v>
      </c>
      <c r="K771">
        <v>1</v>
      </c>
      <c r="L771" t="s">
        <v>35</v>
      </c>
      <c r="Q771" t="str">
        <f>IF(Team_Level[[#This Row],[Result]]="","",COUNTIFS(Team_Level[Team],Team_Level[[#This Row],[Team]],Team_Level[Date],"&gt;="&amp;Team_Level[[#This Row],[Date]],Team_Level[Result],"&lt;&gt;"))</f>
        <v/>
      </c>
      <c r="R771" t="str">
        <f>Team_Level[[#This Row],[Team]]&amp;"-"&amp;Team_Level[[#This Row],[Recency Rank]]</f>
        <v>AFC Wimbledon-</v>
      </c>
      <c r="S771" t="str">
        <f>IF(Team_Level[[#This Row],[Result]]="","",COUNTIFS(Team_Level[Team],Team_Level[[#This Row],[Team]],Team_Level[Date],"&lt;="&amp;Team_Level[[#This Row],[Date]],Team_Level[Result],"&lt;&gt;"))</f>
        <v/>
      </c>
      <c r="T771" t="str">
        <f>Team_Level[[#This Row],[Team]]&amp;"-"&amp;Team_Level[[#This Row],[Chrono Rank]]</f>
        <v>AFC Wimbledon-</v>
      </c>
    </row>
    <row r="772" spans="1:20" x14ac:dyDescent="0.25">
      <c r="A772" t="s">
        <v>297</v>
      </c>
      <c r="B772" s="6">
        <v>46368</v>
      </c>
      <c r="C772" t="s">
        <v>17</v>
      </c>
      <c r="D772" t="s">
        <v>5</v>
      </c>
      <c r="K772">
        <v>1</v>
      </c>
      <c r="L772" t="s">
        <v>35</v>
      </c>
      <c r="Q772" t="str">
        <f>IF(Team_Level[[#This Row],[Result]]="","",COUNTIFS(Team_Level[Team],Team_Level[[#This Row],[Team]],Team_Level[Date],"&gt;="&amp;Team_Level[[#This Row],[Date]],Team_Level[Result],"&lt;&gt;"))</f>
        <v/>
      </c>
      <c r="R772" t="str">
        <f>Team_Level[[#This Row],[Team]]&amp;"-"&amp;Team_Level[[#This Row],[Recency Rank]]</f>
        <v>Reading-</v>
      </c>
      <c r="S772" t="str">
        <f>IF(Team_Level[[#This Row],[Result]]="","",COUNTIFS(Team_Level[Team],Team_Level[[#This Row],[Team]],Team_Level[Date],"&lt;="&amp;Team_Level[[#This Row],[Date]],Team_Level[Result],"&lt;&gt;"))</f>
        <v/>
      </c>
      <c r="T772" t="str">
        <f>Team_Level[[#This Row],[Team]]&amp;"-"&amp;Team_Level[[#This Row],[Chrono Rank]]</f>
        <v>Reading-</v>
      </c>
    </row>
    <row r="773" spans="1:20" x14ac:dyDescent="0.25">
      <c r="A773" t="s">
        <v>298</v>
      </c>
      <c r="B773" s="6">
        <v>46368</v>
      </c>
      <c r="C773" t="s">
        <v>4</v>
      </c>
      <c r="D773" t="s">
        <v>7</v>
      </c>
      <c r="K773">
        <v>1</v>
      </c>
      <c r="L773" t="s">
        <v>35</v>
      </c>
      <c r="Q773" t="str">
        <f>IF(Team_Level[[#This Row],[Result]]="","",COUNTIFS(Team_Level[Team],Team_Level[[#This Row],[Team]],Team_Level[Date],"&gt;="&amp;Team_Level[[#This Row],[Date]],Team_Level[Result],"&lt;&gt;"))</f>
        <v/>
      </c>
      <c r="R773" t="str">
        <f>Team_Level[[#This Row],[Team]]&amp;"-"&amp;Team_Level[[#This Row],[Recency Rank]]</f>
        <v>Bromley-</v>
      </c>
      <c r="S773" t="str">
        <f>IF(Team_Level[[#This Row],[Result]]="","",COUNTIFS(Team_Level[Team],Team_Level[[#This Row],[Team]],Team_Level[Date],"&lt;="&amp;Team_Level[[#This Row],[Date]],Team_Level[Result],"&lt;&gt;"))</f>
        <v/>
      </c>
      <c r="T773" t="str">
        <f>Team_Level[[#This Row],[Team]]&amp;"-"&amp;Team_Level[[#This Row],[Chrono Rank]]</f>
        <v>Bromley-</v>
      </c>
    </row>
    <row r="774" spans="1:20" x14ac:dyDescent="0.25">
      <c r="A774" t="s">
        <v>299</v>
      </c>
      <c r="B774" s="6">
        <v>46368</v>
      </c>
      <c r="C774" t="s">
        <v>10</v>
      </c>
      <c r="D774" t="s">
        <v>8</v>
      </c>
      <c r="K774">
        <v>1</v>
      </c>
      <c r="L774" t="s">
        <v>35</v>
      </c>
      <c r="Q774" t="str">
        <f>IF(Team_Level[[#This Row],[Result]]="","",COUNTIFS(Team_Level[Team],Team_Level[[#This Row],[Team]],Team_Level[Date],"&gt;="&amp;Team_Level[[#This Row],[Date]],Team_Level[Result],"&lt;&gt;"))</f>
        <v/>
      </c>
      <c r="R774" t="str">
        <f>Team_Level[[#This Row],[Team]]&amp;"-"&amp;Team_Level[[#This Row],[Recency Rank]]</f>
        <v>Leyton Orient-</v>
      </c>
      <c r="S774" t="str">
        <f>IF(Team_Level[[#This Row],[Result]]="","",COUNTIFS(Team_Level[Team],Team_Level[[#This Row],[Team]],Team_Level[Date],"&lt;="&amp;Team_Level[[#This Row],[Date]],Team_Level[Result],"&lt;&gt;"))</f>
        <v/>
      </c>
      <c r="T774" t="str">
        <f>Team_Level[[#This Row],[Team]]&amp;"-"&amp;Team_Level[[#This Row],[Chrono Rank]]</f>
        <v>Leyton Orient-</v>
      </c>
    </row>
    <row r="775" spans="1:20" x14ac:dyDescent="0.25">
      <c r="A775" t="s">
        <v>300</v>
      </c>
      <c r="B775" s="6">
        <v>46368</v>
      </c>
      <c r="C775" t="s">
        <v>21</v>
      </c>
      <c r="D775" t="s">
        <v>11</v>
      </c>
      <c r="K775">
        <v>1</v>
      </c>
      <c r="L775" t="s">
        <v>35</v>
      </c>
      <c r="Q775" t="str">
        <f>IF(Team_Level[[#This Row],[Result]]="","",COUNTIFS(Team_Level[Team],Team_Level[[#This Row],[Team]],Team_Level[Date],"&gt;="&amp;Team_Level[[#This Row],[Date]],Team_Level[Result],"&lt;&gt;"))</f>
        <v/>
      </c>
      <c r="R775" t="str">
        <f>Team_Level[[#This Row],[Team]]&amp;"-"&amp;Team_Level[[#This Row],[Recency Rank]]</f>
        <v>Wigan Athletic-</v>
      </c>
      <c r="S775" t="str">
        <f>IF(Team_Level[[#This Row],[Result]]="","",COUNTIFS(Team_Level[Team],Team_Level[[#This Row],[Team]],Team_Level[Date],"&lt;="&amp;Team_Level[[#This Row],[Date]],Team_Level[Result],"&lt;&gt;"))</f>
        <v/>
      </c>
      <c r="T775" t="str">
        <f>Team_Level[[#This Row],[Team]]&amp;"-"&amp;Team_Level[[#This Row],[Chrono Rank]]</f>
        <v>Wigan Athletic-</v>
      </c>
    </row>
    <row r="776" spans="1:20" x14ac:dyDescent="0.25">
      <c r="A776" t="s">
        <v>301</v>
      </c>
      <c r="B776" s="6">
        <v>46368</v>
      </c>
      <c r="C776" t="s">
        <v>22</v>
      </c>
      <c r="D776" t="s">
        <v>12</v>
      </c>
      <c r="K776">
        <v>1</v>
      </c>
      <c r="L776" t="s">
        <v>35</v>
      </c>
      <c r="Q776" t="str">
        <f>IF(Team_Level[[#This Row],[Result]]="","",COUNTIFS(Team_Level[Team],Team_Level[[#This Row],[Team]],Team_Level[Date],"&gt;="&amp;Team_Level[[#This Row],[Date]],Team_Level[Result],"&lt;&gt;"))</f>
        <v/>
      </c>
      <c r="R776" t="str">
        <f>Team_Level[[#This Row],[Team]]&amp;"-"&amp;Team_Level[[#This Row],[Recency Rank]]</f>
        <v>Wycombe Wanderers-</v>
      </c>
      <c r="S776" t="str">
        <f>IF(Team_Level[[#This Row],[Result]]="","",COUNTIFS(Team_Level[Team],Team_Level[[#This Row],[Team]],Team_Level[Date],"&lt;="&amp;Team_Level[[#This Row],[Date]],Team_Level[Result],"&lt;&gt;"))</f>
        <v/>
      </c>
      <c r="T776" t="str">
        <f>Team_Level[[#This Row],[Team]]&amp;"-"&amp;Team_Level[[#This Row],[Chrono Rank]]</f>
        <v>Wycombe Wanderers-</v>
      </c>
    </row>
    <row r="777" spans="1:20" x14ac:dyDescent="0.25">
      <c r="A777" t="s">
        <v>302</v>
      </c>
      <c r="B777" s="6">
        <v>46368</v>
      </c>
      <c r="C777" t="s">
        <v>6</v>
      </c>
      <c r="D777" t="s">
        <v>33</v>
      </c>
      <c r="K777">
        <v>1</v>
      </c>
      <c r="L777" t="s">
        <v>35</v>
      </c>
      <c r="Q777" t="str">
        <f>IF(Team_Level[[#This Row],[Result]]="","",COUNTIFS(Team_Level[Team],Team_Level[[#This Row],[Team]],Team_Level[Date],"&gt;="&amp;Team_Level[[#This Row],[Date]],Team_Level[Result],"&lt;&gt;"))</f>
        <v/>
      </c>
      <c r="R777" t="str">
        <f>Team_Level[[#This Row],[Team]]&amp;"-"&amp;Team_Level[[#This Row],[Recency Rank]]</f>
        <v>Cambridge United-</v>
      </c>
      <c r="S777" t="str">
        <f>IF(Team_Level[[#This Row],[Result]]="","",COUNTIFS(Team_Level[Team],Team_Level[[#This Row],[Team]],Team_Level[Date],"&lt;="&amp;Team_Level[[#This Row],[Date]],Team_Level[Result],"&lt;&gt;"))</f>
        <v/>
      </c>
      <c r="T777" t="str">
        <f>Team_Level[[#This Row],[Team]]&amp;"-"&amp;Team_Level[[#This Row],[Chrono Rank]]</f>
        <v>Cambridge United-</v>
      </c>
    </row>
    <row r="778" spans="1:20" x14ac:dyDescent="0.25">
      <c r="A778" t="s">
        <v>303</v>
      </c>
      <c r="B778" s="6">
        <v>46368</v>
      </c>
      <c r="C778" t="s">
        <v>16</v>
      </c>
      <c r="D778" t="s">
        <v>13</v>
      </c>
      <c r="K778">
        <v>1</v>
      </c>
      <c r="L778" t="s">
        <v>35</v>
      </c>
      <c r="Q778" t="str">
        <f>IF(Team_Level[[#This Row],[Result]]="","",COUNTIFS(Team_Level[Team],Team_Level[[#This Row],[Team]],Team_Level[Date],"&gt;="&amp;Team_Level[[#This Row],[Date]],Team_Level[Result],"&lt;&gt;"))</f>
        <v/>
      </c>
      <c r="R778" t="str">
        <f>Team_Level[[#This Row],[Team]]&amp;"-"&amp;Team_Level[[#This Row],[Recency Rank]]</f>
        <v>Plymouth Argyle-</v>
      </c>
      <c r="S778" t="str">
        <f>IF(Team_Level[[#This Row],[Result]]="","",COUNTIFS(Team_Level[Team],Team_Level[[#This Row],[Team]],Team_Level[Date],"&lt;="&amp;Team_Level[[#This Row],[Date]],Team_Level[Result],"&lt;&gt;"))</f>
        <v/>
      </c>
      <c r="T778" t="str">
        <f>Team_Level[[#This Row],[Team]]&amp;"-"&amp;Team_Level[[#This Row],[Chrono Rank]]</f>
        <v>Plymouth Argyle-</v>
      </c>
    </row>
    <row r="779" spans="1:20" x14ac:dyDescent="0.25">
      <c r="A779" t="s">
        <v>304</v>
      </c>
      <c r="B779" s="6">
        <v>46368</v>
      </c>
      <c r="C779" t="s">
        <v>2</v>
      </c>
      <c r="D779" t="s">
        <v>14</v>
      </c>
      <c r="K779">
        <v>1</v>
      </c>
      <c r="L779" t="s">
        <v>35</v>
      </c>
      <c r="Q779" t="str">
        <f>IF(Team_Level[[#This Row],[Result]]="","",COUNTIFS(Team_Level[Team],Team_Level[[#This Row],[Team]],Team_Level[Date],"&gt;="&amp;Team_Level[[#This Row],[Date]],Team_Level[Result],"&lt;&gt;"))</f>
        <v/>
      </c>
      <c r="R779" t="str">
        <f>Team_Level[[#This Row],[Team]]&amp;"-"&amp;Team_Level[[#This Row],[Recency Rank]]</f>
        <v>Blackpool-</v>
      </c>
      <c r="S779" t="str">
        <f>IF(Team_Level[[#This Row],[Result]]="","",COUNTIFS(Team_Level[Team],Team_Level[[#This Row],[Team]],Team_Level[Date],"&lt;="&amp;Team_Level[[#This Row],[Date]],Team_Level[Result],"&lt;&gt;"))</f>
        <v/>
      </c>
      <c r="T779" t="str">
        <f>Team_Level[[#This Row],[Team]]&amp;"-"&amp;Team_Level[[#This Row],[Chrono Rank]]</f>
        <v>Blackpool-</v>
      </c>
    </row>
    <row r="780" spans="1:20" x14ac:dyDescent="0.25">
      <c r="A780" t="s">
        <v>305</v>
      </c>
      <c r="B780" s="6">
        <v>46368</v>
      </c>
      <c r="C780" t="s">
        <v>1</v>
      </c>
      <c r="D780" t="s">
        <v>15</v>
      </c>
      <c r="K780">
        <v>1</v>
      </c>
      <c r="L780" t="s">
        <v>35</v>
      </c>
      <c r="Q780" t="str">
        <f>IF(Team_Level[[#This Row],[Result]]="","",COUNTIFS(Team_Level[Team],Team_Level[[#This Row],[Team]],Team_Level[Date],"&gt;="&amp;Team_Level[[#This Row],[Date]],Team_Level[Result],"&lt;&gt;"))</f>
        <v/>
      </c>
      <c r="R780" t="str">
        <f>Team_Level[[#This Row],[Team]]&amp;"-"&amp;Team_Level[[#This Row],[Recency Rank]]</f>
        <v>Barnsley-</v>
      </c>
      <c r="S780" t="str">
        <f>IF(Team_Level[[#This Row],[Result]]="","",COUNTIFS(Team_Level[Team],Team_Level[[#This Row],[Team]],Team_Level[Date],"&lt;="&amp;Team_Level[[#This Row],[Date]],Team_Level[Result],"&lt;&gt;"))</f>
        <v/>
      </c>
      <c r="T780" t="str">
        <f>Team_Level[[#This Row],[Team]]&amp;"-"&amp;Team_Level[[#This Row],[Chrono Rank]]</f>
        <v>Barnsley-</v>
      </c>
    </row>
    <row r="781" spans="1:20" x14ac:dyDescent="0.25">
      <c r="A781" t="s">
        <v>306</v>
      </c>
      <c r="B781" s="6">
        <v>46368</v>
      </c>
      <c r="C781" t="s">
        <v>20</v>
      </c>
      <c r="D781" t="s">
        <v>19</v>
      </c>
      <c r="K781">
        <v>1</v>
      </c>
      <c r="L781" t="s">
        <v>35</v>
      </c>
      <c r="Q781" t="str">
        <f>IF(Team_Level[[#This Row],[Result]]="","",COUNTIFS(Team_Level[Team],Team_Level[[#This Row],[Team]],Team_Level[Date],"&gt;="&amp;Team_Level[[#This Row],[Date]],Team_Level[Result],"&lt;&gt;"))</f>
        <v/>
      </c>
      <c r="R781" t="str">
        <f>Team_Level[[#This Row],[Team]]&amp;"-"&amp;Team_Level[[#This Row],[Recency Rank]]</f>
        <v>Stockport County-</v>
      </c>
      <c r="S781" t="str">
        <f>IF(Team_Level[[#This Row],[Result]]="","",COUNTIFS(Team_Level[Team],Team_Level[[#This Row],[Team]],Team_Level[Date],"&lt;="&amp;Team_Level[[#This Row],[Date]],Team_Level[Result],"&lt;&gt;"))</f>
        <v/>
      </c>
      <c r="T781" t="str">
        <f>Team_Level[[#This Row],[Team]]&amp;"-"&amp;Team_Level[[#This Row],[Chrono Rank]]</f>
        <v>Stockport County-</v>
      </c>
    </row>
    <row r="782" spans="1:20" x14ac:dyDescent="0.25">
      <c r="A782" t="s">
        <v>307</v>
      </c>
      <c r="B782" s="6">
        <v>46374</v>
      </c>
      <c r="C782" t="s">
        <v>19</v>
      </c>
      <c r="D782" t="s">
        <v>6</v>
      </c>
      <c r="K782">
        <v>1</v>
      </c>
      <c r="L782" t="s">
        <v>35</v>
      </c>
      <c r="Q782" t="str">
        <f>IF(Team_Level[[#This Row],[Result]]="","",COUNTIFS(Team_Level[Team],Team_Level[[#This Row],[Team]],Team_Level[Date],"&gt;="&amp;Team_Level[[#This Row],[Date]],Team_Level[Result],"&lt;&gt;"))</f>
        <v/>
      </c>
      <c r="R782" t="str">
        <f>Team_Level[[#This Row],[Team]]&amp;"-"&amp;Team_Level[[#This Row],[Recency Rank]]</f>
        <v>Stevenage-</v>
      </c>
      <c r="S782" t="str">
        <f>IF(Team_Level[[#This Row],[Result]]="","",COUNTIFS(Team_Level[Team],Team_Level[[#This Row],[Team]],Team_Level[Date],"&lt;="&amp;Team_Level[[#This Row],[Date]],Team_Level[Result],"&lt;&gt;"))</f>
        <v/>
      </c>
      <c r="T782" t="str">
        <f>Team_Level[[#This Row],[Team]]&amp;"-"&amp;Team_Level[[#This Row],[Chrono Rank]]</f>
        <v>Stevenage-</v>
      </c>
    </row>
    <row r="783" spans="1:20" x14ac:dyDescent="0.25">
      <c r="A783" t="s">
        <v>308</v>
      </c>
      <c r="B783" s="6">
        <v>46375</v>
      </c>
      <c r="C783" t="s">
        <v>14</v>
      </c>
      <c r="D783" t="s">
        <v>0</v>
      </c>
      <c r="K783">
        <v>1</v>
      </c>
      <c r="L783" t="s">
        <v>35</v>
      </c>
      <c r="Q783" t="str">
        <f>IF(Team_Level[[#This Row],[Result]]="","",COUNTIFS(Team_Level[Team],Team_Level[[#This Row],[Team]],Team_Level[Date],"&gt;="&amp;Team_Level[[#This Row],[Date]],Team_Level[Result],"&lt;&gt;"))</f>
        <v/>
      </c>
      <c r="R783" t="str">
        <f>Team_Level[[#This Row],[Team]]&amp;"-"&amp;Team_Level[[#This Row],[Recency Rank]]</f>
        <v>Oxford United-</v>
      </c>
      <c r="S783" t="str">
        <f>IF(Team_Level[[#This Row],[Result]]="","",COUNTIFS(Team_Level[Team],Team_Level[[#This Row],[Team]],Team_Level[Date],"&lt;="&amp;Team_Level[[#This Row],[Date]],Team_Level[Result],"&lt;&gt;"))</f>
        <v/>
      </c>
      <c r="T783" t="str">
        <f>Team_Level[[#This Row],[Team]]&amp;"-"&amp;Team_Level[[#This Row],[Chrono Rank]]</f>
        <v>Oxford United-</v>
      </c>
    </row>
    <row r="784" spans="1:20" x14ac:dyDescent="0.25">
      <c r="A784" t="s">
        <v>309</v>
      </c>
      <c r="B784" s="6">
        <v>46375</v>
      </c>
      <c r="C784" t="s">
        <v>8</v>
      </c>
      <c r="D784" t="s">
        <v>1</v>
      </c>
      <c r="K784">
        <v>1</v>
      </c>
      <c r="L784" t="s">
        <v>35</v>
      </c>
      <c r="Q784" t="str">
        <f>IF(Team_Level[[#This Row],[Result]]="","",COUNTIFS(Team_Level[Team],Team_Level[[#This Row],[Team]],Team_Level[Date],"&gt;="&amp;Team_Level[[#This Row],[Date]],Team_Level[Result],"&lt;&gt;"))</f>
        <v/>
      </c>
      <c r="R784" t="str">
        <f>Team_Level[[#This Row],[Team]]&amp;"-"&amp;Team_Level[[#This Row],[Recency Rank]]</f>
        <v>Huddersfield Town-</v>
      </c>
      <c r="S784" t="str">
        <f>IF(Team_Level[[#This Row],[Result]]="","",COUNTIFS(Team_Level[Team],Team_Level[[#This Row],[Team]],Team_Level[Date],"&lt;="&amp;Team_Level[[#This Row],[Date]],Team_Level[Result],"&lt;&gt;"))</f>
        <v/>
      </c>
      <c r="T784" t="str">
        <f>Team_Level[[#This Row],[Team]]&amp;"-"&amp;Team_Level[[#This Row],[Chrono Rank]]</f>
        <v>Huddersfield Town-</v>
      </c>
    </row>
    <row r="785" spans="1:20" x14ac:dyDescent="0.25">
      <c r="A785" t="s">
        <v>310</v>
      </c>
      <c r="B785" s="6">
        <v>46375</v>
      </c>
      <c r="C785" t="s">
        <v>5</v>
      </c>
      <c r="D785" t="s">
        <v>2</v>
      </c>
      <c r="K785">
        <v>1</v>
      </c>
      <c r="L785" t="s">
        <v>35</v>
      </c>
      <c r="Q785" t="str">
        <f>IF(Team_Level[[#This Row],[Result]]="","",COUNTIFS(Team_Level[Team],Team_Level[[#This Row],[Team]],Team_Level[Date],"&gt;="&amp;Team_Level[[#This Row],[Date]],Team_Level[Result],"&lt;&gt;"))</f>
        <v/>
      </c>
      <c r="R785" t="str">
        <f>Team_Level[[#This Row],[Team]]&amp;"-"&amp;Team_Level[[#This Row],[Recency Rank]]</f>
        <v>Burton Albion-</v>
      </c>
      <c r="S785" t="str">
        <f>IF(Team_Level[[#This Row],[Result]]="","",COUNTIFS(Team_Level[Team],Team_Level[[#This Row],[Team]],Team_Level[Date],"&lt;="&amp;Team_Level[[#This Row],[Date]],Team_Level[Result],"&lt;&gt;"))</f>
        <v/>
      </c>
      <c r="T785" t="str">
        <f>Team_Level[[#This Row],[Team]]&amp;"-"&amp;Team_Level[[#This Row],[Chrono Rank]]</f>
        <v>Burton Albion-</v>
      </c>
    </row>
    <row r="786" spans="1:20" x14ac:dyDescent="0.25">
      <c r="A786" t="s">
        <v>311</v>
      </c>
      <c r="B786" s="6">
        <v>46375</v>
      </c>
      <c r="C786" t="s">
        <v>3</v>
      </c>
      <c r="D786" t="s">
        <v>4</v>
      </c>
      <c r="K786">
        <v>1</v>
      </c>
      <c r="L786" t="s">
        <v>35</v>
      </c>
      <c r="Q786" t="str">
        <f>IF(Team_Level[[#This Row],[Result]]="","",COUNTIFS(Team_Level[Team],Team_Level[[#This Row],[Team]],Team_Level[Date],"&gt;="&amp;Team_Level[[#This Row],[Date]],Team_Level[Result],"&lt;&gt;"))</f>
        <v/>
      </c>
      <c r="R786" t="str">
        <f>Team_Level[[#This Row],[Team]]&amp;"-"&amp;Team_Level[[#This Row],[Recency Rank]]</f>
        <v>Bradford City-</v>
      </c>
      <c r="S786" t="str">
        <f>IF(Team_Level[[#This Row],[Result]]="","",COUNTIFS(Team_Level[Team],Team_Level[[#This Row],[Team]],Team_Level[Date],"&lt;="&amp;Team_Level[[#This Row],[Date]],Team_Level[Result],"&lt;&gt;"))</f>
        <v/>
      </c>
      <c r="T786" t="str">
        <f>Team_Level[[#This Row],[Team]]&amp;"-"&amp;Team_Level[[#This Row],[Chrono Rank]]</f>
        <v>Bradford City-</v>
      </c>
    </row>
    <row r="787" spans="1:20" x14ac:dyDescent="0.25">
      <c r="A787" t="s">
        <v>312</v>
      </c>
      <c r="B787" s="6">
        <v>46375</v>
      </c>
      <c r="C787" t="s">
        <v>13</v>
      </c>
      <c r="D787" t="s">
        <v>10</v>
      </c>
      <c r="K787">
        <v>1</v>
      </c>
      <c r="L787" t="s">
        <v>35</v>
      </c>
      <c r="Q787" t="str">
        <f>IF(Team_Level[[#This Row],[Result]]="","",COUNTIFS(Team_Level[Team],Team_Level[[#This Row],[Team]],Team_Level[Date],"&gt;="&amp;Team_Level[[#This Row],[Date]],Team_Level[Result],"&lt;&gt;"))</f>
        <v/>
      </c>
      <c r="R787" t="str">
        <f>Team_Level[[#This Row],[Team]]&amp;"-"&amp;Team_Level[[#This Row],[Recency Rank]]</f>
        <v>Notts County-</v>
      </c>
      <c r="S787" t="str">
        <f>IF(Team_Level[[#This Row],[Result]]="","",COUNTIFS(Team_Level[Team],Team_Level[[#This Row],[Team]],Team_Level[Date],"&lt;="&amp;Team_Level[[#This Row],[Date]],Team_Level[Result],"&lt;&gt;"))</f>
        <v/>
      </c>
      <c r="T787" t="str">
        <f>Team_Level[[#This Row],[Team]]&amp;"-"&amp;Team_Level[[#This Row],[Chrono Rank]]</f>
        <v>Notts County-</v>
      </c>
    </row>
    <row r="788" spans="1:20" x14ac:dyDescent="0.25">
      <c r="A788" t="s">
        <v>313</v>
      </c>
      <c r="B788" s="6">
        <v>46375</v>
      </c>
      <c r="C788" t="s">
        <v>12</v>
      </c>
      <c r="D788" t="s">
        <v>16</v>
      </c>
      <c r="K788">
        <v>1</v>
      </c>
      <c r="L788" t="s">
        <v>35</v>
      </c>
      <c r="Q788" t="str">
        <f>IF(Team_Level[[#This Row],[Result]]="","",COUNTIFS(Team_Level[Team],Team_Level[[#This Row],[Team]],Team_Level[Date],"&gt;="&amp;Team_Level[[#This Row],[Date]],Team_Level[Result],"&lt;&gt;"))</f>
        <v/>
      </c>
      <c r="R788" t="str">
        <f>Team_Level[[#This Row],[Team]]&amp;"-"&amp;Team_Level[[#This Row],[Recency Rank]]</f>
        <v>Mansfield Town-</v>
      </c>
      <c r="S788" t="str">
        <f>IF(Team_Level[[#This Row],[Result]]="","",COUNTIFS(Team_Level[Team],Team_Level[[#This Row],[Team]],Team_Level[Date],"&lt;="&amp;Team_Level[[#This Row],[Date]],Team_Level[Result],"&lt;&gt;"))</f>
        <v/>
      </c>
      <c r="T788" t="str">
        <f>Team_Level[[#This Row],[Team]]&amp;"-"&amp;Team_Level[[#This Row],[Chrono Rank]]</f>
        <v>Mansfield Town-</v>
      </c>
    </row>
    <row r="789" spans="1:20" x14ac:dyDescent="0.25">
      <c r="A789" t="s">
        <v>314</v>
      </c>
      <c r="B789" s="6">
        <v>46375</v>
      </c>
      <c r="C789" t="s">
        <v>9</v>
      </c>
      <c r="D789" t="s">
        <v>17</v>
      </c>
      <c r="K789">
        <v>1</v>
      </c>
      <c r="L789" t="s">
        <v>35</v>
      </c>
      <c r="Q789" t="str">
        <f>IF(Team_Level[[#This Row],[Result]]="","",COUNTIFS(Team_Level[Team],Team_Level[[#This Row],[Team]],Team_Level[Date],"&gt;="&amp;Team_Level[[#This Row],[Date]],Team_Level[Result],"&lt;&gt;"))</f>
        <v/>
      </c>
      <c r="R789" t="str">
        <f>Team_Level[[#This Row],[Team]]&amp;"-"&amp;Team_Level[[#This Row],[Recency Rank]]</f>
        <v>Leicester City-</v>
      </c>
      <c r="S789" t="str">
        <f>IF(Team_Level[[#This Row],[Result]]="","",COUNTIFS(Team_Level[Team],Team_Level[[#This Row],[Team]],Team_Level[Date],"&lt;="&amp;Team_Level[[#This Row],[Date]],Team_Level[Result],"&lt;&gt;"))</f>
        <v/>
      </c>
      <c r="T789" t="str">
        <f>Team_Level[[#This Row],[Team]]&amp;"-"&amp;Team_Level[[#This Row],[Chrono Rank]]</f>
        <v>Leicester City-</v>
      </c>
    </row>
    <row r="790" spans="1:20" x14ac:dyDescent="0.25">
      <c r="A790" t="s">
        <v>315</v>
      </c>
      <c r="B790" s="6">
        <v>46375</v>
      </c>
      <c r="C790" t="s">
        <v>11</v>
      </c>
      <c r="D790" t="s">
        <v>18</v>
      </c>
      <c r="K790">
        <v>1</v>
      </c>
      <c r="L790" t="s">
        <v>35</v>
      </c>
      <c r="Q790" t="str">
        <f>IF(Team_Level[[#This Row],[Result]]="","",COUNTIFS(Team_Level[Team],Team_Level[[#This Row],[Team]],Team_Level[Date],"&gt;="&amp;Team_Level[[#This Row],[Date]],Team_Level[Result],"&lt;&gt;"))</f>
        <v/>
      </c>
      <c r="R790" t="str">
        <f>Team_Level[[#This Row],[Team]]&amp;"-"&amp;Team_Level[[#This Row],[Recency Rank]]</f>
        <v>Luton Town-</v>
      </c>
      <c r="S790" t="str">
        <f>IF(Team_Level[[#This Row],[Result]]="","",COUNTIFS(Team_Level[Team],Team_Level[[#This Row],[Team]],Team_Level[Date],"&lt;="&amp;Team_Level[[#This Row],[Date]],Team_Level[Result],"&lt;&gt;"))</f>
        <v/>
      </c>
      <c r="T790" t="str">
        <f>Team_Level[[#This Row],[Team]]&amp;"-"&amp;Team_Level[[#This Row],[Chrono Rank]]</f>
        <v>Luton Town-</v>
      </c>
    </row>
    <row r="791" spans="1:20" x14ac:dyDescent="0.25">
      <c r="A791" t="s">
        <v>316</v>
      </c>
      <c r="B791" s="6">
        <v>46375</v>
      </c>
      <c r="C791" t="s">
        <v>33</v>
      </c>
      <c r="D791" t="s">
        <v>20</v>
      </c>
      <c r="K791">
        <v>1</v>
      </c>
      <c r="L791" t="s">
        <v>35</v>
      </c>
      <c r="Q791" t="str">
        <f>IF(Team_Level[[#This Row],[Result]]="","",COUNTIFS(Team_Level[Team],Team_Level[[#This Row],[Team]],Team_Level[Date],"&gt;="&amp;Team_Level[[#This Row],[Date]],Team_Level[Result],"&lt;&gt;"))</f>
        <v/>
      </c>
      <c r="R791" t="str">
        <f>Team_Level[[#This Row],[Team]]&amp;"-"&amp;Team_Level[[#This Row],[Recency Rank]]</f>
        <v>Milton Keynes Dons-</v>
      </c>
      <c r="S791" t="str">
        <f>IF(Team_Level[[#This Row],[Result]]="","",COUNTIFS(Team_Level[Team],Team_Level[[#This Row],[Team]],Team_Level[Date],"&lt;="&amp;Team_Level[[#This Row],[Date]],Team_Level[Result],"&lt;&gt;"))</f>
        <v/>
      </c>
      <c r="T791" t="str">
        <f>Team_Level[[#This Row],[Team]]&amp;"-"&amp;Team_Level[[#This Row],[Chrono Rank]]</f>
        <v>Milton Keynes Dons-</v>
      </c>
    </row>
    <row r="792" spans="1:20" x14ac:dyDescent="0.25">
      <c r="A792" t="s">
        <v>317</v>
      </c>
      <c r="B792" s="6">
        <v>46375</v>
      </c>
      <c r="C792" t="s">
        <v>15</v>
      </c>
      <c r="D792" t="s">
        <v>21</v>
      </c>
      <c r="K792">
        <v>1</v>
      </c>
      <c r="L792" t="s">
        <v>35</v>
      </c>
      <c r="Q792" t="str">
        <f>IF(Team_Level[[#This Row],[Result]]="","",COUNTIFS(Team_Level[Team],Team_Level[[#This Row],[Team]],Team_Level[Date],"&gt;="&amp;Team_Level[[#This Row],[Date]],Team_Level[Result],"&lt;&gt;"))</f>
        <v/>
      </c>
      <c r="R792" t="str">
        <f>Team_Level[[#This Row],[Team]]&amp;"-"&amp;Team_Level[[#This Row],[Recency Rank]]</f>
        <v>Peterborough United-</v>
      </c>
      <c r="S792" t="str">
        <f>IF(Team_Level[[#This Row],[Result]]="","",COUNTIFS(Team_Level[Team],Team_Level[[#This Row],[Team]],Team_Level[Date],"&lt;="&amp;Team_Level[[#This Row],[Date]],Team_Level[Result],"&lt;&gt;"))</f>
        <v/>
      </c>
      <c r="T792" t="str">
        <f>Team_Level[[#This Row],[Team]]&amp;"-"&amp;Team_Level[[#This Row],[Chrono Rank]]</f>
        <v>Peterborough United-</v>
      </c>
    </row>
    <row r="793" spans="1:20" x14ac:dyDescent="0.25">
      <c r="A793" t="s">
        <v>318</v>
      </c>
      <c r="B793" s="6">
        <v>46375</v>
      </c>
      <c r="C793" t="s">
        <v>7</v>
      </c>
      <c r="D793" t="s">
        <v>22</v>
      </c>
      <c r="K793">
        <v>1</v>
      </c>
      <c r="L793" t="s">
        <v>35</v>
      </c>
      <c r="Q793" t="str">
        <f>IF(Team_Level[[#This Row],[Result]]="","",COUNTIFS(Team_Level[Team],Team_Level[[#This Row],[Team]],Team_Level[Date],"&gt;="&amp;Team_Level[[#This Row],[Date]],Team_Level[Result],"&lt;&gt;"))</f>
        <v/>
      </c>
      <c r="R793" t="str">
        <f>Team_Level[[#This Row],[Team]]&amp;"-"&amp;Team_Level[[#This Row],[Recency Rank]]</f>
        <v>Doncaster Rovers-</v>
      </c>
      <c r="S793" t="str">
        <f>IF(Team_Level[[#This Row],[Result]]="","",COUNTIFS(Team_Level[Team],Team_Level[[#This Row],[Team]],Team_Level[Date],"&lt;="&amp;Team_Level[[#This Row],[Date]],Team_Level[Result],"&lt;&gt;"))</f>
        <v/>
      </c>
      <c r="T793" t="str">
        <f>Team_Level[[#This Row],[Team]]&amp;"-"&amp;Team_Level[[#This Row],[Chrono Rank]]</f>
        <v>Doncaster Rovers-</v>
      </c>
    </row>
    <row r="794" spans="1:20" x14ac:dyDescent="0.25">
      <c r="A794" t="s">
        <v>319</v>
      </c>
      <c r="B794" s="6">
        <v>46382</v>
      </c>
      <c r="C794" t="s">
        <v>20</v>
      </c>
      <c r="D794" t="s">
        <v>3</v>
      </c>
      <c r="K794">
        <v>1</v>
      </c>
      <c r="L794" t="s">
        <v>35</v>
      </c>
      <c r="Q794" t="str">
        <f>IF(Team_Level[[#This Row],[Result]]="","",COUNTIFS(Team_Level[Team],Team_Level[[#This Row],[Team]],Team_Level[Date],"&gt;="&amp;Team_Level[[#This Row],[Date]],Team_Level[Result],"&lt;&gt;"))</f>
        <v/>
      </c>
      <c r="R794" t="str">
        <f>Team_Level[[#This Row],[Team]]&amp;"-"&amp;Team_Level[[#This Row],[Recency Rank]]</f>
        <v>Stockport County-</v>
      </c>
      <c r="S794" t="str">
        <f>IF(Team_Level[[#This Row],[Result]]="","",COUNTIFS(Team_Level[Team],Team_Level[[#This Row],[Team]],Team_Level[Date],"&lt;="&amp;Team_Level[[#This Row],[Date]],Team_Level[Result],"&lt;&gt;"))</f>
        <v/>
      </c>
      <c r="T794" t="str">
        <f>Team_Level[[#This Row],[Team]]&amp;"-"&amp;Team_Level[[#This Row],[Chrono Rank]]</f>
        <v>Stockport County-</v>
      </c>
    </row>
    <row r="795" spans="1:20" x14ac:dyDescent="0.25">
      <c r="A795" t="s">
        <v>320</v>
      </c>
      <c r="B795" s="6">
        <v>46382</v>
      </c>
      <c r="C795" t="s">
        <v>18</v>
      </c>
      <c r="D795" t="s">
        <v>5</v>
      </c>
      <c r="K795">
        <v>1</v>
      </c>
      <c r="L795" t="s">
        <v>35</v>
      </c>
      <c r="Q795" t="str">
        <f>IF(Team_Level[[#This Row],[Result]]="","",COUNTIFS(Team_Level[Team],Team_Level[[#This Row],[Team]],Team_Level[Date],"&gt;="&amp;Team_Level[[#This Row],[Date]],Team_Level[Result],"&lt;&gt;"))</f>
        <v/>
      </c>
      <c r="R795" t="str">
        <f>Team_Level[[#This Row],[Team]]&amp;"-"&amp;Team_Level[[#This Row],[Recency Rank]]</f>
        <v>Sheffield Wednesday-</v>
      </c>
      <c r="S795" t="str">
        <f>IF(Team_Level[[#This Row],[Result]]="","",COUNTIFS(Team_Level[Team],Team_Level[[#This Row],[Team]],Team_Level[Date],"&lt;="&amp;Team_Level[[#This Row],[Date]],Team_Level[Result],"&lt;&gt;"))</f>
        <v/>
      </c>
      <c r="T795" t="str">
        <f>Team_Level[[#This Row],[Team]]&amp;"-"&amp;Team_Level[[#This Row],[Chrono Rank]]</f>
        <v>Sheffield Wednesday-</v>
      </c>
    </row>
    <row r="796" spans="1:20" x14ac:dyDescent="0.25">
      <c r="A796" t="s">
        <v>321</v>
      </c>
      <c r="B796" s="6">
        <v>46382</v>
      </c>
      <c r="C796" t="s">
        <v>21</v>
      </c>
      <c r="D796" t="s">
        <v>7</v>
      </c>
      <c r="K796">
        <v>1</v>
      </c>
      <c r="L796" t="s">
        <v>35</v>
      </c>
      <c r="Q796" t="str">
        <f>IF(Team_Level[[#This Row],[Result]]="","",COUNTIFS(Team_Level[Team],Team_Level[[#This Row],[Team]],Team_Level[Date],"&gt;="&amp;Team_Level[[#This Row],[Date]],Team_Level[Result],"&lt;&gt;"))</f>
        <v/>
      </c>
      <c r="R796" t="str">
        <f>Team_Level[[#This Row],[Team]]&amp;"-"&amp;Team_Level[[#This Row],[Recency Rank]]</f>
        <v>Wigan Athletic-</v>
      </c>
      <c r="S796" t="str">
        <f>IF(Team_Level[[#This Row],[Result]]="","",COUNTIFS(Team_Level[Team],Team_Level[[#This Row],[Team]],Team_Level[Date],"&lt;="&amp;Team_Level[[#This Row],[Date]],Team_Level[Result],"&lt;&gt;"))</f>
        <v/>
      </c>
      <c r="T796" t="str">
        <f>Team_Level[[#This Row],[Team]]&amp;"-"&amp;Team_Level[[#This Row],[Chrono Rank]]</f>
        <v>Wigan Athletic-</v>
      </c>
    </row>
    <row r="797" spans="1:20" x14ac:dyDescent="0.25">
      <c r="A797" t="s">
        <v>322</v>
      </c>
      <c r="B797" s="6">
        <v>46382</v>
      </c>
      <c r="C797" t="s">
        <v>2</v>
      </c>
      <c r="D797" t="s">
        <v>8</v>
      </c>
      <c r="K797">
        <v>1</v>
      </c>
      <c r="L797" t="s">
        <v>35</v>
      </c>
      <c r="Q797" t="str">
        <f>IF(Team_Level[[#This Row],[Result]]="","",COUNTIFS(Team_Level[Team],Team_Level[[#This Row],[Team]],Team_Level[Date],"&gt;="&amp;Team_Level[[#This Row],[Date]],Team_Level[Result],"&lt;&gt;"))</f>
        <v/>
      </c>
      <c r="R797" t="str">
        <f>Team_Level[[#This Row],[Team]]&amp;"-"&amp;Team_Level[[#This Row],[Recency Rank]]</f>
        <v>Blackpool-</v>
      </c>
      <c r="S797" t="str">
        <f>IF(Team_Level[[#This Row],[Result]]="","",COUNTIFS(Team_Level[Team],Team_Level[[#This Row],[Team]],Team_Level[Date],"&lt;="&amp;Team_Level[[#This Row],[Date]],Team_Level[Result],"&lt;&gt;"))</f>
        <v/>
      </c>
      <c r="T797" t="str">
        <f>Team_Level[[#This Row],[Team]]&amp;"-"&amp;Team_Level[[#This Row],[Chrono Rank]]</f>
        <v>Blackpool-</v>
      </c>
    </row>
    <row r="798" spans="1:20" x14ac:dyDescent="0.25">
      <c r="A798" t="s">
        <v>323</v>
      </c>
      <c r="B798" s="6">
        <v>46382</v>
      </c>
      <c r="C798" t="s">
        <v>0</v>
      </c>
      <c r="D798" t="s">
        <v>9</v>
      </c>
      <c r="K798">
        <v>1</v>
      </c>
      <c r="L798" t="s">
        <v>35</v>
      </c>
      <c r="Q798" t="str">
        <f>IF(Team_Level[[#This Row],[Result]]="","",COUNTIFS(Team_Level[Team],Team_Level[[#This Row],[Team]],Team_Level[Date],"&gt;="&amp;Team_Level[[#This Row],[Date]],Team_Level[Result],"&lt;&gt;"))</f>
        <v/>
      </c>
      <c r="R798" t="str">
        <f>Team_Level[[#This Row],[Team]]&amp;"-"&amp;Team_Level[[#This Row],[Recency Rank]]</f>
        <v>AFC Wimbledon-</v>
      </c>
      <c r="S798" t="str">
        <f>IF(Team_Level[[#This Row],[Result]]="","",COUNTIFS(Team_Level[Team],Team_Level[[#This Row],[Team]],Team_Level[Date],"&lt;="&amp;Team_Level[[#This Row],[Date]],Team_Level[Result],"&lt;&gt;"))</f>
        <v/>
      </c>
      <c r="T798" t="str">
        <f>Team_Level[[#This Row],[Team]]&amp;"-"&amp;Team_Level[[#This Row],[Chrono Rank]]</f>
        <v>AFC Wimbledon-</v>
      </c>
    </row>
    <row r="799" spans="1:20" x14ac:dyDescent="0.25">
      <c r="A799" t="s">
        <v>324</v>
      </c>
      <c r="B799" s="6">
        <v>46382</v>
      </c>
      <c r="C799" t="s">
        <v>4</v>
      </c>
      <c r="D799" t="s">
        <v>11</v>
      </c>
      <c r="K799">
        <v>1</v>
      </c>
      <c r="L799" t="s">
        <v>35</v>
      </c>
      <c r="Q799" t="str">
        <f>IF(Team_Level[[#This Row],[Result]]="","",COUNTIFS(Team_Level[Team],Team_Level[[#This Row],[Team]],Team_Level[Date],"&gt;="&amp;Team_Level[[#This Row],[Date]],Team_Level[Result],"&lt;&gt;"))</f>
        <v/>
      </c>
      <c r="R799" t="str">
        <f>Team_Level[[#This Row],[Team]]&amp;"-"&amp;Team_Level[[#This Row],[Recency Rank]]</f>
        <v>Bromley-</v>
      </c>
      <c r="S799" t="str">
        <f>IF(Team_Level[[#This Row],[Result]]="","",COUNTIFS(Team_Level[Team],Team_Level[[#This Row],[Team]],Team_Level[Date],"&lt;="&amp;Team_Level[[#This Row],[Date]],Team_Level[Result],"&lt;&gt;"))</f>
        <v/>
      </c>
      <c r="T799" t="str">
        <f>Team_Level[[#This Row],[Team]]&amp;"-"&amp;Team_Level[[#This Row],[Chrono Rank]]</f>
        <v>Bromley-</v>
      </c>
    </row>
    <row r="800" spans="1:20" x14ac:dyDescent="0.25">
      <c r="A800" t="s">
        <v>325</v>
      </c>
      <c r="B800" s="6">
        <v>46382</v>
      </c>
      <c r="C800" t="s">
        <v>1</v>
      </c>
      <c r="D800" t="s">
        <v>12</v>
      </c>
      <c r="K800">
        <v>1</v>
      </c>
      <c r="L800" t="s">
        <v>35</v>
      </c>
      <c r="Q800" t="str">
        <f>IF(Team_Level[[#This Row],[Result]]="","",COUNTIFS(Team_Level[Team],Team_Level[[#This Row],[Team]],Team_Level[Date],"&gt;="&amp;Team_Level[[#This Row],[Date]],Team_Level[Result],"&lt;&gt;"))</f>
        <v/>
      </c>
      <c r="R800" t="str">
        <f>Team_Level[[#This Row],[Team]]&amp;"-"&amp;Team_Level[[#This Row],[Recency Rank]]</f>
        <v>Barnsley-</v>
      </c>
      <c r="S800" t="str">
        <f>IF(Team_Level[[#This Row],[Result]]="","",COUNTIFS(Team_Level[Team],Team_Level[[#This Row],[Team]],Team_Level[Date],"&lt;="&amp;Team_Level[[#This Row],[Date]],Team_Level[Result],"&lt;&gt;"))</f>
        <v/>
      </c>
      <c r="T800" t="str">
        <f>Team_Level[[#This Row],[Team]]&amp;"-"&amp;Team_Level[[#This Row],[Chrono Rank]]</f>
        <v>Barnsley-</v>
      </c>
    </row>
    <row r="801" spans="1:20" x14ac:dyDescent="0.25">
      <c r="A801" t="s">
        <v>326</v>
      </c>
      <c r="B801" s="6">
        <v>46382</v>
      </c>
      <c r="C801" t="s">
        <v>10</v>
      </c>
      <c r="D801" t="s">
        <v>33</v>
      </c>
      <c r="K801">
        <v>1</v>
      </c>
      <c r="L801" t="s">
        <v>35</v>
      </c>
      <c r="Q801" t="str">
        <f>IF(Team_Level[[#This Row],[Result]]="","",COUNTIFS(Team_Level[Team],Team_Level[[#This Row],[Team]],Team_Level[Date],"&gt;="&amp;Team_Level[[#This Row],[Date]],Team_Level[Result],"&lt;&gt;"))</f>
        <v/>
      </c>
      <c r="R801" t="str">
        <f>Team_Level[[#This Row],[Team]]&amp;"-"&amp;Team_Level[[#This Row],[Recency Rank]]</f>
        <v>Leyton Orient-</v>
      </c>
      <c r="S801" t="str">
        <f>IF(Team_Level[[#This Row],[Result]]="","",COUNTIFS(Team_Level[Team],Team_Level[[#This Row],[Team]],Team_Level[Date],"&lt;="&amp;Team_Level[[#This Row],[Date]],Team_Level[Result],"&lt;&gt;"))</f>
        <v/>
      </c>
      <c r="T801" t="str">
        <f>Team_Level[[#This Row],[Team]]&amp;"-"&amp;Team_Level[[#This Row],[Chrono Rank]]</f>
        <v>Leyton Orient-</v>
      </c>
    </row>
    <row r="802" spans="1:20" x14ac:dyDescent="0.25">
      <c r="A802" t="s">
        <v>327</v>
      </c>
      <c r="B802" s="6">
        <v>46382</v>
      </c>
      <c r="C802" t="s">
        <v>6</v>
      </c>
      <c r="D802" t="s">
        <v>13</v>
      </c>
      <c r="K802">
        <v>1</v>
      </c>
      <c r="L802" t="s">
        <v>35</v>
      </c>
      <c r="Q802" t="str">
        <f>IF(Team_Level[[#This Row],[Result]]="","",COUNTIFS(Team_Level[Team],Team_Level[[#This Row],[Team]],Team_Level[Date],"&gt;="&amp;Team_Level[[#This Row],[Date]],Team_Level[Result],"&lt;&gt;"))</f>
        <v/>
      </c>
      <c r="R802" t="str">
        <f>Team_Level[[#This Row],[Team]]&amp;"-"&amp;Team_Level[[#This Row],[Recency Rank]]</f>
        <v>Cambridge United-</v>
      </c>
      <c r="S802" t="str">
        <f>IF(Team_Level[[#This Row],[Result]]="","",COUNTIFS(Team_Level[Team],Team_Level[[#This Row],[Team]],Team_Level[Date],"&lt;="&amp;Team_Level[[#This Row],[Date]],Team_Level[Result],"&lt;&gt;"))</f>
        <v/>
      </c>
      <c r="T802" t="str">
        <f>Team_Level[[#This Row],[Team]]&amp;"-"&amp;Team_Level[[#This Row],[Chrono Rank]]</f>
        <v>Cambridge United-</v>
      </c>
    </row>
    <row r="803" spans="1:20" x14ac:dyDescent="0.25">
      <c r="A803" t="s">
        <v>328</v>
      </c>
      <c r="B803" s="6">
        <v>46382</v>
      </c>
      <c r="C803" t="s">
        <v>16</v>
      </c>
      <c r="D803" t="s">
        <v>14</v>
      </c>
      <c r="K803">
        <v>1</v>
      </c>
      <c r="L803" t="s">
        <v>35</v>
      </c>
      <c r="Q803" t="str">
        <f>IF(Team_Level[[#This Row],[Result]]="","",COUNTIFS(Team_Level[Team],Team_Level[[#This Row],[Team]],Team_Level[Date],"&gt;="&amp;Team_Level[[#This Row],[Date]],Team_Level[Result],"&lt;&gt;"))</f>
        <v/>
      </c>
      <c r="R803" t="str">
        <f>Team_Level[[#This Row],[Team]]&amp;"-"&amp;Team_Level[[#This Row],[Recency Rank]]</f>
        <v>Plymouth Argyle-</v>
      </c>
      <c r="S803" t="str">
        <f>IF(Team_Level[[#This Row],[Result]]="","",COUNTIFS(Team_Level[Team],Team_Level[[#This Row],[Team]],Team_Level[Date],"&lt;="&amp;Team_Level[[#This Row],[Date]],Team_Level[Result],"&lt;&gt;"))</f>
        <v/>
      </c>
      <c r="T803" t="str">
        <f>Team_Level[[#This Row],[Team]]&amp;"-"&amp;Team_Level[[#This Row],[Chrono Rank]]</f>
        <v>Plymouth Argyle-</v>
      </c>
    </row>
    <row r="804" spans="1:20" x14ac:dyDescent="0.25">
      <c r="A804" t="s">
        <v>329</v>
      </c>
      <c r="B804" s="6">
        <v>46382</v>
      </c>
      <c r="C804" t="s">
        <v>22</v>
      </c>
      <c r="D804" t="s">
        <v>15</v>
      </c>
      <c r="K804">
        <v>1</v>
      </c>
      <c r="L804" t="s">
        <v>35</v>
      </c>
      <c r="Q804" t="str">
        <f>IF(Team_Level[[#This Row],[Result]]="","",COUNTIFS(Team_Level[Team],Team_Level[[#This Row],[Team]],Team_Level[Date],"&gt;="&amp;Team_Level[[#This Row],[Date]],Team_Level[Result],"&lt;&gt;"))</f>
        <v/>
      </c>
      <c r="R804" t="str">
        <f>Team_Level[[#This Row],[Team]]&amp;"-"&amp;Team_Level[[#This Row],[Recency Rank]]</f>
        <v>Wycombe Wanderers-</v>
      </c>
      <c r="S804" t="str">
        <f>IF(Team_Level[[#This Row],[Result]]="","",COUNTIFS(Team_Level[Team],Team_Level[[#This Row],[Team]],Team_Level[Date],"&lt;="&amp;Team_Level[[#This Row],[Date]],Team_Level[Result],"&lt;&gt;"))</f>
        <v/>
      </c>
      <c r="T804" t="str">
        <f>Team_Level[[#This Row],[Team]]&amp;"-"&amp;Team_Level[[#This Row],[Chrono Rank]]</f>
        <v>Wycombe Wanderers-</v>
      </c>
    </row>
    <row r="805" spans="1:20" x14ac:dyDescent="0.25">
      <c r="A805" t="s">
        <v>330</v>
      </c>
      <c r="B805" s="6">
        <v>46382</v>
      </c>
      <c r="C805" t="s">
        <v>17</v>
      </c>
      <c r="D805" t="s">
        <v>19</v>
      </c>
      <c r="K805">
        <v>1</v>
      </c>
      <c r="L805" t="s">
        <v>35</v>
      </c>
      <c r="Q805" t="str">
        <f>IF(Team_Level[[#This Row],[Result]]="","",COUNTIFS(Team_Level[Team],Team_Level[[#This Row],[Team]],Team_Level[Date],"&gt;="&amp;Team_Level[[#This Row],[Date]],Team_Level[Result],"&lt;&gt;"))</f>
        <v/>
      </c>
      <c r="R805" t="str">
        <f>Team_Level[[#This Row],[Team]]&amp;"-"&amp;Team_Level[[#This Row],[Recency Rank]]</f>
        <v>Reading-</v>
      </c>
      <c r="S805" t="str">
        <f>IF(Team_Level[[#This Row],[Result]]="","",COUNTIFS(Team_Level[Team],Team_Level[[#This Row],[Team]],Team_Level[Date],"&lt;="&amp;Team_Level[[#This Row],[Date]],Team_Level[Result],"&lt;&gt;"))</f>
        <v/>
      </c>
      <c r="T805" t="str">
        <f>Team_Level[[#This Row],[Team]]&amp;"-"&amp;Team_Level[[#This Row],[Chrono Rank]]</f>
        <v>Reading-</v>
      </c>
    </row>
    <row r="806" spans="1:20" x14ac:dyDescent="0.25">
      <c r="A806" t="s">
        <v>331</v>
      </c>
      <c r="B806" s="6">
        <v>46385</v>
      </c>
      <c r="C806" t="s">
        <v>11</v>
      </c>
      <c r="D806" t="s">
        <v>0</v>
      </c>
      <c r="K806">
        <v>1</v>
      </c>
      <c r="L806" t="s">
        <v>35</v>
      </c>
      <c r="Q806" t="str">
        <f>IF(Team_Level[[#This Row],[Result]]="","",COUNTIFS(Team_Level[Team],Team_Level[[#This Row],[Team]],Team_Level[Date],"&gt;="&amp;Team_Level[[#This Row],[Date]],Team_Level[Result],"&lt;&gt;"))</f>
        <v/>
      </c>
      <c r="R806" t="str">
        <f>Team_Level[[#This Row],[Team]]&amp;"-"&amp;Team_Level[[#This Row],[Recency Rank]]</f>
        <v>Luton Town-</v>
      </c>
      <c r="S806" t="str">
        <f>IF(Team_Level[[#This Row],[Result]]="","",COUNTIFS(Team_Level[Team],Team_Level[[#This Row],[Team]],Team_Level[Date],"&lt;="&amp;Team_Level[[#This Row],[Date]],Team_Level[Result],"&lt;&gt;"))</f>
        <v/>
      </c>
      <c r="T806" t="str">
        <f>Team_Level[[#This Row],[Team]]&amp;"-"&amp;Team_Level[[#This Row],[Chrono Rank]]</f>
        <v>Luton Town-</v>
      </c>
    </row>
    <row r="807" spans="1:20" x14ac:dyDescent="0.25">
      <c r="A807" t="s">
        <v>332</v>
      </c>
      <c r="B807" s="6">
        <v>46385</v>
      </c>
      <c r="C807" t="s">
        <v>5</v>
      </c>
      <c r="D807" t="s">
        <v>1</v>
      </c>
      <c r="K807">
        <v>1</v>
      </c>
      <c r="L807" t="s">
        <v>35</v>
      </c>
      <c r="Q807" t="str">
        <f>IF(Team_Level[[#This Row],[Result]]="","",COUNTIFS(Team_Level[Team],Team_Level[[#This Row],[Team]],Team_Level[Date],"&gt;="&amp;Team_Level[[#This Row],[Date]],Team_Level[Result],"&lt;&gt;"))</f>
        <v/>
      </c>
      <c r="R807" t="str">
        <f>Team_Level[[#This Row],[Team]]&amp;"-"&amp;Team_Level[[#This Row],[Recency Rank]]</f>
        <v>Burton Albion-</v>
      </c>
      <c r="S807" t="str">
        <f>IF(Team_Level[[#This Row],[Result]]="","",COUNTIFS(Team_Level[Team],Team_Level[[#This Row],[Team]],Team_Level[Date],"&lt;="&amp;Team_Level[[#This Row],[Date]],Team_Level[Result],"&lt;&gt;"))</f>
        <v/>
      </c>
      <c r="T807" t="str">
        <f>Team_Level[[#This Row],[Team]]&amp;"-"&amp;Team_Level[[#This Row],[Chrono Rank]]</f>
        <v>Burton Albion-</v>
      </c>
    </row>
    <row r="808" spans="1:20" x14ac:dyDescent="0.25">
      <c r="A808" t="s">
        <v>333</v>
      </c>
      <c r="B808" s="6">
        <v>46385</v>
      </c>
      <c r="C808" t="s">
        <v>3</v>
      </c>
      <c r="D808" t="s">
        <v>2</v>
      </c>
      <c r="K808">
        <v>1</v>
      </c>
      <c r="L808" t="s">
        <v>35</v>
      </c>
      <c r="Q808" t="str">
        <f>IF(Team_Level[[#This Row],[Result]]="","",COUNTIFS(Team_Level[Team],Team_Level[[#This Row],[Team]],Team_Level[Date],"&gt;="&amp;Team_Level[[#This Row],[Date]],Team_Level[Result],"&lt;&gt;"))</f>
        <v/>
      </c>
      <c r="R808" t="str">
        <f>Team_Level[[#This Row],[Team]]&amp;"-"&amp;Team_Level[[#This Row],[Recency Rank]]</f>
        <v>Bradford City-</v>
      </c>
      <c r="S808" t="str">
        <f>IF(Team_Level[[#This Row],[Result]]="","",COUNTIFS(Team_Level[Team],Team_Level[[#This Row],[Team]],Team_Level[Date],"&lt;="&amp;Team_Level[[#This Row],[Date]],Team_Level[Result],"&lt;&gt;"))</f>
        <v/>
      </c>
      <c r="T808" t="str">
        <f>Team_Level[[#This Row],[Team]]&amp;"-"&amp;Team_Level[[#This Row],[Chrono Rank]]</f>
        <v>Bradford City-</v>
      </c>
    </row>
    <row r="809" spans="1:20" x14ac:dyDescent="0.25">
      <c r="A809" t="s">
        <v>334</v>
      </c>
      <c r="B809" s="6">
        <v>46385</v>
      </c>
      <c r="C809" t="s">
        <v>14</v>
      </c>
      <c r="D809" t="s">
        <v>4</v>
      </c>
      <c r="K809">
        <v>1</v>
      </c>
      <c r="L809" t="s">
        <v>35</v>
      </c>
      <c r="Q809" t="str">
        <f>IF(Team_Level[[#This Row],[Result]]="","",COUNTIFS(Team_Level[Team],Team_Level[[#This Row],[Team]],Team_Level[Date],"&gt;="&amp;Team_Level[[#This Row],[Date]],Team_Level[Result],"&lt;&gt;"))</f>
        <v/>
      </c>
      <c r="R809" t="str">
        <f>Team_Level[[#This Row],[Team]]&amp;"-"&amp;Team_Level[[#This Row],[Recency Rank]]</f>
        <v>Oxford United-</v>
      </c>
      <c r="S809" t="str">
        <f>IF(Team_Level[[#This Row],[Result]]="","",COUNTIFS(Team_Level[Team],Team_Level[[#This Row],[Team]],Team_Level[Date],"&lt;="&amp;Team_Level[[#This Row],[Date]],Team_Level[Result],"&lt;&gt;"))</f>
        <v/>
      </c>
      <c r="T809" t="str">
        <f>Team_Level[[#This Row],[Team]]&amp;"-"&amp;Team_Level[[#This Row],[Chrono Rank]]</f>
        <v>Oxford United-</v>
      </c>
    </row>
    <row r="810" spans="1:20" x14ac:dyDescent="0.25">
      <c r="A810" t="s">
        <v>335</v>
      </c>
      <c r="B810" s="6">
        <v>46385</v>
      </c>
      <c r="C810" t="s">
        <v>7</v>
      </c>
      <c r="D810" t="s">
        <v>6</v>
      </c>
      <c r="K810">
        <v>1</v>
      </c>
      <c r="L810" t="s">
        <v>35</v>
      </c>
      <c r="Q810" t="str">
        <f>IF(Team_Level[[#This Row],[Result]]="","",COUNTIFS(Team_Level[Team],Team_Level[[#This Row],[Team]],Team_Level[Date],"&gt;="&amp;Team_Level[[#This Row],[Date]],Team_Level[Result],"&lt;&gt;"))</f>
        <v/>
      </c>
      <c r="R810" t="str">
        <f>Team_Level[[#This Row],[Team]]&amp;"-"&amp;Team_Level[[#This Row],[Recency Rank]]</f>
        <v>Doncaster Rovers-</v>
      </c>
      <c r="S810" t="str">
        <f>IF(Team_Level[[#This Row],[Result]]="","",COUNTIFS(Team_Level[Team],Team_Level[[#This Row],[Team]],Team_Level[Date],"&lt;="&amp;Team_Level[[#This Row],[Date]],Team_Level[Result],"&lt;&gt;"))</f>
        <v/>
      </c>
      <c r="T810" t="str">
        <f>Team_Level[[#This Row],[Team]]&amp;"-"&amp;Team_Level[[#This Row],[Chrono Rank]]</f>
        <v>Doncaster Rovers-</v>
      </c>
    </row>
    <row r="811" spans="1:20" x14ac:dyDescent="0.25">
      <c r="A811" t="s">
        <v>336</v>
      </c>
      <c r="B811" s="6">
        <v>46385</v>
      </c>
      <c r="C811" t="s">
        <v>9</v>
      </c>
      <c r="D811" t="s">
        <v>10</v>
      </c>
      <c r="K811">
        <v>1</v>
      </c>
      <c r="L811" t="s">
        <v>35</v>
      </c>
      <c r="Q811" t="str">
        <f>IF(Team_Level[[#This Row],[Result]]="","",COUNTIFS(Team_Level[Team],Team_Level[[#This Row],[Team]],Team_Level[Date],"&gt;="&amp;Team_Level[[#This Row],[Date]],Team_Level[Result],"&lt;&gt;"))</f>
        <v/>
      </c>
      <c r="R811" t="str">
        <f>Team_Level[[#This Row],[Team]]&amp;"-"&amp;Team_Level[[#This Row],[Recency Rank]]</f>
        <v>Leicester City-</v>
      </c>
      <c r="S811" t="str">
        <f>IF(Team_Level[[#This Row],[Result]]="","",COUNTIFS(Team_Level[Team],Team_Level[[#This Row],[Team]],Team_Level[Date],"&lt;="&amp;Team_Level[[#This Row],[Date]],Team_Level[Result],"&lt;&gt;"))</f>
        <v/>
      </c>
      <c r="T811" t="str">
        <f>Team_Level[[#This Row],[Team]]&amp;"-"&amp;Team_Level[[#This Row],[Chrono Rank]]</f>
        <v>Leicester City-</v>
      </c>
    </row>
    <row r="812" spans="1:20" x14ac:dyDescent="0.25">
      <c r="A812" t="s">
        <v>337</v>
      </c>
      <c r="B812" s="6">
        <v>46385</v>
      </c>
      <c r="C812" t="s">
        <v>33</v>
      </c>
      <c r="D812" t="s">
        <v>16</v>
      </c>
      <c r="K812">
        <v>1</v>
      </c>
      <c r="L812" t="s">
        <v>35</v>
      </c>
      <c r="Q812" t="str">
        <f>IF(Team_Level[[#This Row],[Result]]="","",COUNTIFS(Team_Level[Team],Team_Level[[#This Row],[Team]],Team_Level[Date],"&gt;="&amp;Team_Level[[#This Row],[Date]],Team_Level[Result],"&lt;&gt;"))</f>
        <v/>
      </c>
      <c r="R812" t="str">
        <f>Team_Level[[#This Row],[Team]]&amp;"-"&amp;Team_Level[[#This Row],[Recency Rank]]</f>
        <v>Milton Keynes Dons-</v>
      </c>
      <c r="S812" t="str">
        <f>IF(Team_Level[[#This Row],[Result]]="","",COUNTIFS(Team_Level[Team],Team_Level[[#This Row],[Team]],Team_Level[Date],"&lt;="&amp;Team_Level[[#This Row],[Date]],Team_Level[Result],"&lt;&gt;"))</f>
        <v/>
      </c>
      <c r="T812" t="str">
        <f>Team_Level[[#This Row],[Team]]&amp;"-"&amp;Team_Level[[#This Row],[Chrono Rank]]</f>
        <v>Milton Keynes Dons-</v>
      </c>
    </row>
    <row r="813" spans="1:20" x14ac:dyDescent="0.25">
      <c r="A813" t="s">
        <v>338</v>
      </c>
      <c r="B813" s="6">
        <v>46385</v>
      </c>
      <c r="C813" t="s">
        <v>15</v>
      </c>
      <c r="D813" t="s">
        <v>17</v>
      </c>
      <c r="K813">
        <v>1</v>
      </c>
      <c r="L813" t="s">
        <v>35</v>
      </c>
      <c r="Q813" t="str">
        <f>IF(Team_Level[[#This Row],[Result]]="","",COUNTIFS(Team_Level[Team],Team_Level[[#This Row],[Team]],Team_Level[Date],"&gt;="&amp;Team_Level[[#This Row],[Date]],Team_Level[Result],"&lt;&gt;"))</f>
        <v/>
      </c>
      <c r="R813" t="str">
        <f>Team_Level[[#This Row],[Team]]&amp;"-"&amp;Team_Level[[#This Row],[Recency Rank]]</f>
        <v>Peterborough United-</v>
      </c>
      <c r="S813" t="str">
        <f>IF(Team_Level[[#This Row],[Result]]="","",COUNTIFS(Team_Level[Team],Team_Level[[#This Row],[Team]],Team_Level[Date],"&lt;="&amp;Team_Level[[#This Row],[Date]],Team_Level[Result],"&lt;&gt;"))</f>
        <v/>
      </c>
      <c r="T813" t="str">
        <f>Team_Level[[#This Row],[Team]]&amp;"-"&amp;Team_Level[[#This Row],[Chrono Rank]]</f>
        <v>Peterborough United-</v>
      </c>
    </row>
    <row r="814" spans="1:20" x14ac:dyDescent="0.25">
      <c r="A814" t="s">
        <v>339</v>
      </c>
      <c r="B814" s="6">
        <v>46385</v>
      </c>
      <c r="C814" t="s">
        <v>12</v>
      </c>
      <c r="D814" t="s">
        <v>18</v>
      </c>
      <c r="K814">
        <v>1</v>
      </c>
      <c r="L814" t="s">
        <v>35</v>
      </c>
      <c r="Q814" t="str">
        <f>IF(Team_Level[[#This Row],[Result]]="","",COUNTIFS(Team_Level[Team],Team_Level[[#This Row],[Team]],Team_Level[Date],"&gt;="&amp;Team_Level[[#This Row],[Date]],Team_Level[Result],"&lt;&gt;"))</f>
        <v/>
      </c>
      <c r="R814" t="str">
        <f>Team_Level[[#This Row],[Team]]&amp;"-"&amp;Team_Level[[#This Row],[Recency Rank]]</f>
        <v>Mansfield Town-</v>
      </c>
      <c r="S814" t="str">
        <f>IF(Team_Level[[#This Row],[Result]]="","",COUNTIFS(Team_Level[Team],Team_Level[[#This Row],[Team]],Team_Level[Date],"&lt;="&amp;Team_Level[[#This Row],[Date]],Team_Level[Result],"&lt;&gt;"))</f>
        <v/>
      </c>
      <c r="T814" t="str">
        <f>Team_Level[[#This Row],[Team]]&amp;"-"&amp;Team_Level[[#This Row],[Chrono Rank]]</f>
        <v>Mansfield Town-</v>
      </c>
    </row>
    <row r="815" spans="1:20" x14ac:dyDescent="0.25">
      <c r="A815" t="s">
        <v>340</v>
      </c>
      <c r="B815" s="6">
        <v>46385</v>
      </c>
      <c r="C815" t="s">
        <v>8</v>
      </c>
      <c r="D815" t="s">
        <v>20</v>
      </c>
      <c r="K815">
        <v>1</v>
      </c>
      <c r="L815" t="s">
        <v>35</v>
      </c>
      <c r="Q815" t="str">
        <f>IF(Team_Level[[#This Row],[Result]]="","",COUNTIFS(Team_Level[Team],Team_Level[[#This Row],[Team]],Team_Level[Date],"&gt;="&amp;Team_Level[[#This Row],[Date]],Team_Level[Result],"&lt;&gt;"))</f>
        <v/>
      </c>
      <c r="R815" t="str">
        <f>Team_Level[[#This Row],[Team]]&amp;"-"&amp;Team_Level[[#This Row],[Recency Rank]]</f>
        <v>Huddersfield Town-</v>
      </c>
      <c r="S815" t="str">
        <f>IF(Team_Level[[#This Row],[Result]]="","",COUNTIFS(Team_Level[Team],Team_Level[[#This Row],[Team]],Team_Level[Date],"&lt;="&amp;Team_Level[[#This Row],[Date]],Team_Level[Result],"&lt;&gt;"))</f>
        <v/>
      </c>
      <c r="T815" t="str">
        <f>Team_Level[[#This Row],[Team]]&amp;"-"&amp;Team_Level[[#This Row],[Chrono Rank]]</f>
        <v>Huddersfield Town-</v>
      </c>
    </row>
    <row r="816" spans="1:20" x14ac:dyDescent="0.25">
      <c r="A816" t="s">
        <v>341</v>
      </c>
      <c r="B816" s="6">
        <v>46385</v>
      </c>
      <c r="C816" t="s">
        <v>13</v>
      </c>
      <c r="D816" t="s">
        <v>21</v>
      </c>
      <c r="K816">
        <v>1</v>
      </c>
      <c r="L816" t="s">
        <v>35</v>
      </c>
      <c r="Q816" t="str">
        <f>IF(Team_Level[[#This Row],[Result]]="","",COUNTIFS(Team_Level[Team],Team_Level[[#This Row],[Team]],Team_Level[Date],"&gt;="&amp;Team_Level[[#This Row],[Date]],Team_Level[Result],"&lt;&gt;"))</f>
        <v/>
      </c>
      <c r="R816" t="str">
        <f>Team_Level[[#This Row],[Team]]&amp;"-"&amp;Team_Level[[#This Row],[Recency Rank]]</f>
        <v>Notts County-</v>
      </c>
      <c r="S816" t="str">
        <f>IF(Team_Level[[#This Row],[Result]]="","",COUNTIFS(Team_Level[Team],Team_Level[[#This Row],[Team]],Team_Level[Date],"&lt;="&amp;Team_Level[[#This Row],[Date]],Team_Level[Result],"&lt;&gt;"))</f>
        <v/>
      </c>
      <c r="T816" t="str">
        <f>Team_Level[[#This Row],[Team]]&amp;"-"&amp;Team_Level[[#This Row],[Chrono Rank]]</f>
        <v>Notts County-</v>
      </c>
    </row>
    <row r="817" spans="1:20" x14ac:dyDescent="0.25">
      <c r="A817" t="s">
        <v>342</v>
      </c>
      <c r="B817" s="6">
        <v>46385</v>
      </c>
      <c r="C817" t="s">
        <v>19</v>
      </c>
      <c r="D817" t="s">
        <v>22</v>
      </c>
      <c r="K817">
        <v>1</v>
      </c>
      <c r="L817" t="s">
        <v>35</v>
      </c>
      <c r="Q817" t="str">
        <f>IF(Team_Level[[#This Row],[Result]]="","",COUNTIFS(Team_Level[Team],Team_Level[[#This Row],[Team]],Team_Level[Date],"&gt;="&amp;Team_Level[[#This Row],[Date]],Team_Level[Result],"&lt;&gt;"))</f>
        <v/>
      </c>
      <c r="R817" t="str">
        <f>Team_Level[[#This Row],[Team]]&amp;"-"&amp;Team_Level[[#This Row],[Recency Rank]]</f>
        <v>Stevenage-</v>
      </c>
      <c r="S817" t="str">
        <f>IF(Team_Level[[#This Row],[Result]]="","",COUNTIFS(Team_Level[Team],Team_Level[[#This Row],[Team]],Team_Level[Date],"&lt;="&amp;Team_Level[[#This Row],[Date]],Team_Level[Result],"&lt;&gt;"))</f>
        <v/>
      </c>
      <c r="T817" t="str">
        <f>Team_Level[[#This Row],[Team]]&amp;"-"&amp;Team_Level[[#This Row],[Chrono Rank]]</f>
        <v>Stevenage-</v>
      </c>
    </row>
    <row r="818" spans="1:20" x14ac:dyDescent="0.25">
      <c r="A818" t="s">
        <v>343</v>
      </c>
      <c r="B818" s="6">
        <v>46388</v>
      </c>
      <c r="C818" t="s">
        <v>15</v>
      </c>
      <c r="D818" t="s">
        <v>0</v>
      </c>
      <c r="K818">
        <v>1</v>
      </c>
      <c r="L818" t="s">
        <v>35</v>
      </c>
      <c r="Q818" t="str">
        <f>IF(Team_Level[[#This Row],[Result]]="","",COUNTIFS(Team_Level[Team],Team_Level[[#This Row],[Team]],Team_Level[Date],"&gt;="&amp;Team_Level[[#This Row],[Date]],Team_Level[Result],"&lt;&gt;"))</f>
        <v/>
      </c>
      <c r="R818" t="str">
        <f>Team_Level[[#This Row],[Team]]&amp;"-"&amp;Team_Level[[#This Row],[Recency Rank]]</f>
        <v>Peterborough United-</v>
      </c>
      <c r="S818" t="str">
        <f>IF(Team_Level[[#This Row],[Result]]="","",COUNTIFS(Team_Level[Team],Team_Level[[#This Row],[Team]],Team_Level[Date],"&lt;="&amp;Team_Level[[#This Row],[Date]],Team_Level[Result],"&lt;&gt;"))</f>
        <v/>
      </c>
      <c r="T818" t="str">
        <f>Team_Level[[#This Row],[Team]]&amp;"-"&amp;Team_Level[[#This Row],[Chrono Rank]]</f>
        <v>Peterborough United-</v>
      </c>
    </row>
    <row r="819" spans="1:20" x14ac:dyDescent="0.25">
      <c r="A819" t="s">
        <v>344</v>
      </c>
      <c r="B819" s="6">
        <v>46388</v>
      </c>
      <c r="C819" t="s">
        <v>13</v>
      </c>
      <c r="D819" t="s">
        <v>1</v>
      </c>
      <c r="K819">
        <v>1</v>
      </c>
      <c r="L819" t="s">
        <v>35</v>
      </c>
      <c r="Q819" t="str">
        <f>IF(Team_Level[[#This Row],[Result]]="","",COUNTIFS(Team_Level[Team],Team_Level[[#This Row],[Team]],Team_Level[Date],"&gt;="&amp;Team_Level[[#This Row],[Date]],Team_Level[Result],"&lt;&gt;"))</f>
        <v/>
      </c>
      <c r="R819" t="str">
        <f>Team_Level[[#This Row],[Team]]&amp;"-"&amp;Team_Level[[#This Row],[Recency Rank]]</f>
        <v>Notts County-</v>
      </c>
      <c r="S819" t="str">
        <f>IF(Team_Level[[#This Row],[Result]]="","",COUNTIFS(Team_Level[Team],Team_Level[[#This Row],[Team]],Team_Level[Date],"&lt;="&amp;Team_Level[[#This Row],[Date]],Team_Level[Result],"&lt;&gt;"))</f>
        <v/>
      </c>
      <c r="T819" t="str">
        <f>Team_Level[[#This Row],[Team]]&amp;"-"&amp;Team_Level[[#This Row],[Chrono Rank]]</f>
        <v>Notts County-</v>
      </c>
    </row>
    <row r="820" spans="1:20" x14ac:dyDescent="0.25">
      <c r="A820" t="s">
        <v>345</v>
      </c>
      <c r="B820" s="6">
        <v>46388</v>
      </c>
      <c r="C820" t="s">
        <v>7</v>
      </c>
      <c r="D820" t="s">
        <v>2</v>
      </c>
      <c r="K820">
        <v>1</v>
      </c>
      <c r="L820" t="s">
        <v>35</v>
      </c>
      <c r="Q820" t="str">
        <f>IF(Team_Level[[#This Row],[Result]]="","",COUNTIFS(Team_Level[Team],Team_Level[[#This Row],[Team]],Team_Level[Date],"&gt;="&amp;Team_Level[[#This Row],[Date]],Team_Level[Result],"&lt;&gt;"))</f>
        <v/>
      </c>
      <c r="R820" t="str">
        <f>Team_Level[[#This Row],[Team]]&amp;"-"&amp;Team_Level[[#This Row],[Recency Rank]]</f>
        <v>Doncaster Rovers-</v>
      </c>
      <c r="S820" t="str">
        <f>IF(Team_Level[[#This Row],[Result]]="","",COUNTIFS(Team_Level[Team],Team_Level[[#This Row],[Team]],Team_Level[Date],"&lt;="&amp;Team_Level[[#This Row],[Date]],Team_Level[Result],"&lt;&gt;"))</f>
        <v/>
      </c>
      <c r="T820" t="str">
        <f>Team_Level[[#This Row],[Team]]&amp;"-"&amp;Team_Level[[#This Row],[Chrono Rank]]</f>
        <v>Doncaster Rovers-</v>
      </c>
    </row>
    <row r="821" spans="1:20" x14ac:dyDescent="0.25">
      <c r="A821" t="s">
        <v>346</v>
      </c>
      <c r="B821" s="6">
        <v>46388</v>
      </c>
      <c r="C821" t="s">
        <v>19</v>
      </c>
      <c r="D821" t="s">
        <v>4</v>
      </c>
      <c r="K821">
        <v>1</v>
      </c>
      <c r="L821" t="s">
        <v>35</v>
      </c>
      <c r="Q821" t="str">
        <f>IF(Team_Level[[#This Row],[Result]]="","",COUNTIFS(Team_Level[Team],Team_Level[[#This Row],[Team]],Team_Level[Date],"&gt;="&amp;Team_Level[[#This Row],[Date]],Team_Level[Result],"&lt;&gt;"))</f>
        <v/>
      </c>
      <c r="R821" t="str">
        <f>Team_Level[[#This Row],[Team]]&amp;"-"&amp;Team_Level[[#This Row],[Recency Rank]]</f>
        <v>Stevenage-</v>
      </c>
      <c r="S821" t="str">
        <f>IF(Team_Level[[#This Row],[Result]]="","",COUNTIFS(Team_Level[Team],Team_Level[[#This Row],[Team]],Team_Level[Date],"&lt;="&amp;Team_Level[[#This Row],[Date]],Team_Level[Result],"&lt;&gt;"))</f>
        <v/>
      </c>
      <c r="T821" t="str">
        <f>Team_Level[[#This Row],[Team]]&amp;"-"&amp;Team_Level[[#This Row],[Chrono Rank]]</f>
        <v>Stevenage-</v>
      </c>
    </row>
    <row r="822" spans="1:20" x14ac:dyDescent="0.25">
      <c r="A822" t="s">
        <v>347</v>
      </c>
      <c r="B822" s="6">
        <v>46388</v>
      </c>
      <c r="C822" t="s">
        <v>14</v>
      </c>
      <c r="D822" t="s">
        <v>10</v>
      </c>
      <c r="K822">
        <v>1</v>
      </c>
      <c r="L822" t="s">
        <v>35</v>
      </c>
      <c r="Q822" t="str">
        <f>IF(Team_Level[[#This Row],[Result]]="","",COUNTIFS(Team_Level[Team],Team_Level[[#This Row],[Team]],Team_Level[Date],"&gt;="&amp;Team_Level[[#This Row],[Date]],Team_Level[Result],"&lt;&gt;"))</f>
        <v/>
      </c>
      <c r="R822" t="str">
        <f>Team_Level[[#This Row],[Team]]&amp;"-"&amp;Team_Level[[#This Row],[Recency Rank]]</f>
        <v>Oxford United-</v>
      </c>
      <c r="S822" t="str">
        <f>IF(Team_Level[[#This Row],[Result]]="","",COUNTIFS(Team_Level[Team],Team_Level[[#This Row],[Team]],Team_Level[Date],"&lt;="&amp;Team_Level[[#This Row],[Date]],Team_Level[Result],"&lt;&gt;"))</f>
        <v/>
      </c>
      <c r="T822" t="str">
        <f>Team_Level[[#This Row],[Team]]&amp;"-"&amp;Team_Level[[#This Row],[Chrono Rank]]</f>
        <v>Oxford United-</v>
      </c>
    </row>
    <row r="823" spans="1:20" x14ac:dyDescent="0.25">
      <c r="A823" t="s">
        <v>348</v>
      </c>
      <c r="B823" s="6">
        <v>46388</v>
      </c>
      <c r="C823" t="s">
        <v>33</v>
      </c>
      <c r="D823" t="s">
        <v>17</v>
      </c>
      <c r="K823">
        <v>1</v>
      </c>
      <c r="L823" t="s">
        <v>35</v>
      </c>
      <c r="Q823" t="str">
        <f>IF(Team_Level[[#This Row],[Result]]="","",COUNTIFS(Team_Level[Team],Team_Level[[#This Row],[Team]],Team_Level[Date],"&gt;="&amp;Team_Level[[#This Row],[Date]],Team_Level[Result],"&lt;&gt;"))</f>
        <v/>
      </c>
      <c r="R823" t="str">
        <f>Team_Level[[#This Row],[Team]]&amp;"-"&amp;Team_Level[[#This Row],[Recency Rank]]</f>
        <v>Milton Keynes Dons-</v>
      </c>
      <c r="S823" t="str">
        <f>IF(Team_Level[[#This Row],[Result]]="","",COUNTIFS(Team_Level[Team],Team_Level[[#This Row],[Team]],Team_Level[Date],"&lt;="&amp;Team_Level[[#This Row],[Date]],Team_Level[Result],"&lt;&gt;"))</f>
        <v/>
      </c>
      <c r="T823" t="str">
        <f>Team_Level[[#This Row],[Team]]&amp;"-"&amp;Team_Level[[#This Row],[Chrono Rank]]</f>
        <v>Milton Keynes Dons-</v>
      </c>
    </row>
    <row r="824" spans="1:20" x14ac:dyDescent="0.25">
      <c r="A824" t="s">
        <v>349</v>
      </c>
      <c r="B824" s="6">
        <v>46388</v>
      </c>
      <c r="C824" t="s">
        <v>8</v>
      </c>
      <c r="D824" t="s">
        <v>18</v>
      </c>
      <c r="K824">
        <v>1</v>
      </c>
      <c r="L824" t="s">
        <v>35</v>
      </c>
      <c r="Q824" t="str">
        <f>IF(Team_Level[[#This Row],[Result]]="","",COUNTIFS(Team_Level[Team],Team_Level[[#This Row],[Team]],Team_Level[Date],"&gt;="&amp;Team_Level[[#This Row],[Date]],Team_Level[Result],"&lt;&gt;"))</f>
        <v/>
      </c>
      <c r="R824" t="str">
        <f>Team_Level[[#This Row],[Team]]&amp;"-"&amp;Team_Level[[#This Row],[Recency Rank]]</f>
        <v>Huddersfield Town-</v>
      </c>
      <c r="S824" t="str">
        <f>IF(Team_Level[[#This Row],[Result]]="","",COUNTIFS(Team_Level[Team],Team_Level[[#This Row],[Team]],Team_Level[Date],"&lt;="&amp;Team_Level[[#This Row],[Date]],Team_Level[Result],"&lt;&gt;"))</f>
        <v/>
      </c>
      <c r="T824" t="str">
        <f>Team_Level[[#This Row],[Team]]&amp;"-"&amp;Team_Level[[#This Row],[Chrono Rank]]</f>
        <v>Huddersfield Town-</v>
      </c>
    </row>
    <row r="825" spans="1:20" x14ac:dyDescent="0.25">
      <c r="A825" t="s">
        <v>350</v>
      </c>
      <c r="B825" s="6">
        <v>46388</v>
      </c>
      <c r="C825" t="s">
        <v>3</v>
      </c>
      <c r="D825" t="s">
        <v>21</v>
      </c>
      <c r="K825">
        <v>1</v>
      </c>
      <c r="L825" t="s">
        <v>35</v>
      </c>
      <c r="Q825" t="str">
        <f>IF(Team_Level[[#This Row],[Result]]="","",COUNTIFS(Team_Level[Team],Team_Level[[#This Row],[Team]],Team_Level[Date],"&gt;="&amp;Team_Level[[#This Row],[Date]],Team_Level[Result],"&lt;&gt;"))</f>
        <v/>
      </c>
      <c r="R825" t="str">
        <f>Team_Level[[#This Row],[Team]]&amp;"-"&amp;Team_Level[[#This Row],[Recency Rank]]</f>
        <v>Bradford City-</v>
      </c>
      <c r="S825" t="str">
        <f>IF(Team_Level[[#This Row],[Result]]="","",COUNTIFS(Team_Level[Team],Team_Level[[#This Row],[Team]],Team_Level[Date],"&lt;="&amp;Team_Level[[#This Row],[Date]],Team_Level[Result],"&lt;&gt;"))</f>
        <v/>
      </c>
      <c r="T825" t="str">
        <f>Team_Level[[#This Row],[Team]]&amp;"-"&amp;Team_Level[[#This Row],[Chrono Rank]]</f>
        <v>Bradford City-</v>
      </c>
    </row>
    <row r="826" spans="1:20" x14ac:dyDescent="0.25">
      <c r="A826" t="s">
        <v>351</v>
      </c>
      <c r="B826" s="6">
        <v>46388</v>
      </c>
      <c r="C826" t="s">
        <v>9</v>
      </c>
      <c r="D826" t="s">
        <v>22</v>
      </c>
      <c r="K826">
        <v>1</v>
      </c>
      <c r="L826" t="s">
        <v>35</v>
      </c>
      <c r="Q826" t="str">
        <f>IF(Team_Level[[#This Row],[Result]]="","",COUNTIFS(Team_Level[Team],Team_Level[[#This Row],[Team]],Team_Level[Date],"&gt;="&amp;Team_Level[[#This Row],[Date]],Team_Level[Result],"&lt;&gt;"))</f>
        <v/>
      </c>
      <c r="R826" t="str">
        <f>Team_Level[[#This Row],[Team]]&amp;"-"&amp;Team_Level[[#This Row],[Recency Rank]]</f>
        <v>Leicester City-</v>
      </c>
      <c r="S826" t="str">
        <f>IF(Team_Level[[#This Row],[Result]]="","",COUNTIFS(Team_Level[Team],Team_Level[[#This Row],[Team]],Team_Level[Date],"&lt;="&amp;Team_Level[[#This Row],[Date]],Team_Level[Result],"&lt;&gt;"))</f>
        <v/>
      </c>
      <c r="T826" t="str">
        <f>Team_Level[[#This Row],[Team]]&amp;"-"&amp;Team_Level[[#This Row],[Chrono Rank]]</f>
        <v>Leicester City-</v>
      </c>
    </row>
    <row r="827" spans="1:20" x14ac:dyDescent="0.25">
      <c r="A827" t="s">
        <v>352</v>
      </c>
      <c r="B827" s="6">
        <v>46389</v>
      </c>
      <c r="C827" t="s">
        <v>12</v>
      </c>
      <c r="D827" t="s">
        <v>6</v>
      </c>
      <c r="K827">
        <v>1</v>
      </c>
      <c r="L827" t="s">
        <v>35</v>
      </c>
      <c r="Q827" t="str">
        <f>IF(Team_Level[[#This Row],[Result]]="","",COUNTIFS(Team_Level[Team],Team_Level[[#This Row],[Team]],Team_Level[Date],"&gt;="&amp;Team_Level[[#This Row],[Date]],Team_Level[Result],"&lt;&gt;"))</f>
        <v/>
      </c>
      <c r="R827" t="str">
        <f>Team_Level[[#This Row],[Team]]&amp;"-"&amp;Team_Level[[#This Row],[Recency Rank]]</f>
        <v>Mansfield Town-</v>
      </c>
      <c r="S827" t="str">
        <f>IF(Team_Level[[#This Row],[Result]]="","",COUNTIFS(Team_Level[Team],Team_Level[[#This Row],[Team]],Team_Level[Date],"&lt;="&amp;Team_Level[[#This Row],[Date]],Team_Level[Result],"&lt;&gt;"))</f>
        <v/>
      </c>
      <c r="T827" t="str">
        <f>Team_Level[[#This Row],[Team]]&amp;"-"&amp;Team_Level[[#This Row],[Chrono Rank]]</f>
        <v>Mansfield Town-</v>
      </c>
    </row>
    <row r="828" spans="1:20" x14ac:dyDescent="0.25">
      <c r="A828" t="s">
        <v>353</v>
      </c>
      <c r="B828" s="6">
        <v>46389</v>
      </c>
      <c r="C828" t="s">
        <v>11</v>
      </c>
      <c r="D828" t="s">
        <v>16</v>
      </c>
      <c r="K828">
        <v>1</v>
      </c>
      <c r="L828" t="s">
        <v>35</v>
      </c>
      <c r="Q828" t="str">
        <f>IF(Team_Level[[#This Row],[Result]]="","",COUNTIFS(Team_Level[Team],Team_Level[[#This Row],[Team]],Team_Level[Date],"&gt;="&amp;Team_Level[[#This Row],[Date]],Team_Level[Result],"&lt;&gt;"))</f>
        <v/>
      </c>
      <c r="R828" t="str">
        <f>Team_Level[[#This Row],[Team]]&amp;"-"&amp;Team_Level[[#This Row],[Recency Rank]]</f>
        <v>Luton Town-</v>
      </c>
      <c r="S828" t="str">
        <f>IF(Team_Level[[#This Row],[Result]]="","",COUNTIFS(Team_Level[Team],Team_Level[[#This Row],[Team]],Team_Level[Date],"&lt;="&amp;Team_Level[[#This Row],[Date]],Team_Level[Result],"&lt;&gt;"))</f>
        <v/>
      </c>
      <c r="T828" t="str">
        <f>Team_Level[[#This Row],[Team]]&amp;"-"&amp;Team_Level[[#This Row],[Chrono Rank]]</f>
        <v>Luton Town-</v>
      </c>
    </row>
    <row r="829" spans="1:20" x14ac:dyDescent="0.25">
      <c r="A829" t="s">
        <v>354</v>
      </c>
      <c r="B829" s="6">
        <v>46389</v>
      </c>
      <c r="C829" t="s">
        <v>5</v>
      </c>
      <c r="D829" t="s">
        <v>20</v>
      </c>
      <c r="K829">
        <v>1</v>
      </c>
      <c r="L829" t="s">
        <v>35</v>
      </c>
      <c r="Q829" t="str">
        <f>IF(Team_Level[[#This Row],[Result]]="","",COUNTIFS(Team_Level[Team],Team_Level[[#This Row],[Team]],Team_Level[Date],"&gt;="&amp;Team_Level[[#This Row],[Date]],Team_Level[Result],"&lt;&gt;"))</f>
        <v/>
      </c>
      <c r="R829" t="str">
        <f>Team_Level[[#This Row],[Team]]&amp;"-"&amp;Team_Level[[#This Row],[Recency Rank]]</f>
        <v>Burton Albion-</v>
      </c>
      <c r="S829" t="str">
        <f>IF(Team_Level[[#This Row],[Result]]="","",COUNTIFS(Team_Level[Team],Team_Level[[#This Row],[Team]],Team_Level[Date],"&lt;="&amp;Team_Level[[#This Row],[Date]],Team_Level[Result],"&lt;&gt;"))</f>
        <v/>
      </c>
      <c r="T829" t="str">
        <f>Team_Level[[#This Row],[Team]]&amp;"-"&amp;Team_Level[[#This Row],[Chrono Rank]]</f>
        <v>Burton Albion-</v>
      </c>
    </row>
    <row r="830" spans="1:20" x14ac:dyDescent="0.25">
      <c r="A830" t="s">
        <v>355</v>
      </c>
      <c r="B830" s="6">
        <v>46395</v>
      </c>
      <c r="C830" t="s">
        <v>2</v>
      </c>
      <c r="D830" t="s">
        <v>5</v>
      </c>
      <c r="K830">
        <v>1</v>
      </c>
      <c r="L830" t="s">
        <v>35</v>
      </c>
      <c r="Q830" t="str">
        <f>IF(Team_Level[[#This Row],[Result]]="","",COUNTIFS(Team_Level[Team],Team_Level[[#This Row],[Team]],Team_Level[Date],"&gt;="&amp;Team_Level[[#This Row],[Date]],Team_Level[Result],"&lt;&gt;"))</f>
        <v/>
      </c>
      <c r="R830" t="str">
        <f>Team_Level[[#This Row],[Team]]&amp;"-"&amp;Team_Level[[#This Row],[Recency Rank]]</f>
        <v>Blackpool-</v>
      </c>
      <c r="S830" t="str">
        <f>IF(Team_Level[[#This Row],[Result]]="","",COUNTIFS(Team_Level[Team],Team_Level[[#This Row],[Team]],Team_Level[Date],"&lt;="&amp;Team_Level[[#This Row],[Date]],Team_Level[Result],"&lt;&gt;"))</f>
        <v/>
      </c>
      <c r="T830" t="str">
        <f>Team_Level[[#This Row],[Team]]&amp;"-"&amp;Team_Level[[#This Row],[Chrono Rank]]</f>
        <v>Blackpool-</v>
      </c>
    </row>
    <row r="831" spans="1:20" x14ac:dyDescent="0.25">
      <c r="A831" t="s">
        <v>356</v>
      </c>
      <c r="B831" s="6">
        <v>46396</v>
      </c>
      <c r="C831" t="s">
        <v>4</v>
      </c>
      <c r="D831" t="s">
        <v>3</v>
      </c>
      <c r="K831">
        <v>1</v>
      </c>
      <c r="L831" t="s">
        <v>35</v>
      </c>
      <c r="Q831" t="str">
        <f>IF(Team_Level[[#This Row],[Result]]="","",COUNTIFS(Team_Level[Team],Team_Level[[#This Row],[Team]],Team_Level[Date],"&gt;="&amp;Team_Level[[#This Row],[Date]],Team_Level[Result],"&lt;&gt;"))</f>
        <v/>
      </c>
      <c r="R831" t="str">
        <f>Team_Level[[#This Row],[Team]]&amp;"-"&amp;Team_Level[[#This Row],[Recency Rank]]</f>
        <v>Bromley-</v>
      </c>
      <c r="S831" t="str">
        <f>IF(Team_Level[[#This Row],[Result]]="","",COUNTIFS(Team_Level[Team],Team_Level[[#This Row],[Team]],Team_Level[Date],"&lt;="&amp;Team_Level[[#This Row],[Date]],Team_Level[Result],"&lt;&gt;"))</f>
        <v/>
      </c>
      <c r="T831" t="str">
        <f>Team_Level[[#This Row],[Team]]&amp;"-"&amp;Team_Level[[#This Row],[Chrono Rank]]</f>
        <v>Bromley-</v>
      </c>
    </row>
    <row r="832" spans="1:20" x14ac:dyDescent="0.25">
      <c r="A832" t="s">
        <v>357</v>
      </c>
      <c r="B832" s="6">
        <v>46396</v>
      </c>
      <c r="C832" t="s">
        <v>22</v>
      </c>
      <c r="D832" t="s">
        <v>7</v>
      </c>
      <c r="K832">
        <v>1</v>
      </c>
      <c r="L832" t="s">
        <v>35</v>
      </c>
      <c r="Q832" t="str">
        <f>IF(Team_Level[[#This Row],[Result]]="","",COUNTIFS(Team_Level[Team],Team_Level[[#This Row],[Team]],Team_Level[Date],"&gt;="&amp;Team_Level[[#This Row],[Date]],Team_Level[Result],"&lt;&gt;"))</f>
        <v/>
      </c>
      <c r="R832" t="str">
        <f>Team_Level[[#This Row],[Team]]&amp;"-"&amp;Team_Level[[#This Row],[Recency Rank]]</f>
        <v>Wycombe Wanderers-</v>
      </c>
      <c r="S832" t="str">
        <f>IF(Team_Level[[#This Row],[Result]]="","",COUNTIFS(Team_Level[Team],Team_Level[[#This Row],[Team]],Team_Level[Date],"&lt;="&amp;Team_Level[[#This Row],[Date]],Team_Level[Result],"&lt;&gt;"))</f>
        <v/>
      </c>
      <c r="T832" t="str">
        <f>Team_Level[[#This Row],[Team]]&amp;"-"&amp;Team_Level[[#This Row],[Chrono Rank]]</f>
        <v>Wycombe Wanderers-</v>
      </c>
    </row>
    <row r="833" spans="1:20" x14ac:dyDescent="0.25">
      <c r="A833" t="s">
        <v>358</v>
      </c>
      <c r="B833" s="6">
        <v>46396</v>
      </c>
      <c r="C833" t="s">
        <v>1</v>
      </c>
      <c r="D833" t="s">
        <v>8</v>
      </c>
      <c r="K833">
        <v>1</v>
      </c>
      <c r="L833" t="s">
        <v>35</v>
      </c>
      <c r="Q833" t="str">
        <f>IF(Team_Level[[#This Row],[Result]]="","",COUNTIFS(Team_Level[Team],Team_Level[[#This Row],[Team]],Team_Level[Date],"&gt;="&amp;Team_Level[[#This Row],[Date]],Team_Level[Result],"&lt;&gt;"))</f>
        <v/>
      </c>
      <c r="R833" t="str">
        <f>Team_Level[[#This Row],[Team]]&amp;"-"&amp;Team_Level[[#This Row],[Recency Rank]]</f>
        <v>Barnsley-</v>
      </c>
      <c r="S833" t="str">
        <f>IF(Team_Level[[#This Row],[Result]]="","",COUNTIFS(Team_Level[Team],Team_Level[[#This Row],[Team]],Team_Level[Date],"&lt;="&amp;Team_Level[[#This Row],[Date]],Team_Level[Result],"&lt;&gt;"))</f>
        <v/>
      </c>
      <c r="T833" t="str">
        <f>Team_Level[[#This Row],[Team]]&amp;"-"&amp;Team_Level[[#This Row],[Chrono Rank]]</f>
        <v>Barnsley-</v>
      </c>
    </row>
    <row r="834" spans="1:20" x14ac:dyDescent="0.25">
      <c r="A834" t="s">
        <v>359</v>
      </c>
      <c r="B834" s="6">
        <v>46396</v>
      </c>
      <c r="C834" t="s">
        <v>17</v>
      </c>
      <c r="D834" t="s">
        <v>9</v>
      </c>
      <c r="K834">
        <v>1</v>
      </c>
      <c r="L834" t="s">
        <v>35</v>
      </c>
      <c r="Q834" t="str">
        <f>IF(Team_Level[[#This Row],[Result]]="","",COUNTIFS(Team_Level[Team],Team_Level[[#This Row],[Team]],Team_Level[Date],"&gt;="&amp;Team_Level[[#This Row],[Date]],Team_Level[Result],"&lt;&gt;"))</f>
        <v/>
      </c>
      <c r="R834" t="str">
        <f>Team_Level[[#This Row],[Team]]&amp;"-"&amp;Team_Level[[#This Row],[Recency Rank]]</f>
        <v>Reading-</v>
      </c>
      <c r="S834" t="str">
        <f>IF(Team_Level[[#This Row],[Result]]="","",COUNTIFS(Team_Level[Team],Team_Level[[#This Row],[Team]],Team_Level[Date],"&lt;="&amp;Team_Level[[#This Row],[Date]],Team_Level[Result],"&lt;&gt;"))</f>
        <v/>
      </c>
      <c r="T834" t="str">
        <f>Team_Level[[#This Row],[Team]]&amp;"-"&amp;Team_Level[[#This Row],[Chrono Rank]]</f>
        <v>Reading-</v>
      </c>
    </row>
    <row r="835" spans="1:20" x14ac:dyDescent="0.25">
      <c r="A835" t="s">
        <v>360</v>
      </c>
      <c r="B835" s="6">
        <v>46396</v>
      </c>
      <c r="C835" t="s">
        <v>18</v>
      </c>
      <c r="D835" t="s">
        <v>11</v>
      </c>
      <c r="K835">
        <v>1</v>
      </c>
      <c r="L835" t="s">
        <v>35</v>
      </c>
      <c r="Q835" t="str">
        <f>IF(Team_Level[[#This Row],[Result]]="","",COUNTIFS(Team_Level[Team],Team_Level[[#This Row],[Team]],Team_Level[Date],"&gt;="&amp;Team_Level[[#This Row],[Date]],Team_Level[Result],"&lt;&gt;"))</f>
        <v/>
      </c>
      <c r="R835" t="str">
        <f>Team_Level[[#This Row],[Team]]&amp;"-"&amp;Team_Level[[#This Row],[Recency Rank]]</f>
        <v>Sheffield Wednesday-</v>
      </c>
      <c r="S835" t="str">
        <f>IF(Team_Level[[#This Row],[Result]]="","",COUNTIFS(Team_Level[Team],Team_Level[[#This Row],[Team]],Team_Level[Date],"&lt;="&amp;Team_Level[[#This Row],[Date]],Team_Level[Result],"&lt;&gt;"))</f>
        <v/>
      </c>
      <c r="T835" t="str">
        <f>Team_Level[[#This Row],[Team]]&amp;"-"&amp;Team_Level[[#This Row],[Chrono Rank]]</f>
        <v>Sheffield Wednesday-</v>
      </c>
    </row>
    <row r="836" spans="1:20" x14ac:dyDescent="0.25">
      <c r="A836" t="s">
        <v>361</v>
      </c>
      <c r="B836" s="6">
        <v>46396</v>
      </c>
      <c r="C836" t="s">
        <v>16</v>
      </c>
      <c r="D836" t="s">
        <v>12</v>
      </c>
      <c r="K836">
        <v>1</v>
      </c>
      <c r="L836" t="s">
        <v>35</v>
      </c>
      <c r="Q836" t="str">
        <f>IF(Team_Level[[#This Row],[Result]]="","",COUNTIFS(Team_Level[Team],Team_Level[[#This Row],[Team]],Team_Level[Date],"&gt;="&amp;Team_Level[[#This Row],[Date]],Team_Level[Result],"&lt;&gt;"))</f>
        <v/>
      </c>
      <c r="R836" t="str">
        <f>Team_Level[[#This Row],[Team]]&amp;"-"&amp;Team_Level[[#This Row],[Recency Rank]]</f>
        <v>Plymouth Argyle-</v>
      </c>
      <c r="S836" t="str">
        <f>IF(Team_Level[[#This Row],[Result]]="","",COUNTIFS(Team_Level[Team],Team_Level[[#This Row],[Team]],Team_Level[Date],"&lt;="&amp;Team_Level[[#This Row],[Date]],Team_Level[Result],"&lt;&gt;"))</f>
        <v/>
      </c>
      <c r="T836" t="str">
        <f>Team_Level[[#This Row],[Team]]&amp;"-"&amp;Team_Level[[#This Row],[Chrono Rank]]</f>
        <v>Plymouth Argyle-</v>
      </c>
    </row>
    <row r="837" spans="1:20" x14ac:dyDescent="0.25">
      <c r="A837" t="s">
        <v>362</v>
      </c>
      <c r="B837" s="6">
        <v>46396</v>
      </c>
      <c r="C837" t="s">
        <v>20</v>
      </c>
      <c r="D837" t="s">
        <v>33</v>
      </c>
      <c r="K837">
        <v>1</v>
      </c>
      <c r="L837" t="s">
        <v>35</v>
      </c>
      <c r="Q837" t="str">
        <f>IF(Team_Level[[#This Row],[Result]]="","",COUNTIFS(Team_Level[Team],Team_Level[[#This Row],[Team]],Team_Level[Date],"&gt;="&amp;Team_Level[[#This Row],[Date]],Team_Level[Result],"&lt;&gt;"))</f>
        <v/>
      </c>
      <c r="R837" t="str">
        <f>Team_Level[[#This Row],[Team]]&amp;"-"&amp;Team_Level[[#This Row],[Recency Rank]]</f>
        <v>Stockport County-</v>
      </c>
      <c r="S837" t="str">
        <f>IF(Team_Level[[#This Row],[Result]]="","",COUNTIFS(Team_Level[Team],Team_Level[[#This Row],[Team]],Team_Level[Date],"&lt;="&amp;Team_Level[[#This Row],[Date]],Team_Level[Result],"&lt;&gt;"))</f>
        <v/>
      </c>
      <c r="T837" t="str">
        <f>Team_Level[[#This Row],[Team]]&amp;"-"&amp;Team_Level[[#This Row],[Chrono Rank]]</f>
        <v>Stockport County-</v>
      </c>
    </row>
    <row r="838" spans="1:20" x14ac:dyDescent="0.25">
      <c r="A838" t="s">
        <v>363</v>
      </c>
      <c r="B838" s="6">
        <v>46396</v>
      </c>
      <c r="C838" t="s">
        <v>10</v>
      </c>
      <c r="D838" t="s">
        <v>13</v>
      </c>
      <c r="K838">
        <v>1</v>
      </c>
      <c r="L838" t="s">
        <v>35</v>
      </c>
      <c r="Q838" t="str">
        <f>IF(Team_Level[[#This Row],[Result]]="","",COUNTIFS(Team_Level[Team],Team_Level[[#This Row],[Team]],Team_Level[Date],"&gt;="&amp;Team_Level[[#This Row],[Date]],Team_Level[Result],"&lt;&gt;"))</f>
        <v/>
      </c>
      <c r="R838" t="str">
        <f>Team_Level[[#This Row],[Team]]&amp;"-"&amp;Team_Level[[#This Row],[Recency Rank]]</f>
        <v>Leyton Orient-</v>
      </c>
      <c r="S838" t="str">
        <f>IF(Team_Level[[#This Row],[Result]]="","",COUNTIFS(Team_Level[Team],Team_Level[[#This Row],[Team]],Team_Level[Date],"&lt;="&amp;Team_Level[[#This Row],[Date]],Team_Level[Result],"&lt;&gt;"))</f>
        <v/>
      </c>
      <c r="T838" t="str">
        <f>Team_Level[[#This Row],[Team]]&amp;"-"&amp;Team_Level[[#This Row],[Chrono Rank]]</f>
        <v>Leyton Orient-</v>
      </c>
    </row>
    <row r="839" spans="1:20" x14ac:dyDescent="0.25">
      <c r="A839" t="s">
        <v>364</v>
      </c>
      <c r="B839" s="6">
        <v>46396</v>
      </c>
      <c r="C839" t="s">
        <v>0</v>
      </c>
      <c r="D839" t="s">
        <v>14</v>
      </c>
      <c r="K839">
        <v>1</v>
      </c>
      <c r="L839" t="s">
        <v>35</v>
      </c>
      <c r="Q839" t="str">
        <f>IF(Team_Level[[#This Row],[Result]]="","",COUNTIFS(Team_Level[Team],Team_Level[[#This Row],[Team]],Team_Level[Date],"&gt;="&amp;Team_Level[[#This Row],[Date]],Team_Level[Result],"&lt;&gt;"))</f>
        <v/>
      </c>
      <c r="R839" t="str">
        <f>Team_Level[[#This Row],[Team]]&amp;"-"&amp;Team_Level[[#This Row],[Recency Rank]]</f>
        <v>AFC Wimbledon-</v>
      </c>
      <c r="S839" t="str">
        <f>IF(Team_Level[[#This Row],[Result]]="","",COUNTIFS(Team_Level[Team],Team_Level[[#This Row],[Team]],Team_Level[Date],"&lt;="&amp;Team_Level[[#This Row],[Date]],Team_Level[Result],"&lt;&gt;"))</f>
        <v/>
      </c>
      <c r="T839" t="str">
        <f>Team_Level[[#This Row],[Team]]&amp;"-"&amp;Team_Level[[#This Row],[Chrono Rank]]</f>
        <v>AFC Wimbledon-</v>
      </c>
    </row>
    <row r="840" spans="1:20" x14ac:dyDescent="0.25">
      <c r="A840" t="s">
        <v>365</v>
      </c>
      <c r="B840" s="6">
        <v>46396</v>
      </c>
      <c r="C840" t="s">
        <v>21</v>
      </c>
      <c r="D840" t="s">
        <v>15</v>
      </c>
      <c r="K840">
        <v>1</v>
      </c>
      <c r="L840" t="s">
        <v>35</v>
      </c>
      <c r="Q840" t="str">
        <f>IF(Team_Level[[#This Row],[Result]]="","",COUNTIFS(Team_Level[Team],Team_Level[[#This Row],[Team]],Team_Level[Date],"&gt;="&amp;Team_Level[[#This Row],[Date]],Team_Level[Result],"&lt;&gt;"))</f>
        <v/>
      </c>
      <c r="R840" t="str">
        <f>Team_Level[[#This Row],[Team]]&amp;"-"&amp;Team_Level[[#This Row],[Recency Rank]]</f>
        <v>Wigan Athletic-</v>
      </c>
      <c r="S840" t="str">
        <f>IF(Team_Level[[#This Row],[Result]]="","",COUNTIFS(Team_Level[Team],Team_Level[[#This Row],[Team]],Team_Level[Date],"&lt;="&amp;Team_Level[[#This Row],[Date]],Team_Level[Result],"&lt;&gt;"))</f>
        <v/>
      </c>
      <c r="T840" t="str">
        <f>Team_Level[[#This Row],[Team]]&amp;"-"&amp;Team_Level[[#This Row],[Chrono Rank]]</f>
        <v>Wigan Athletic-</v>
      </c>
    </row>
    <row r="841" spans="1:20" x14ac:dyDescent="0.25">
      <c r="A841" t="s">
        <v>366</v>
      </c>
      <c r="B841" s="6">
        <v>46396</v>
      </c>
      <c r="C841" t="s">
        <v>6</v>
      </c>
      <c r="D841" t="s">
        <v>19</v>
      </c>
      <c r="K841">
        <v>1</v>
      </c>
      <c r="L841" t="s">
        <v>35</v>
      </c>
      <c r="Q841" t="str">
        <f>IF(Team_Level[[#This Row],[Result]]="","",COUNTIFS(Team_Level[Team],Team_Level[[#This Row],[Team]],Team_Level[Date],"&gt;="&amp;Team_Level[[#This Row],[Date]],Team_Level[Result],"&lt;&gt;"))</f>
        <v/>
      </c>
      <c r="R841" t="str">
        <f>Team_Level[[#This Row],[Team]]&amp;"-"&amp;Team_Level[[#This Row],[Recency Rank]]</f>
        <v>Cambridge United-</v>
      </c>
      <c r="S841" t="str">
        <f>IF(Team_Level[[#This Row],[Result]]="","",COUNTIFS(Team_Level[Team],Team_Level[[#This Row],[Team]],Team_Level[Date],"&lt;="&amp;Team_Level[[#This Row],[Date]],Team_Level[Result],"&lt;&gt;"))</f>
        <v/>
      </c>
      <c r="T841" t="str">
        <f>Team_Level[[#This Row],[Team]]&amp;"-"&amp;Team_Level[[#This Row],[Chrono Rank]]</f>
        <v>Cambridge United-</v>
      </c>
    </row>
    <row r="842" spans="1:20" x14ac:dyDescent="0.25">
      <c r="A842" t="s">
        <v>367</v>
      </c>
      <c r="B842" s="6">
        <v>46403</v>
      </c>
      <c r="C842" t="s">
        <v>18</v>
      </c>
      <c r="D842" t="s">
        <v>0</v>
      </c>
      <c r="K842">
        <v>1</v>
      </c>
      <c r="L842" t="s">
        <v>35</v>
      </c>
      <c r="Q842" t="str">
        <f>IF(Team_Level[[#This Row],[Result]]="","",COUNTIFS(Team_Level[Team],Team_Level[[#This Row],[Team]],Team_Level[Date],"&gt;="&amp;Team_Level[[#This Row],[Date]],Team_Level[Result],"&lt;&gt;"))</f>
        <v/>
      </c>
      <c r="R842" t="str">
        <f>Team_Level[[#This Row],[Team]]&amp;"-"&amp;Team_Level[[#This Row],[Recency Rank]]</f>
        <v>Sheffield Wednesday-</v>
      </c>
      <c r="S842" t="str">
        <f>IF(Team_Level[[#This Row],[Result]]="","",COUNTIFS(Team_Level[Team],Team_Level[[#This Row],[Team]],Team_Level[Date],"&lt;="&amp;Team_Level[[#This Row],[Date]],Team_Level[Result],"&lt;&gt;"))</f>
        <v/>
      </c>
      <c r="T842" t="str">
        <f>Team_Level[[#This Row],[Team]]&amp;"-"&amp;Team_Level[[#This Row],[Chrono Rank]]</f>
        <v>Sheffield Wednesday-</v>
      </c>
    </row>
    <row r="843" spans="1:20" x14ac:dyDescent="0.25">
      <c r="A843" t="s">
        <v>368</v>
      </c>
      <c r="B843" s="6">
        <v>46403</v>
      </c>
      <c r="C843" t="s">
        <v>10</v>
      </c>
      <c r="D843" t="s">
        <v>2</v>
      </c>
      <c r="K843">
        <v>1</v>
      </c>
      <c r="L843" t="s">
        <v>35</v>
      </c>
      <c r="Q843" t="str">
        <f>IF(Team_Level[[#This Row],[Result]]="","",COUNTIFS(Team_Level[Team],Team_Level[[#This Row],[Team]],Team_Level[Date],"&gt;="&amp;Team_Level[[#This Row],[Date]],Team_Level[Result],"&lt;&gt;"))</f>
        <v/>
      </c>
      <c r="R843" t="str">
        <f>Team_Level[[#This Row],[Team]]&amp;"-"&amp;Team_Level[[#This Row],[Recency Rank]]</f>
        <v>Leyton Orient-</v>
      </c>
      <c r="S843" t="str">
        <f>IF(Team_Level[[#This Row],[Result]]="","",COUNTIFS(Team_Level[Team],Team_Level[[#This Row],[Team]],Team_Level[Date],"&lt;="&amp;Team_Level[[#This Row],[Date]],Team_Level[Result],"&lt;&gt;"))</f>
        <v/>
      </c>
      <c r="T843" t="str">
        <f>Team_Level[[#This Row],[Team]]&amp;"-"&amp;Team_Level[[#This Row],[Chrono Rank]]</f>
        <v>Leyton Orient-</v>
      </c>
    </row>
    <row r="844" spans="1:20" x14ac:dyDescent="0.25">
      <c r="A844" t="s">
        <v>369</v>
      </c>
      <c r="B844" s="6">
        <v>46403</v>
      </c>
      <c r="C844" t="s">
        <v>20</v>
      </c>
      <c r="D844" t="s">
        <v>4</v>
      </c>
      <c r="K844">
        <v>1</v>
      </c>
      <c r="L844" t="s">
        <v>35</v>
      </c>
      <c r="Q844" t="str">
        <f>IF(Team_Level[[#This Row],[Result]]="","",COUNTIFS(Team_Level[Team],Team_Level[[#This Row],[Team]],Team_Level[Date],"&gt;="&amp;Team_Level[[#This Row],[Date]],Team_Level[Result],"&lt;&gt;"))</f>
        <v/>
      </c>
      <c r="R844" t="str">
        <f>Team_Level[[#This Row],[Team]]&amp;"-"&amp;Team_Level[[#This Row],[Recency Rank]]</f>
        <v>Stockport County-</v>
      </c>
      <c r="S844" t="str">
        <f>IF(Team_Level[[#This Row],[Result]]="","",COUNTIFS(Team_Level[Team],Team_Level[[#This Row],[Team]],Team_Level[Date],"&lt;="&amp;Team_Level[[#This Row],[Date]],Team_Level[Result],"&lt;&gt;"))</f>
        <v/>
      </c>
      <c r="T844" t="str">
        <f>Team_Level[[#This Row],[Team]]&amp;"-"&amp;Team_Level[[#This Row],[Chrono Rank]]</f>
        <v>Stockport County-</v>
      </c>
    </row>
    <row r="845" spans="1:20" x14ac:dyDescent="0.25">
      <c r="A845" t="s">
        <v>370</v>
      </c>
      <c r="B845" s="6">
        <v>46403</v>
      </c>
      <c r="C845" t="s">
        <v>15</v>
      </c>
      <c r="D845" t="s">
        <v>5</v>
      </c>
      <c r="K845">
        <v>1</v>
      </c>
      <c r="L845" t="s">
        <v>35</v>
      </c>
      <c r="Q845" t="str">
        <f>IF(Team_Level[[#This Row],[Result]]="","",COUNTIFS(Team_Level[Team],Team_Level[[#This Row],[Team]],Team_Level[Date],"&gt;="&amp;Team_Level[[#This Row],[Date]],Team_Level[Result],"&lt;&gt;"))</f>
        <v/>
      </c>
      <c r="R845" t="str">
        <f>Team_Level[[#This Row],[Team]]&amp;"-"&amp;Team_Level[[#This Row],[Recency Rank]]</f>
        <v>Peterborough United-</v>
      </c>
      <c r="S845" t="str">
        <f>IF(Team_Level[[#This Row],[Result]]="","",COUNTIFS(Team_Level[Team],Team_Level[[#This Row],[Team]],Team_Level[Date],"&lt;="&amp;Team_Level[[#This Row],[Date]],Team_Level[Result],"&lt;&gt;"))</f>
        <v/>
      </c>
      <c r="T845" t="str">
        <f>Team_Level[[#This Row],[Team]]&amp;"-"&amp;Team_Level[[#This Row],[Chrono Rank]]</f>
        <v>Peterborough United-</v>
      </c>
    </row>
    <row r="846" spans="1:20" x14ac:dyDescent="0.25">
      <c r="A846" t="s">
        <v>371</v>
      </c>
      <c r="B846" s="6">
        <v>46403</v>
      </c>
      <c r="C846" t="s">
        <v>1</v>
      </c>
      <c r="D846" t="s">
        <v>6</v>
      </c>
      <c r="K846">
        <v>1</v>
      </c>
      <c r="L846" t="s">
        <v>35</v>
      </c>
      <c r="Q846" t="str">
        <f>IF(Team_Level[[#This Row],[Result]]="","",COUNTIFS(Team_Level[Team],Team_Level[[#This Row],[Team]],Team_Level[Date],"&gt;="&amp;Team_Level[[#This Row],[Date]],Team_Level[Result],"&lt;&gt;"))</f>
        <v/>
      </c>
      <c r="R846" t="str">
        <f>Team_Level[[#This Row],[Team]]&amp;"-"&amp;Team_Level[[#This Row],[Recency Rank]]</f>
        <v>Barnsley-</v>
      </c>
      <c r="S846" t="str">
        <f>IF(Team_Level[[#This Row],[Result]]="","",COUNTIFS(Team_Level[Team],Team_Level[[#This Row],[Team]],Team_Level[Date],"&lt;="&amp;Team_Level[[#This Row],[Date]],Team_Level[Result],"&lt;&gt;"))</f>
        <v/>
      </c>
      <c r="T846" t="str">
        <f>Team_Level[[#This Row],[Team]]&amp;"-"&amp;Team_Level[[#This Row],[Chrono Rank]]</f>
        <v>Barnsley-</v>
      </c>
    </row>
    <row r="847" spans="1:20" x14ac:dyDescent="0.25">
      <c r="A847" t="s">
        <v>372</v>
      </c>
      <c r="B847" s="6">
        <v>46403</v>
      </c>
      <c r="C847" t="s">
        <v>9</v>
      </c>
      <c r="D847" t="s">
        <v>7</v>
      </c>
      <c r="K847">
        <v>1</v>
      </c>
      <c r="L847" t="s">
        <v>35</v>
      </c>
      <c r="Q847" t="str">
        <f>IF(Team_Level[[#This Row],[Result]]="","",COUNTIFS(Team_Level[Team],Team_Level[[#This Row],[Team]],Team_Level[Date],"&gt;="&amp;Team_Level[[#This Row],[Date]],Team_Level[Result],"&lt;&gt;"))</f>
        <v/>
      </c>
      <c r="R847" t="str">
        <f>Team_Level[[#This Row],[Team]]&amp;"-"&amp;Team_Level[[#This Row],[Recency Rank]]</f>
        <v>Leicester City-</v>
      </c>
      <c r="S847" t="str">
        <f>IF(Team_Level[[#This Row],[Result]]="","",COUNTIFS(Team_Level[Team],Team_Level[[#This Row],[Team]],Team_Level[Date],"&lt;="&amp;Team_Level[[#This Row],[Date]],Team_Level[Result],"&lt;&gt;"))</f>
        <v/>
      </c>
      <c r="T847" t="str">
        <f>Team_Level[[#This Row],[Team]]&amp;"-"&amp;Team_Level[[#This Row],[Chrono Rank]]</f>
        <v>Leicester City-</v>
      </c>
    </row>
    <row r="848" spans="1:20" x14ac:dyDescent="0.25">
      <c r="A848" t="s">
        <v>373</v>
      </c>
      <c r="B848" s="6">
        <v>46403</v>
      </c>
      <c r="C848" t="s">
        <v>16</v>
      </c>
      <c r="D848" t="s">
        <v>8</v>
      </c>
      <c r="K848">
        <v>1</v>
      </c>
      <c r="L848" t="s">
        <v>35</v>
      </c>
      <c r="Q848" t="str">
        <f>IF(Team_Level[[#This Row],[Result]]="","",COUNTIFS(Team_Level[Team],Team_Level[[#This Row],[Team]],Team_Level[Date],"&gt;="&amp;Team_Level[[#This Row],[Date]],Team_Level[Result],"&lt;&gt;"))</f>
        <v/>
      </c>
      <c r="R848" t="str">
        <f>Team_Level[[#This Row],[Team]]&amp;"-"&amp;Team_Level[[#This Row],[Recency Rank]]</f>
        <v>Plymouth Argyle-</v>
      </c>
      <c r="S848" t="str">
        <f>IF(Team_Level[[#This Row],[Result]]="","",COUNTIFS(Team_Level[Team],Team_Level[[#This Row],[Team]],Team_Level[Date],"&lt;="&amp;Team_Level[[#This Row],[Date]],Team_Level[Result],"&lt;&gt;"))</f>
        <v/>
      </c>
      <c r="T848" t="str">
        <f>Team_Level[[#This Row],[Team]]&amp;"-"&amp;Team_Level[[#This Row],[Chrono Rank]]</f>
        <v>Plymouth Argyle-</v>
      </c>
    </row>
    <row r="849" spans="1:20" x14ac:dyDescent="0.25">
      <c r="A849" t="s">
        <v>374</v>
      </c>
      <c r="B849" s="6">
        <v>46403</v>
      </c>
      <c r="C849" t="s">
        <v>33</v>
      </c>
      <c r="D849" t="s">
        <v>11</v>
      </c>
      <c r="K849">
        <v>1</v>
      </c>
      <c r="L849" t="s">
        <v>35</v>
      </c>
      <c r="Q849" t="str">
        <f>IF(Team_Level[[#This Row],[Result]]="","",COUNTIFS(Team_Level[Team],Team_Level[[#This Row],[Team]],Team_Level[Date],"&gt;="&amp;Team_Level[[#This Row],[Date]],Team_Level[Result],"&lt;&gt;"))</f>
        <v/>
      </c>
      <c r="R849" t="str">
        <f>Team_Level[[#This Row],[Team]]&amp;"-"&amp;Team_Level[[#This Row],[Recency Rank]]</f>
        <v>Milton Keynes Dons-</v>
      </c>
      <c r="S849" t="str">
        <f>IF(Team_Level[[#This Row],[Result]]="","",COUNTIFS(Team_Level[Team],Team_Level[[#This Row],[Team]],Team_Level[Date],"&lt;="&amp;Team_Level[[#This Row],[Date]],Team_Level[Result],"&lt;&gt;"))</f>
        <v/>
      </c>
      <c r="T849" t="str">
        <f>Team_Level[[#This Row],[Team]]&amp;"-"&amp;Team_Level[[#This Row],[Chrono Rank]]</f>
        <v>Milton Keynes Dons-</v>
      </c>
    </row>
    <row r="850" spans="1:20" x14ac:dyDescent="0.25">
      <c r="A850" t="s">
        <v>375</v>
      </c>
      <c r="B850" s="6">
        <v>46403</v>
      </c>
      <c r="C850" t="s">
        <v>22</v>
      </c>
      <c r="D850" t="s">
        <v>13</v>
      </c>
      <c r="K850">
        <v>1</v>
      </c>
      <c r="L850" t="s">
        <v>35</v>
      </c>
      <c r="Q850" t="str">
        <f>IF(Team_Level[[#This Row],[Result]]="","",COUNTIFS(Team_Level[Team],Team_Level[[#This Row],[Team]],Team_Level[Date],"&gt;="&amp;Team_Level[[#This Row],[Date]],Team_Level[Result],"&lt;&gt;"))</f>
        <v/>
      </c>
      <c r="R850" t="str">
        <f>Team_Level[[#This Row],[Team]]&amp;"-"&amp;Team_Level[[#This Row],[Recency Rank]]</f>
        <v>Wycombe Wanderers-</v>
      </c>
      <c r="S850" t="str">
        <f>IF(Team_Level[[#This Row],[Result]]="","",COUNTIFS(Team_Level[Team],Team_Level[[#This Row],[Team]],Team_Level[Date],"&lt;="&amp;Team_Level[[#This Row],[Date]],Team_Level[Result],"&lt;&gt;"))</f>
        <v/>
      </c>
      <c r="T850" t="str">
        <f>Team_Level[[#This Row],[Team]]&amp;"-"&amp;Team_Level[[#This Row],[Chrono Rank]]</f>
        <v>Wycombe Wanderers-</v>
      </c>
    </row>
    <row r="851" spans="1:20" x14ac:dyDescent="0.25">
      <c r="A851" t="s">
        <v>376</v>
      </c>
      <c r="B851" s="6">
        <v>46403</v>
      </c>
      <c r="C851" t="s">
        <v>12</v>
      </c>
      <c r="D851" t="s">
        <v>14</v>
      </c>
      <c r="K851">
        <v>1</v>
      </c>
      <c r="L851" t="s">
        <v>35</v>
      </c>
      <c r="Q851" t="str">
        <f>IF(Team_Level[[#This Row],[Result]]="","",COUNTIFS(Team_Level[Team],Team_Level[[#This Row],[Team]],Team_Level[Date],"&gt;="&amp;Team_Level[[#This Row],[Date]],Team_Level[Result],"&lt;&gt;"))</f>
        <v/>
      </c>
      <c r="R851" t="str">
        <f>Team_Level[[#This Row],[Team]]&amp;"-"&amp;Team_Level[[#This Row],[Recency Rank]]</f>
        <v>Mansfield Town-</v>
      </c>
      <c r="S851" t="str">
        <f>IF(Team_Level[[#This Row],[Result]]="","",COUNTIFS(Team_Level[Team],Team_Level[[#This Row],[Team]],Team_Level[Date],"&lt;="&amp;Team_Level[[#This Row],[Date]],Team_Level[Result],"&lt;&gt;"))</f>
        <v/>
      </c>
      <c r="T851" t="str">
        <f>Team_Level[[#This Row],[Team]]&amp;"-"&amp;Team_Level[[#This Row],[Chrono Rank]]</f>
        <v>Mansfield Town-</v>
      </c>
    </row>
    <row r="852" spans="1:20" x14ac:dyDescent="0.25">
      <c r="A852" t="s">
        <v>377</v>
      </c>
      <c r="B852" s="6">
        <v>46403</v>
      </c>
      <c r="C852" t="s">
        <v>21</v>
      </c>
      <c r="D852" t="s">
        <v>17</v>
      </c>
      <c r="K852">
        <v>1</v>
      </c>
      <c r="L852" t="s">
        <v>35</v>
      </c>
      <c r="Q852" t="str">
        <f>IF(Team_Level[[#This Row],[Result]]="","",COUNTIFS(Team_Level[Team],Team_Level[[#This Row],[Team]],Team_Level[Date],"&gt;="&amp;Team_Level[[#This Row],[Date]],Team_Level[Result],"&lt;&gt;"))</f>
        <v/>
      </c>
      <c r="R852" t="str">
        <f>Team_Level[[#This Row],[Team]]&amp;"-"&amp;Team_Level[[#This Row],[Recency Rank]]</f>
        <v>Wigan Athletic-</v>
      </c>
      <c r="S852" t="str">
        <f>IF(Team_Level[[#This Row],[Result]]="","",COUNTIFS(Team_Level[Team],Team_Level[[#This Row],[Team]],Team_Level[Date],"&lt;="&amp;Team_Level[[#This Row],[Date]],Team_Level[Result],"&lt;&gt;"))</f>
        <v/>
      </c>
      <c r="T852" t="str">
        <f>Team_Level[[#This Row],[Team]]&amp;"-"&amp;Team_Level[[#This Row],[Chrono Rank]]</f>
        <v>Wigan Athletic-</v>
      </c>
    </row>
    <row r="853" spans="1:20" x14ac:dyDescent="0.25">
      <c r="A853" t="s">
        <v>378</v>
      </c>
      <c r="B853" s="6">
        <v>46403</v>
      </c>
      <c r="C853" t="s">
        <v>3</v>
      </c>
      <c r="D853" t="s">
        <v>19</v>
      </c>
      <c r="K853">
        <v>1</v>
      </c>
      <c r="L853" t="s">
        <v>35</v>
      </c>
      <c r="Q853" t="str">
        <f>IF(Team_Level[[#This Row],[Result]]="","",COUNTIFS(Team_Level[Team],Team_Level[[#This Row],[Team]],Team_Level[Date],"&gt;="&amp;Team_Level[[#This Row],[Date]],Team_Level[Result],"&lt;&gt;"))</f>
        <v/>
      </c>
      <c r="R853" t="str">
        <f>Team_Level[[#This Row],[Team]]&amp;"-"&amp;Team_Level[[#This Row],[Recency Rank]]</f>
        <v>Bradford City-</v>
      </c>
      <c r="S853" t="str">
        <f>IF(Team_Level[[#This Row],[Result]]="","",COUNTIFS(Team_Level[Team],Team_Level[[#This Row],[Team]],Team_Level[Date],"&lt;="&amp;Team_Level[[#This Row],[Date]],Team_Level[Result],"&lt;&gt;"))</f>
        <v/>
      </c>
      <c r="T853" t="str">
        <f>Team_Level[[#This Row],[Team]]&amp;"-"&amp;Team_Level[[#This Row],[Chrono Rank]]</f>
        <v>Bradford City-</v>
      </c>
    </row>
    <row r="854" spans="1:20" x14ac:dyDescent="0.25">
      <c r="A854" t="s">
        <v>379</v>
      </c>
      <c r="B854" s="6">
        <v>46406</v>
      </c>
      <c r="C854" t="s">
        <v>11</v>
      </c>
      <c r="D854" t="s">
        <v>1</v>
      </c>
      <c r="K854">
        <v>1</v>
      </c>
      <c r="L854" t="s">
        <v>35</v>
      </c>
      <c r="Q854" t="str">
        <f>IF(Team_Level[[#This Row],[Result]]="","",COUNTIFS(Team_Level[Team],Team_Level[[#This Row],[Team]],Team_Level[Date],"&gt;="&amp;Team_Level[[#This Row],[Date]],Team_Level[Result],"&lt;&gt;"))</f>
        <v/>
      </c>
      <c r="R854" t="str">
        <f>Team_Level[[#This Row],[Team]]&amp;"-"&amp;Team_Level[[#This Row],[Recency Rank]]</f>
        <v>Luton Town-</v>
      </c>
      <c r="S854" t="str">
        <f>IF(Team_Level[[#This Row],[Result]]="","",COUNTIFS(Team_Level[Team],Team_Level[[#This Row],[Team]],Team_Level[Date],"&lt;="&amp;Team_Level[[#This Row],[Date]],Team_Level[Result],"&lt;&gt;"))</f>
        <v/>
      </c>
      <c r="T854" t="str">
        <f>Team_Level[[#This Row],[Team]]&amp;"-"&amp;Team_Level[[#This Row],[Chrono Rank]]</f>
        <v>Luton Town-</v>
      </c>
    </row>
    <row r="855" spans="1:20" x14ac:dyDescent="0.25">
      <c r="A855" t="s">
        <v>380</v>
      </c>
      <c r="B855" s="6">
        <v>46406</v>
      </c>
      <c r="C855" t="s">
        <v>5</v>
      </c>
      <c r="D855" t="s">
        <v>3</v>
      </c>
      <c r="K855">
        <v>1</v>
      </c>
      <c r="L855" t="s">
        <v>35</v>
      </c>
      <c r="Q855" t="str">
        <f>IF(Team_Level[[#This Row],[Result]]="","",COUNTIFS(Team_Level[Team],Team_Level[[#This Row],[Team]],Team_Level[Date],"&gt;="&amp;Team_Level[[#This Row],[Date]],Team_Level[Result],"&lt;&gt;"))</f>
        <v/>
      </c>
      <c r="R855" t="str">
        <f>Team_Level[[#This Row],[Team]]&amp;"-"&amp;Team_Level[[#This Row],[Recency Rank]]</f>
        <v>Burton Albion-</v>
      </c>
      <c r="S855" t="str">
        <f>IF(Team_Level[[#This Row],[Result]]="","",COUNTIFS(Team_Level[Team],Team_Level[[#This Row],[Team]],Team_Level[Date],"&lt;="&amp;Team_Level[[#This Row],[Date]],Team_Level[Result],"&lt;&gt;"))</f>
        <v/>
      </c>
      <c r="T855" t="str">
        <f>Team_Level[[#This Row],[Team]]&amp;"-"&amp;Team_Level[[#This Row],[Chrono Rank]]</f>
        <v>Burton Albion-</v>
      </c>
    </row>
    <row r="856" spans="1:20" x14ac:dyDescent="0.25">
      <c r="A856" t="s">
        <v>381</v>
      </c>
      <c r="B856" s="6">
        <v>46406</v>
      </c>
      <c r="C856" t="s">
        <v>4</v>
      </c>
      <c r="D856" t="s">
        <v>9</v>
      </c>
      <c r="K856">
        <v>1</v>
      </c>
      <c r="L856" t="s">
        <v>35</v>
      </c>
      <c r="Q856" t="str">
        <f>IF(Team_Level[[#This Row],[Result]]="","",COUNTIFS(Team_Level[Team],Team_Level[[#This Row],[Team]],Team_Level[Date],"&gt;="&amp;Team_Level[[#This Row],[Date]],Team_Level[Result],"&lt;&gt;"))</f>
        <v/>
      </c>
      <c r="R856" t="str">
        <f>Team_Level[[#This Row],[Team]]&amp;"-"&amp;Team_Level[[#This Row],[Recency Rank]]</f>
        <v>Bromley-</v>
      </c>
      <c r="S856" t="str">
        <f>IF(Team_Level[[#This Row],[Result]]="","",COUNTIFS(Team_Level[Team],Team_Level[[#This Row],[Team]],Team_Level[Date],"&lt;="&amp;Team_Level[[#This Row],[Date]],Team_Level[Result],"&lt;&gt;"))</f>
        <v/>
      </c>
      <c r="T856" t="str">
        <f>Team_Level[[#This Row],[Team]]&amp;"-"&amp;Team_Level[[#This Row],[Chrono Rank]]</f>
        <v>Bromley-</v>
      </c>
    </row>
    <row r="857" spans="1:20" x14ac:dyDescent="0.25">
      <c r="A857" t="s">
        <v>382</v>
      </c>
      <c r="B857" s="6">
        <v>46406</v>
      </c>
      <c r="C857" t="s">
        <v>17</v>
      </c>
      <c r="D857" t="s">
        <v>10</v>
      </c>
      <c r="K857">
        <v>1</v>
      </c>
      <c r="L857" t="s">
        <v>35</v>
      </c>
      <c r="Q857" t="str">
        <f>IF(Team_Level[[#This Row],[Result]]="","",COUNTIFS(Team_Level[Team],Team_Level[[#This Row],[Team]],Team_Level[Date],"&gt;="&amp;Team_Level[[#This Row],[Date]],Team_Level[Result],"&lt;&gt;"))</f>
        <v/>
      </c>
      <c r="R857" t="str">
        <f>Team_Level[[#This Row],[Team]]&amp;"-"&amp;Team_Level[[#This Row],[Recency Rank]]</f>
        <v>Reading-</v>
      </c>
      <c r="S857" t="str">
        <f>IF(Team_Level[[#This Row],[Result]]="","",COUNTIFS(Team_Level[Team],Team_Level[[#This Row],[Team]],Team_Level[Date],"&lt;="&amp;Team_Level[[#This Row],[Date]],Team_Level[Result],"&lt;&gt;"))</f>
        <v/>
      </c>
      <c r="T857" t="str">
        <f>Team_Level[[#This Row],[Team]]&amp;"-"&amp;Team_Level[[#This Row],[Chrono Rank]]</f>
        <v>Reading-</v>
      </c>
    </row>
    <row r="858" spans="1:20" x14ac:dyDescent="0.25">
      <c r="A858" t="s">
        <v>383</v>
      </c>
      <c r="B858" s="6">
        <v>46406</v>
      </c>
      <c r="C858" t="s">
        <v>0</v>
      </c>
      <c r="D858" t="s">
        <v>12</v>
      </c>
      <c r="K858">
        <v>1</v>
      </c>
      <c r="L858" t="s">
        <v>35</v>
      </c>
      <c r="Q858" t="str">
        <f>IF(Team_Level[[#This Row],[Result]]="","",COUNTIFS(Team_Level[Team],Team_Level[[#This Row],[Team]],Team_Level[Date],"&gt;="&amp;Team_Level[[#This Row],[Date]],Team_Level[Result],"&lt;&gt;"))</f>
        <v/>
      </c>
      <c r="R858" t="str">
        <f>Team_Level[[#This Row],[Team]]&amp;"-"&amp;Team_Level[[#This Row],[Recency Rank]]</f>
        <v>AFC Wimbledon-</v>
      </c>
      <c r="S858" t="str">
        <f>IF(Team_Level[[#This Row],[Result]]="","",COUNTIFS(Team_Level[Team],Team_Level[[#This Row],[Team]],Team_Level[Date],"&lt;="&amp;Team_Level[[#This Row],[Date]],Team_Level[Result],"&lt;&gt;"))</f>
        <v/>
      </c>
      <c r="T858" t="str">
        <f>Team_Level[[#This Row],[Team]]&amp;"-"&amp;Team_Level[[#This Row],[Chrono Rank]]</f>
        <v>AFC Wimbledon-</v>
      </c>
    </row>
    <row r="859" spans="1:20" x14ac:dyDescent="0.25">
      <c r="A859" t="s">
        <v>384</v>
      </c>
      <c r="B859" s="6">
        <v>46406</v>
      </c>
      <c r="C859" t="s">
        <v>2</v>
      </c>
      <c r="D859" t="s">
        <v>33</v>
      </c>
      <c r="K859">
        <v>1</v>
      </c>
      <c r="L859" t="s">
        <v>35</v>
      </c>
      <c r="Q859" t="str">
        <f>IF(Team_Level[[#This Row],[Result]]="","",COUNTIFS(Team_Level[Team],Team_Level[[#This Row],[Team]],Team_Level[Date],"&gt;="&amp;Team_Level[[#This Row],[Date]],Team_Level[Result],"&lt;&gt;"))</f>
        <v/>
      </c>
      <c r="R859" t="str">
        <f>Team_Level[[#This Row],[Team]]&amp;"-"&amp;Team_Level[[#This Row],[Recency Rank]]</f>
        <v>Blackpool-</v>
      </c>
      <c r="S859" t="str">
        <f>IF(Team_Level[[#This Row],[Result]]="","",COUNTIFS(Team_Level[Team],Team_Level[[#This Row],[Team]],Team_Level[Date],"&lt;="&amp;Team_Level[[#This Row],[Date]],Team_Level[Result],"&lt;&gt;"))</f>
        <v/>
      </c>
      <c r="T859" t="str">
        <f>Team_Level[[#This Row],[Team]]&amp;"-"&amp;Team_Level[[#This Row],[Chrono Rank]]</f>
        <v>Blackpool-</v>
      </c>
    </row>
    <row r="860" spans="1:20" x14ac:dyDescent="0.25">
      <c r="A860" t="s">
        <v>385</v>
      </c>
      <c r="B860" s="6">
        <v>46406</v>
      </c>
      <c r="C860" t="s">
        <v>8</v>
      </c>
      <c r="D860" t="s">
        <v>15</v>
      </c>
      <c r="K860">
        <v>1</v>
      </c>
      <c r="L860" t="s">
        <v>35</v>
      </c>
      <c r="Q860" t="str">
        <f>IF(Team_Level[[#This Row],[Result]]="","",COUNTIFS(Team_Level[Team],Team_Level[[#This Row],[Team]],Team_Level[Date],"&gt;="&amp;Team_Level[[#This Row],[Date]],Team_Level[Result],"&lt;&gt;"))</f>
        <v/>
      </c>
      <c r="R860" t="str">
        <f>Team_Level[[#This Row],[Team]]&amp;"-"&amp;Team_Level[[#This Row],[Recency Rank]]</f>
        <v>Huddersfield Town-</v>
      </c>
      <c r="S860" t="str">
        <f>IF(Team_Level[[#This Row],[Result]]="","",COUNTIFS(Team_Level[Team],Team_Level[[#This Row],[Team]],Team_Level[Date],"&lt;="&amp;Team_Level[[#This Row],[Date]],Team_Level[Result],"&lt;&gt;"))</f>
        <v/>
      </c>
      <c r="T860" t="str">
        <f>Team_Level[[#This Row],[Team]]&amp;"-"&amp;Team_Level[[#This Row],[Chrono Rank]]</f>
        <v>Huddersfield Town-</v>
      </c>
    </row>
    <row r="861" spans="1:20" x14ac:dyDescent="0.25">
      <c r="A861" t="s">
        <v>386</v>
      </c>
      <c r="B861" s="6">
        <v>46406</v>
      </c>
      <c r="C861" t="s">
        <v>19</v>
      </c>
      <c r="D861" t="s">
        <v>16</v>
      </c>
      <c r="K861">
        <v>1</v>
      </c>
      <c r="L861" t="s">
        <v>35</v>
      </c>
      <c r="Q861" t="str">
        <f>IF(Team_Level[[#This Row],[Result]]="","",COUNTIFS(Team_Level[Team],Team_Level[[#This Row],[Team]],Team_Level[Date],"&gt;="&amp;Team_Level[[#This Row],[Date]],Team_Level[Result],"&lt;&gt;"))</f>
        <v/>
      </c>
      <c r="R861" t="str">
        <f>Team_Level[[#This Row],[Team]]&amp;"-"&amp;Team_Level[[#This Row],[Recency Rank]]</f>
        <v>Stevenage-</v>
      </c>
      <c r="S861" t="str">
        <f>IF(Team_Level[[#This Row],[Result]]="","",COUNTIFS(Team_Level[Team],Team_Level[[#This Row],[Team]],Team_Level[Date],"&lt;="&amp;Team_Level[[#This Row],[Date]],Team_Level[Result],"&lt;&gt;"))</f>
        <v/>
      </c>
      <c r="T861" t="str">
        <f>Team_Level[[#This Row],[Team]]&amp;"-"&amp;Team_Level[[#This Row],[Chrono Rank]]</f>
        <v>Stevenage-</v>
      </c>
    </row>
    <row r="862" spans="1:20" x14ac:dyDescent="0.25">
      <c r="A862" t="s">
        <v>387</v>
      </c>
      <c r="B862" s="6">
        <v>46406</v>
      </c>
      <c r="C862" t="s">
        <v>13</v>
      </c>
      <c r="D862" t="s">
        <v>18</v>
      </c>
      <c r="K862">
        <v>1</v>
      </c>
      <c r="L862" t="s">
        <v>35</v>
      </c>
      <c r="Q862" t="str">
        <f>IF(Team_Level[[#This Row],[Result]]="","",COUNTIFS(Team_Level[Team],Team_Level[[#This Row],[Team]],Team_Level[Date],"&gt;="&amp;Team_Level[[#This Row],[Date]],Team_Level[Result],"&lt;&gt;"))</f>
        <v/>
      </c>
      <c r="R862" t="str">
        <f>Team_Level[[#This Row],[Team]]&amp;"-"&amp;Team_Level[[#This Row],[Recency Rank]]</f>
        <v>Notts County-</v>
      </c>
      <c r="S862" t="str">
        <f>IF(Team_Level[[#This Row],[Result]]="","",COUNTIFS(Team_Level[Team],Team_Level[[#This Row],[Team]],Team_Level[Date],"&lt;="&amp;Team_Level[[#This Row],[Date]],Team_Level[Result],"&lt;&gt;"))</f>
        <v/>
      </c>
      <c r="T862" t="str">
        <f>Team_Level[[#This Row],[Team]]&amp;"-"&amp;Team_Level[[#This Row],[Chrono Rank]]</f>
        <v>Notts County-</v>
      </c>
    </row>
    <row r="863" spans="1:20" x14ac:dyDescent="0.25">
      <c r="A863" t="s">
        <v>388</v>
      </c>
      <c r="B863" s="6">
        <v>46406</v>
      </c>
      <c r="C863" t="s">
        <v>7</v>
      </c>
      <c r="D863" t="s">
        <v>20</v>
      </c>
      <c r="K863">
        <v>1</v>
      </c>
      <c r="L863" t="s">
        <v>35</v>
      </c>
      <c r="Q863" t="str">
        <f>IF(Team_Level[[#This Row],[Result]]="","",COUNTIFS(Team_Level[Team],Team_Level[[#This Row],[Team]],Team_Level[Date],"&gt;="&amp;Team_Level[[#This Row],[Date]],Team_Level[Result],"&lt;&gt;"))</f>
        <v/>
      </c>
      <c r="R863" t="str">
        <f>Team_Level[[#This Row],[Team]]&amp;"-"&amp;Team_Level[[#This Row],[Recency Rank]]</f>
        <v>Doncaster Rovers-</v>
      </c>
      <c r="S863" t="str">
        <f>IF(Team_Level[[#This Row],[Result]]="","",COUNTIFS(Team_Level[Team],Team_Level[[#This Row],[Team]],Team_Level[Date],"&lt;="&amp;Team_Level[[#This Row],[Date]],Team_Level[Result],"&lt;&gt;"))</f>
        <v/>
      </c>
      <c r="T863" t="str">
        <f>Team_Level[[#This Row],[Team]]&amp;"-"&amp;Team_Level[[#This Row],[Chrono Rank]]</f>
        <v>Doncaster Rovers-</v>
      </c>
    </row>
    <row r="864" spans="1:20" x14ac:dyDescent="0.25">
      <c r="A864" t="s">
        <v>389</v>
      </c>
      <c r="B864" s="6">
        <v>46406</v>
      </c>
      <c r="C864" t="s">
        <v>14</v>
      </c>
      <c r="D864" t="s">
        <v>21</v>
      </c>
      <c r="K864">
        <v>1</v>
      </c>
      <c r="L864" t="s">
        <v>35</v>
      </c>
      <c r="Q864" t="str">
        <f>IF(Team_Level[[#This Row],[Result]]="","",COUNTIFS(Team_Level[Team],Team_Level[[#This Row],[Team]],Team_Level[Date],"&gt;="&amp;Team_Level[[#This Row],[Date]],Team_Level[Result],"&lt;&gt;"))</f>
        <v/>
      </c>
      <c r="R864" t="str">
        <f>Team_Level[[#This Row],[Team]]&amp;"-"&amp;Team_Level[[#This Row],[Recency Rank]]</f>
        <v>Oxford United-</v>
      </c>
      <c r="S864" t="str">
        <f>IF(Team_Level[[#This Row],[Result]]="","",COUNTIFS(Team_Level[Team],Team_Level[[#This Row],[Team]],Team_Level[Date],"&lt;="&amp;Team_Level[[#This Row],[Date]],Team_Level[Result],"&lt;&gt;"))</f>
        <v/>
      </c>
      <c r="T864" t="str">
        <f>Team_Level[[#This Row],[Team]]&amp;"-"&amp;Team_Level[[#This Row],[Chrono Rank]]</f>
        <v>Oxford United-</v>
      </c>
    </row>
    <row r="865" spans="1:20" x14ac:dyDescent="0.25">
      <c r="A865" t="s">
        <v>390</v>
      </c>
      <c r="B865" s="6">
        <v>46406</v>
      </c>
      <c r="C865" t="s">
        <v>6</v>
      </c>
      <c r="D865" t="s">
        <v>22</v>
      </c>
      <c r="K865">
        <v>1</v>
      </c>
      <c r="L865" t="s">
        <v>35</v>
      </c>
      <c r="Q865" t="str">
        <f>IF(Team_Level[[#This Row],[Result]]="","",COUNTIFS(Team_Level[Team],Team_Level[[#This Row],[Team]],Team_Level[Date],"&gt;="&amp;Team_Level[[#This Row],[Date]],Team_Level[Result],"&lt;&gt;"))</f>
        <v/>
      </c>
      <c r="R865" t="str">
        <f>Team_Level[[#This Row],[Team]]&amp;"-"&amp;Team_Level[[#This Row],[Recency Rank]]</f>
        <v>Cambridge United-</v>
      </c>
      <c r="S865" t="str">
        <f>IF(Team_Level[[#This Row],[Result]]="","",COUNTIFS(Team_Level[Team],Team_Level[[#This Row],[Team]],Team_Level[Date],"&lt;="&amp;Team_Level[[#This Row],[Date]],Team_Level[Result],"&lt;&gt;"))</f>
        <v/>
      </c>
      <c r="T865" t="str">
        <f>Team_Level[[#This Row],[Team]]&amp;"-"&amp;Team_Level[[#This Row],[Chrono Rank]]</f>
        <v>Cambridge United-</v>
      </c>
    </row>
    <row r="866" spans="1:20" x14ac:dyDescent="0.25">
      <c r="A866" t="s">
        <v>391</v>
      </c>
      <c r="B866" s="6">
        <v>46410</v>
      </c>
      <c r="C866" t="s">
        <v>17</v>
      </c>
      <c r="D866" t="s">
        <v>1</v>
      </c>
      <c r="K866">
        <v>1</v>
      </c>
      <c r="L866" t="s">
        <v>35</v>
      </c>
      <c r="Q866" t="str">
        <f>IF(Team_Level[[#This Row],[Result]]="","",COUNTIFS(Team_Level[Team],Team_Level[[#This Row],[Team]],Team_Level[Date],"&gt;="&amp;Team_Level[[#This Row],[Date]],Team_Level[Result],"&lt;&gt;"))</f>
        <v/>
      </c>
      <c r="R866" t="str">
        <f>Team_Level[[#This Row],[Team]]&amp;"-"&amp;Team_Level[[#This Row],[Recency Rank]]</f>
        <v>Reading-</v>
      </c>
      <c r="S866" t="str">
        <f>IF(Team_Level[[#This Row],[Result]]="","",COUNTIFS(Team_Level[Team],Team_Level[[#This Row],[Team]],Team_Level[Date],"&lt;="&amp;Team_Level[[#This Row],[Date]],Team_Level[Result],"&lt;&gt;"))</f>
        <v/>
      </c>
      <c r="T866" t="str">
        <f>Team_Level[[#This Row],[Team]]&amp;"-"&amp;Team_Level[[#This Row],[Chrono Rank]]</f>
        <v>Reading-</v>
      </c>
    </row>
    <row r="867" spans="1:20" x14ac:dyDescent="0.25">
      <c r="A867" t="s">
        <v>392</v>
      </c>
      <c r="B867" s="6">
        <v>46410</v>
      </c>
      <c r="C867" t="s">
        <v>14</v>
      </c>
      <c r="D867" t="s">
        <v>3</v>
      </c>
      <c r="K867">
        <v>1</v>
      </c>
      <c r="L867" t="s">
        <v>35</v>
      </c>
      <c r="Q867" t="str">
        <f>IF(Team_Level[[#This Row],[Result]]="","",COUNTIFS(Team_Level[Team],Team_Level[[#This Row],[Team]],Team_Level[Date],"&gt;="&amp;Team_Level[[#This Row],[Date]],Team_Level[Result],"&lt;&gt;"))</f>
        <v/>
      </c>
      <c r="R867" t="str">
        <f>Team_Level[[#This Row],[Team]]&amp;"-"&amp;Team_Level[[#This Row],[Recency Rank]]</f>
        <v>Oxford United-</v>
      </c>
      <c r="S867" t="str">
        <f>IF(Team_Level[[#This Row],[Result]]="","",COUNTIFS(Team_Level[Team],Team_Level[[#This Row],[Team]],Team_Level[Date],"&lt;="&amp;Team_Level[[#This Row],[Date]],Team_Level[Result],"&lt;&gt;"))</f>
        <v/>
      </c>
      <c r="T867" t="str">
        <f>Team_Level[[#This Row],[Team]]&amp;"-"&amp;Team_Level[[#This Row],[Chrono Rank]]</f>
        <v>Oxford United-</v>
      </c>
    </row>
    <row r="868" spans="1:20" x14ac:dyDescent="0.25">
      <c r="A868" t="s">
        <v>393</v>
      </c>
      <c r="B868" s="6">
        <v>46410</v>
      </c>
      <c r="C868" t="s">
        <v>11</v>
      </c>
      <c r="D868" t="s">
        <v>9</v>
      </c>
      <c r="K868">
        <v>1</v>
      </c>
      <c r="L868" t="s">
        <v>35</v>
      </c>
      <c r="Q868" t="str">
        <f>IF(Team_Level[[#This Row],[Result]]="","",COUNTIFS(Team_Level[Team],Team_Level[[#This Row],[Team]],Team_Level[Date],"&gt;="&amp;Team_Level[[#This Row],[Date]],Team_Level[Result],"&lt;&gt;"))</f>
        <v/>
      </c>
      <c r="R868" t="str">
        <f>Team_Level[[#This Row],[Team]]&amp;"-"&amp;Team_Level[[#This Row],[Recency Rank]]</f>
        <v>Luton Town-</v>
      </c>
      <c r="S868" t="str">
        <f>IF(Team_Level[[#This Row],[Result]]="","",COUNTIFS(Team_Level[Team],Team_Level[[#This Row],[Team]],Team_Level[Date],"&lt;="&amp;Team_Level[[#This Row],[Date]],Team_Level[Result],"&lt;&gt;"))</f>
        <v/>
      </c>
      <c r="T868" t="str">
        <f>Team_Level[[#This Row],[Team]]&amp;"-"&amp;Team_Level[[#This Row],[Chrono Rank]]</f>
        <v>Luton Town-</v>
      </c>
    </row>
    <row r="869" spans="1:20" x14ac:dyDescent="0.25">
      <c r="A869" t="s">
        <v>394</v>
      </c>
      <c r="B869" s="6">
        <v>46410</v>
      </c>
      <c r="C869" t="s">
        <v>5</v>
      </c>
      <c r="D869" t="s">
        <v>10</v>
      </c>
      <c r="K869">
        <v>1</v>
      </c>
      <c r="L869" t="s">
        <v>35</v>
      </c>
      <c r="Q869" t="str">
        <f>IF(Team_Level[[#This Row],[Result]]="","",COUNTIFS(Team_Level[Team],Team_Level[[#This Row],[Team]],Team_Level[Date],"&gt;="&amp;Team_Level[[#This Row],[Date]],Team_Level[Result],"&lt;&gt;"))</f>
        <v/>
      </c>
      <c r="R869" t="str">
        <f>Team_Level[[#This Row],[Team]]&amp;"-"&amp;Team_Level[[#This Row],[Recency Rank]]</f>
        <v>Burton Albion-</v>
      </c>
      <c r="S869" t="str">
        <f>IF(Team_Level[[#This Row],[Result]]="","",COUNTIFS(Team_Level[Team],Team_Level[[#This Row],[Team]],Team_Level[Date],"&lt;="&amp;Team_Level[[#This Row],[Date]],Team_Level[Result],"&lt;&gt;"))</f>
        <v/>
      </c>
      <c r="T869" t="str">
        <f>Team_Level[[#This Row],[Team]]&amp;"-"&amp;Team_Level[[#This Row],[Chrono Rank]]</f>
        <v>Burton Albion-</v>
      </c>
    </row>
    <row r="870" spans="1:20" x14ac:dyDescent="0.25">
      <c r="A870" t="s">
        <v>395</v>
      </c>
      <c r="B870" s="6">
        <v>46410</v>
      </c>
      <c r="C870" t="s">
        <v>2</v>
      </c>
      <c r="D870" t="s">
        <v>12</v>
      </c>
      <c r="K870">
        <v>1</v>
      </c>
      <c r="L870" t="s">
        <v>35</v>
      </c>
      <c r="Q870" t="str">
        <f>IF(Team_Level[[#This Row],[Result]]="","",COUNTIFS(Team_Level[Team],Team_Level[[#This Row],[Team]],Team_Level[Date],"&gt;="&amp;Team_Level[[#This Row],[Date]],Team_Level[Result],"&lt;&gt;"))</f>
        <v/>
      </c>
      <c r="R870" t="str">
        <f>Team_Level[[#This Row],[Team]]&amp;"-"&amp;Team_Level[[#This Row],[Recency Rank]]</f>
        <v>Blackpool-</v>
      </c>
      <c r="S870" t="str">
        <f>IF(Team_Level[[#This Row],[Result]]="","",COUNTIFS(Team_Level[Team],Team_Level[[#This Row],[Team]],Team_Level[Date],"&lt;="&amp;Team_Level[[#This Row],[Date]],Team_Level[Result],"&lt;&gt;"))</f>
        <v/>
      </c>
      <c r="T870" t="str">
        <f>Team_Level[[#This Row],[Team]]&amp;"-"&amp;Team_Level[[#This Row],[Chrono Rank]]</f>
        <v>Blackpool-</v>
      </c>
    </row>
    <row r="871" spans="1:20" x14ac:dyDescent="0.25">
      <c r="A871" t="s">
        <v>396</v>
      </c>
      <c r="B871" s="6">
        <v>46410</v>
      </c>
      <c r="C871" t="s">
        <v>19</v>
      </c>
      <c r="D871" t="s">
        <v>33</v>
      </c>
      <c r="K871">
        <v>1</v>
      </c>
      <c r="L871" t="s">
        <v>35</v>
      </c>
      <c r="Q871" t="str">
        <f>IF(Team_Level[[#This Row],[Result]]="","",COUNTIFS(Team_Level[Team],Team_Level[[#This Row],[Team]],Team_Level[Date],"&gt;="&amp;Team_Level[[#This Row],[Date]],Team_Level[Result],"&lt;&gt;"))</f>
        <v/>
      </c>
      <c r="R871" t="str">
        <f>Team_Level[[#This Row],[Team]]&amp;"-"&amp;Team_Level[[#This Row],[Recency Rank]]</f>
        <v>Stevenage-</v>
      </c>
      <c r="S871" t="str">
        <f>IF(Team_Level[[#This Row],[Result]]="","",COUNTIFS(Team_Level[Team],Team_Level[[#This Row],[Team]],Team_Level[Date],"&lt;="&amp;Team_Level[[#This Row],[Date]],Team_Level[Result],"&lt;&gt;"))</f>
        <v/>
      </c>
      <c r="T871" t="str">
        <f>Team_Level[[#This Row],[Team]]&amp;"-"&amp;Team_Level[[#This Row],[Chrono Rank]]</f>
        <v>Stevenage-</v>
      </c>
    </row>
    <row r="872" spans="1:20" x14ac:dyDescent="0.25">
      <c r="A872" t="s">
        <v>397</v>
      </c>
      <c r="B872" s="6">
        <v>46410</v>
      </c>
      <c r="C872" t="s">
        <v>4</v>
      </c>
      <c r="D872" t="s">
        <v>15</v>
      </c>
      <c r="K872">
        <v>1</v>
      </c>
      <c r="L872" t="s">
        <v>35</v>
      </c>
      <c r="Q872" t="str">
        <f>IF(Team_Level[[#This Row],[Result]]="","",COUNTIFS(Team_Level[Team],Team_Level[[#This Row],[Team]],Team_Level[Date],"&gt;="&amp;Team_Level[[#This Row],[Date]],Team_Level[Result],"&lt;&gt;"))</f>
        <v/>
      </c>
      <c r="R872" t="str">
        <f>Team_Level[[#This Row],[Team]]&amp;"-"&amp;Team_Level[[#This Row],[Recency Rank]]</f>
        <v>Bromley-</v>
      </c>
      <c r="S872" t="str">
        <f>IF(Team_Level[[#This Row],[Result]]="","",COUNTIFS(Team_Level[Team],Team_Level[[#This Row],[Team]],Team_Level[Date],"&lt;="&amp;Team_Level[[#This Row],[Date]],Team_Level[Result],"&lt;&gt;"))</f>
        <v/>
      </c>
      <c r="T872" t="str">
        <f>Team_Level[[#This Row],[Team]]&amp;"-"&amp;Team_Level[[#This Row],[Chrono Rank]]</f>
        <v>Bromley-</v>
      </c>
    </row>
    <row r="873" spans="1:20" x14ac:dyDescent="0.25">
      <c r="A873" t="s">
        <v>398</v>
      </c>
      <c r="B873" s="6">
        <v>46410</v>
      </c>
      <c r="C873" t="s">
        <v>6</v>
      </c>
      <c r="D873" t="s">
        <v>16</v>
      </c>
      <c r="K873">
        <v>1</v>
      </c>
      <c r="L873" t="s">
        <v>35</v>
      </c>
      <c r="Q873" t="str">
        <f>IF(Team_Level[[#This Row],[Result]]="","",COUNTIFS(Team_Level[Team],Team_Level[[#This Row],[Team]],Team_Level[Date],"&gt;="&amp;Team_Level[[#This Row],[Date]],Team_Level[Result],"&lt;&gt;"))</f>
        <v/>
      </c>
      <c r="R873" t="str">
        <f>Team_Level[[#This Row],[Team]]&amp;"-"&amp;Team_Level[[#This Row],[Recency Rank]]</f>
        <v>Cambridge United-</v>
      </c>
      <c r="S873" t="str">
        <f>IF(Team_Level[[#This Row],[Result]]="","",COUNTIFS(Team_Level[Team],Team_Level[[#This Row],[Team]],Team_Level[Date],"&lt;="&amp;Team_Level[[#This Row],[Date]],Team_Level[Result],"&lt;&gt;"))</f>
        <v/>
      </c>
      <c r="T873" t="str">
        <f>Team_Level[[#This Row],[Team]]&amp;"-"&amp;Team_Level[[#This Row],[Chrono Rank]]</f>
        <v>Cambridge United-</v>
      </c>
    </row>
    <row r="874" spans="1:20" x14ac:dyDescent="0.25">
      <c r="A874" t="s">
        <v>399</v>
      </c>
      <c r="B874" s="6">
        <v>46410</v>
      </c>
      <c r="C874" t="s">
        <v>7</v>
      </c>
      <c r="D874" t="s">
        <v>18</v>
      </c>
      <c r="K874">
        <v>1</v>
      </c>
      <c r="L874" t="s">
        <v>35</v>
      </c>
      <c r="Q874" t="str">
        <f>IF(Team_Level[[#This Row],[Result]]="","",COUNTIFS(Team_Level[Team],Team_Level[[#This Row],[Team]],Team_Level[Date],"&gt;="&amp;Team_Level[[#This Row],[Date]],Team_Level[Result],"&lt;&gt;"))</f>
        <v/>
      </c>
      <c r="R874" t="str">
        <f>Team_Level[[#This Row],[Team]]&amp;"-"&amp;Team_Level[[#This Row],[Recency Rank]]</f>
        <v>Doncaster Rovers-</v>
      </c>
      <c r="S874" t="str">
        <f>IF(Team_Level[[#This Row],[Result]]="","",COUNTIFS(Team_Level[Team],Team_Level[[#This Row],[Team]],Team_Level[Date],"&lt;="&amp;Team_Level[[#This Row],[Date]],Team_Level[Result],"&lt;&gt;"))</f>
        <v/>
      </c>
      <c r="T874" t="str">
        <f>Team_Level[[#This Row],[Team]]&amp;"-"&amp;Team_Level[[#This Row],[Chrono Rank]]</f>
        <v>Doncaster Rovers-</v>
      </c>
    </row>
    <row r="875" spans="1:20" x14ac:dyDescent="0.25">
      <c r="A875" t="s">
        <v>400</v>
      </c>
      <c r="B875" s="6">
        <v>46410</v>
      </c>
      <c r="C875" t="s">
        <v>13</v>
      </c>
      <c r="D875" t="s">
        <v>20</v>
      </c>
      <c r="K875">
        <v>1</v>
      </c>
      <c r="L875" t="s">
        <v>35</v>
      </c>
      <c r="Q875" t="str">
        <f>IF(Team_Level[[#This Row],[Result]]="","",COUNTIFS(Team_Level[Team],Team_Level[[#This Row],[Team]],Team_Level[Date],"&gt;="&amp;Team_Level[[#This Row],[Date]],Team_Level[Result],"&lt;&gt;"))</f>
        <v/>
      </c>
      <c r="R875" t="str">
        <f>Team_Level[[#This Row],[Team]]&amp;"-"&amp;Team_Level[[#This Row],[Recency Rank]]</f>
        <v>Notts County-</v>
      </c>
      <c r="S875" t="str">
        <f>IF(Team_Level[[#This Row],[Result]]="","",COUNTIFS(Team_Level[Team],Team_Level[[#This Row],[Team]],Team_Level[Date],"&lt;="&amp;Team_Level[[#This Row],[Date]],Team_Level[Result],"&lt;&gt;"))</f>
        <v/>
      </c>
      <c r="T875" t="str">
        <f>Team_Level[[#This Row],[Team]]&amp;"-"&amp;Team_Level[[#This Row],[Chrono Rank]]</f>
        <v>Notts County-</v>
      </c>
    </row>
    <row r="876" spans="1:20" x14ac:dyDescent="0.25">
      <c r="A876" t="s">
        <v>401</v>
      </c>
      <c r="B876" s="6">
        <v>46410</v>
      </c>
      <c r="C876" t="s">
        <v>8</v>
      </c>
      <c r="D876" t="s">
        <v>21</v>
      </c>
      <c r="K876">
        <v>1</v>
      </c>
      <c r="L876" t="s">
        <v>35</v>
      </c>
      <c r="Q876" t="str">
        <f>IF(Team_Level[[#This Row],[Result]]="","",COUNTIFS(Team_Level[Team],Team_Level[[#This Row],[Team]],Team_Level[Date],"&gt;="&amp;Team_Level[[#This Row],[Date]],Team_Level[Result],"&lt;&gt;"))</f>
        <v/>
      </c>
      <c r="R876" t="str">
        <f>Team_Level[[#This Row],[Team]]&amp;"-"&amp;Team_Level[[#This Row],[Recency Rank]]</f>
        <v>Huddersfield Town-</v>
      </c>
      <c r="S876" t="str">
        <f>IF(Team_Level[[#This Row],[Result]]="","",COUNTIFS(Team_Level[Team],Team_Level[[#This Row],[Team]],Team_Level[Date],"&lt;="&amp;Team_Level[[#This Row],[Date]],Team_Level[Result],"&lt;&gt;"))</f>
        <v/>
      </c>
      <c r="T876" t="str">
        <f>Team_Level[[#This Row],[Team]]&amp;"-"&amp;Team_Level[[#This Row],[Chrono Rank]]</f>
        <v>Huddersfield Town-</v>
      </c>
    </row>
    <row r="877" spans="1:20" x14ac:dyDescent="0.25">
      <c r="A877" t="s">
        <v>402</v>
      </c>
      <c r="B877" s="6">
        <v>46410</v>
      </c>
      <c r="C877" t="s">
        <v>0</v>
      </c>
      <c r="D877" t="s">
        <v>22</v>
      </c>
      <c r="K877">
        <v>1</v>
      </c>
      <c r="L877" t="s">
        <v>35</v>
      </c>
      <c r="Q877" t="str">
        <f>IF(Team_Level[[#This Row],[Result]]="","",COUNTIFS(Team_Level[Team],Team_Level[[#This Row],[Team]],Team_Level[Date],"&gt;="&amp;Team_Level[[#This Row],[Date]],Team_Level[Result],"&lt;&gt;"))</f>
        <v/>
      </c>
      <c r="R877" t="str">
        <f>Team_Level[[#This Row],[Team]]&amp;"-"&amp;Team_Level[[#This Row],[Recency Rank]]</f>
        <v>AFC Wimbledon-</v>
      </c>
      <c r="S877" t="str">
        <f>IF(Team_Level[[#This Row],[Result]]="","",COUNTIFS(Team_Level[Team],Team_Level[[#This Row],[Team]],Team_Level[Date],"&lt;="&amp;Team_Level[[#This Row],[Date]],Team_Level[Result],"&lt;&gt;"))</f>
        <v/>
      </c>
      <c r="T877" t="str">
        <f>Team_Level[[#This Row],[Team]]&amp;"-"&amp;Team_Level[[#This Row],[Chrono Rank]]</f>
        <v>AFC Wimbledon-</v>
      </c>
    </row>
    <row r="878" spans="1:20" x14ac:dyDescent="0.25">
      <c r="A878" t="s">
        <v>403</v>
      </c>
      <c r="B878" s="6">
        <v>46417</v>
      </c>
      <c r="C878" t="s">
        <v>20</v>
      </c>
      <c r="D878" t="s">
        <v>0</v>
      </c>
      <c r="K878">
        <v>1</v>
      </c>
      <c r="L878" t="s">
        <v>35</v>
      </c>
      <c r="Q878" t="str">
        <f>IF(Team_Level[[#This Row],[Result]]="","",COUNTIFS(Team_Level[Team],Team_Level[[#This Row],[Team]],Team_Level[Date],"&gt;="&amp;Team_Level[[#This Row],[Date]],Team_Level[Result],"&lt;&gt;"))</f>
        <v/>
      </c>
      <c r="R878" t="str">
        <f>Team_Level[[#This Row],[Team]]&amp;"-"&amp;Team_Level[[#This Row],[Recency Rank]]</f>
        <v>Stockport County-</v>
      </c>
      <c r="S878" t="str">
        <f>IF(Team_Level[[#This Row],[Result]]="","",COUNTIFS(Team_Level[Team],Team_Level[[#This Row],[Team]],Team_Level[Date],"&lt;="&amp;Team_Level[[#This Row],[Date]],Team_Level[Result],"&lt;&gt;"))</f>
        <v/>
      </c>
      <c r="T878" t="str">
        <f>Team_Level[[#This Row],[Team]]&amp;"-"&amp;Team_Level[[#This Row],[Chrono Rank]]</f>
        <v>Stockport County-</v>
      </c>
    </row>
    <row r="879" spans="1:20" x14ac:dyDescent="0.25">
      <c r="A879" t="s">
        <v>404</v>
      </c>
      <c r="B879" s="6">
        <v>46417</v>
      </c>
      <c r="C879" t="s">
        <v>18</v>
      </c>
      <c r="D879" t="s">
        <v>2</v>
      </c>
      <c r="K879">
        <v>1</v>
      </c>
      <c r="L879" t="s">
        <v>35</v>
      </c>
      <c r="Q879" t="str">
        <f>IF(Team_Level[[#This Row],[Result]]="","",COUNTIFS(Team_Level[Team],Team_Level[[#This Row],[Team]],Team_Level[Date],"&gt;="&amp;Team_Level[[#This Row],[Date]],Team_Level[Result],"&lt;&gt;"))</f>
        <v/>
      </c>
      <c r="R879" t="str">
        <f>Team_Level[[#This Row],[Team]]&amp;"-"&amp;Team_Level[[#This Row],[Recency Rank]]</f>
        <v>Sheffield Wednesday-</v>
      </c>
      <c r="S879" t="str">
        <f>IF(Team_Level[[#This Row],[Result]]="","",COUNTIFS(Team_Level[Team],Team_Level[[#This Row],[Team]],Team_Level[Date],"&lt;="&amp;Team_Level[[#This Row],[Date]],Team_Level[Result],"&lt;&gt;"))</f>
        <v/>
      </c>
      <c r="T879" t="str">
        <f>Team_Level[[#This Row],[Team]]&amp;"-"&amp;Team_Level[[#This Row],[Chrono Rank]]</f>
        <v>Sheffield Wednesday-</v>
      </c>
    </row>
    <row r="880" spans="1:20" x14ac:dyDescent="0.25">
      <c r="A880" t="s">
        <v>405</v>
      </c>
      <c r="B880" s="6">
        <v>46417</v>
      </c>
      <c r="C880" t="s">
        <v>21</v>
      </c>
      <c r="D880" t="s">
        <v>4</v>
      </c>
      <c r="K880">
        <v>1</v>
      </c>
      <c r="L880" t="s">
        <v>35</v>
      </c>
      <c r="Q880" t="str">
        <f>IF(Team_Level[[#This Row],[Result]]="","",COUNTIFS(Team_Level[Team],Team_Level[[#This Row],[Team]],Team_Level[Date],"&gt;="&amp;Team_Level[[#This Row],[Date]],Team_Level[Result],"&lt;&gt;"))</f>
        <v/>
      </c>
      <c r="R880" t="str">
        <f>Team_Level[[#This Row],[Team]]&amp;"-"&amp;Team_Level[[#This Row],[Recency Rank]]</f>
        <v>Wigan Athletic-</v>
      </c>
      <c r="S880" t="str">
        <f>IF(Team_Level[[#This Row],[Result]]="","",COUNTIFS(Team_Level[Team],Team_Level[[#This Row],[Team]],Team_Level[Date],"&lt;="&amp;Team_Level[[#This Row],[Date]],Team_Level[Result],"&lt;&gt;"))</f>
        <v/>
      </c>
      <c r="T880" t="str">
        <f>Team_Level[[#This Row],[Team]]&amp;"-"&amp;Team_Level[[#This Row],[Chrono Rank]]</f>
        <v>Wigan Athletic-</v>
      </c>
    </row>
    <row r="881" spans="1:20" x14ac:dyDescent="0.25">
      <c r="A881" t="s">
        <v>406</v>
      </c>
      <c r="B881" s="6">
        <v>46417</v>
      </c>
      <c r="C881" t="s">
        <v>22</v>
      </c>
      <c r="D881" t="s">
        <v>5</v>
      </c>
      <c r="K881">
        <v>1</v>
      </c>
      <c r="L881" t="s">
        <v>35</v>
      </c>
      <c r="Q881" t="str">
        <f>IF(Team_Level[[#This Row],[Result]]="","",COUNTIFS(Team_Level[Team],Team_Level[[#This Row],[Team]],Team_Level[Date],"&gt;="&amp;Team_Level[[#This Row],[Date]],Team_Level[Result],"&lt;&gt;"))</f>
        <v/>
      </c>
      <c r="R881" t="str">
        <f>Team_Level[[#This Row],[Team]]&amp;"-"&amp;Team_Level[[#This Row],[Recency Rank]]</f>
        <v>Wycombe Wanderers-</v>
      </c>
      <c r="S881" t="str">
        <f>IF(Team_Level[[#This Row],[Result]]="","",COUNTIFS(Team_Level[Team],Team_Level[[#This Row],[Team]],Team_Level[Date],"&lt;="&amp;Team_Level[[#This Row],[Date]],Team_Level[Result],"&lt;&gt;"))</f>
        <v/>
      </c>
      <c r="T881" t="str">
        <f>Team_Level[[#This Row],[Team]]&amp;"-"&amp;Team_Level[[#This Row],[Chrono Rank]]</f>
        <v>Wycombe Wanderers-</v>
      </c>
    </row>
    <row r="882" spans="1:20" x14ac:dyDescent="0.25">
      <c r="A882" t="s">
        <v>407</v>
      </c>
      <c r="B882" s="6">
        <v>46417</v>
      </c>
      <c r="C882" t="s">
        <v>10</v>
      </c>
      <c r="D882" t="s">
        <v>6</v>
      </c>
      <c r="K882">
        <v>1</v>
      </c>
      <c r="L882" t="s">
        <v>35</v>
      </c>
      <c r="Q882" t="str">
        <f>IF(Team_Level[[#This Row],[Result]]="","",COUNTIFS(Team_Level[Team],Team_Level[[#This Row],[Team]],Team_Level[Date],"&gt;="&amp;Team_Level[[#This Row],[Date]],Team_Level[Result],"&lt;&gt;"))</f>
        <v/>
      </c>
      <c r="R882" t="str">
        <f>Team_Level[[#This Row],[Team]]&amp;"-"&amp;Team_Level[[#This Row],[Recency Rank]]</f>
        <v>Leyton Orient-</v>
      </c>
      <c r="S882" t="str">
        <f>IF(Team_Level[[#This Row],[Result]]="","",COUNTIFS(Team_Level[Team],Team_Level[[#This Row],[Team]],Team_Level[Date],"&lt;="&amp;Team_Level[[#This Row],[Date]],Team_Level[Result],"&lt;&gt;"))</f>
        <v/>
      </c>
      <c r="T882" t="str">
        <f>Team_Level[[#This Row],[Team]]&amp;"-"&amp;Team_Level[[#This Row],[Chrono Rank]]</f>
        <v>Leyton Orient-</v>
      </c>
    </row>
    <row r="883" spans="1:20" x14ac:dyDescent="0.25">
      <c r="A883" t="s">
        <v>408</v>
      </c>
      <c r="B883" s="6">
        <v>46417</v>
      </c>
      <c r="C883" t="s">
        <v>33</v>
      </c>
      <c r="D883" t="s">
        <v>7</v>
      </c>
      <c r="K883">
        <v>1</v>
      </c>
      <c r="L883" t="s">
        <v>35</v>
      </c>
      <c r="Q883" t="str">
        <f>IF(Team_Level[[#This Row],[Result]]="","",COUNTIFS(Team_Level[Team],Team_Level[[#This Row],[Team]],Team_Level[Date],"&gt;="&amp;Team_Level[[#This Row],[Date]],Team_Level[Result],"&lt;&gt;"))</f>
        <v/>
      </c>
      <c r="R883" t="str">
        <f>Team_Level[[#This Row],[Team]]&amp;"-"&amp;Team_Level[[#This Row],[Recency Rank]]</f>
        <v>Milton Keynes Dons-</v>
      </c>
      <c r="S883" t="str">
        <f>IF(Team_Level[[#This Row],[Result]]="","",COUNTIFS(Team_Level[Team],Team_Level[[#This Row],[Team]],Team_Level[Date],"&lt;="&amp;Team_Level[[#This Row],[Date]],Team_Level[Result],"&lt;&gt;"))</f>
        <v/>
      </c>
      <c r="T883" t="str">
        <f>Team_Level[[#This Row],[Team]]&amp;"-"&amp;Team_Level[[#This Row],[Chrono Rank]]</f>
        <v>Milton Keynes Dons-</v>
      </c>
    </row>
    <row r="884" spans="1:20" x14ac:dyDescent="0.25">
      <c r="A884" t="s">
        <v>409</v>
      </c>
      <c r="B884" s="6">
        <v>46417</v>
      </c>
      <c r="C884" t="s">
        <v>3</v>
      </c>
      <c r="D884" t="s">
        <v>8</v>
      </c>
      <c r="K884">
        <v>1</v>
      </c>
      <c r="L884" t="s">
        <v>35</v>
      </c>
      <c r="Q884" t="str">
        <f>IF(Team_Level[[#This Row],[Result]]="","",COUNTIFS(Team_Level[Team],Team_Level[[#This Row],[Team]],Team_Level[Date],"&gt;="&amp;Team_Level[[#This Row],[Date]],Team_Level[Result],"&lt;&gt;"))</f>
        <v/>
      </c>
      <c r="R884" t="str">
        <f>Team_Level[[#This Row],[Team]]&amp;"-"&amp;Team_Level[[#This Row],[Recency Rank]]</f>
        <v>Bradford City-</v>
      </c>
      <c r="S884" t="str">
        <f>IF(Team_Level[[#This Row],[Result]]="","",COUNTIFS(Team_Level[Team],Team_Level[[#This Row],[Team]],Team_Level[Date],"&lt;="&amp;Team_Level[[#This Row],[Date]],Team_Level[Result],"&lt;&gt;"))</f>
        <v/>
      </c>
      <c r="T884" t="str">
        <f>Team_Level[[#This Row],[Team]]&amp;"-"&amp;Team_Level[[#This Row],[Chrono Rank]]</f>
        <v>Bradford City-</v>
      </c>
    </row>
    <row r="885" spans="1:20" x14ac:dyDescent="0.25">
      <c r="A885" t="s">
        <v>410</v>
      </c>
      <c r="B885" s="6">
        <v>46417</v>
      </c>
      <c r="C885" t="s">
        <v>15</v>
      </c>
      <c r="D885" t="s">
        <v>11</v>
      </c>
      <c r="K885">
        <v>1</v>
      </c>
      <c r="L885" t="s">
        <v>35</v>
      </c>
      <c r="Q885" t="str">
        <f>IF(Team_Level[[#This Row],[Result]]="","",COUNTIFS(Team_Level[Team],Team_Level[[#This Row],[Team]],Team_Level[Date],"&gt;="&amp;Team_Level[[#This Row],[Date]],Team_Level[Result],"&lt;&gt;"))</f>
        <v/>
      </c>
      <c r="R885" t="str">
        <f>Team_Level[[#This Row],[Team]]&amp;"-"&amp;Team_Level[[#This Row],[Recency Rank]]</f>
        <v>Peterborough United-</v>
      </c>
      <c r="S885" t="str">
        <f>IF(Team_Level[[#This Row],[Result]]="","",COUNTIFS(Team_Level[Team],Team_Level[[#This Row],[Team]],Team_Level[Date],"&lt;="&amp;Team_Level[[#This Row],[Date]],Team_Level[Result],"&lt;&gt;"))</f>
        <v/>
      </c>
      <c r="T885" t="str">
        <f>Team_Level[[#This Row],[Team]]&amp;"-"&amp;Team_Level[[#This Row],[Chrono Rank]]</f>
        <v>Peterborough United-</v>
      </c>
    </row>
    <row r="886" spans="1:20" x14ac:dyDescent="0.25">
      <c r="A886" t="s">
        <v>411</v>
      </c>
      <c r="B886" s="6">
        <v>46417</v>
      </c>
      <c r="C886" t="s">
        <v>12</v>
      </c>
      <c r="D886" t="s">
        <v>13</v>
      </c>
      <c r="K886">
        <v>1</v>
      </c>
      <c r="L886" t="s">
        <v>35</v>
      </c>
      <c r="Q886" t="str">
        <f>IF(Team_Level[[#This Row],[Result]]="","",COUNTIFS(Team_Level[Team],Team_Level[[#This Row],[Team]],Team_Level[Date],"&gt;="&amp;Team_Level[[#This Row],[Date]],Team_Level[Result],"&lt;&gt;"))</f>
        <v/>
      </c>
      <c r="R886" t="str">
        <f>Team_Level[[#This Row],[Team]]&amp;"-"&amp;Team_Level[[#This Row],[Recency Rank]]</f>
        <v>Mansfield Town-</v>
      </c>
      <c r="S886" t="str">
        <f>IF(Team_Level[[#This Row],[Result]]="","",COUNTIFS(Team_Level[Team],Team_Level[[#This Row],[Team]],Team_Level[Date],"&lt;="&amp;Team_Level[[#This Row],[Date]],Team_Level[Result],"&lt;&gt;"))</f>
        <v/>
      </c>
      <c r="T886" t="str">
        <f>Team_Level[[#This Row],[Team]]&amp;"-"&amp;Team_Level[[#This Row],[Chrono Rank]]</f>
        <v>Mansfield Town-</v>
      </c>
    </row>
    <row r="887" spans="1:20" x14ac:dyDescent="0.25">
      <c r="A887" t="s">
        <v>412</v>
      </c>
      <c r="B887" s="6">
        <v>46417</v>
      </c>
      <c r="C887" t="s">
        <v>1</v>
      </c>
      <c r="D887" t="s">
        <v>14</v>
      </c>
      <c r="K887">
        <v>1</v>
      </c>
      <c r="L887" t="s">
        <v>35</v>
      </c>
      <c r="Q887" t="str">
        <f>IF(Team_Level[[#This Row],[Result]]="","",COUNTIFS(Team_Level[Team],Team_Level[[#This Row],[Team]],Team_Level[Date],"&gt;="&amp;Team_Level[[#This Row],[Date]],Team_Level[Result],"&lt;&gt;"))</f>
        <v/>
      </c>
      <c r="R887" t="str">
        <f>Team_Level[[#This Row],[Team]]&amp;"-"&amp;Team_Level[[#This Row],[Recency Rank]]</f>
        <v>Barnsley-</v>
      </c>
      <c r="S887" t="str">
        <f>IF(Team_Level[[#This Row],[Result]]="","",COUNTIFS(Team_Level[Team],Team_Level[[#This Row],[Team]],Team_Level[Date],"&lt;="&amp;Team_Level[[#This Row],[Date]],Team_Level[Result],"&lt;&gt;"))</f>
        <v/>
      </c>
      <c r="T887" t="str">
        <f>Team_Level[[#This Row],[Team]]&amp;"-"&amp;Team_Level[[#This Row],[Chrono Rank]]</f>
        <v>Barnsley-</v>
      </c>
    </row>
    <row r="888" spans="1:20" x14ac:dyDescent="0.25">
      <c r="A888" t="s">
        <v>413</v>
      </c>
      <c r="B888" s="6">
        <v>46417</v>
      </c>
      <c r="C888" t="s">
        <v>16</v>
      </c>
      <c r="D888" t="s">
        <v>17</v>
      </c>
      <c r="K888">
        <v>1</v>
      </c>
      <c r="L888" t="s">
        <v>35</v>
      </c>
      <c r="Q888" t="str">
        <f>IF(Team_Level[[#This Row],[Result]]="","",COUNTIFS(Team_Level[Team],Team_Level[[#This Row],[Team]],Team_Level[Date],"&gt;="&amp;Team_Level[[#This Row],[Date]],Team_Level[Result],"&lt;&gt;"))</f>
        <v/>
      </c>
      <c r="R888" t="str">
        <f>Team_Level[[#This Row],[Team]]&amp;"-"&amp;Team_Level[[#This Row],[Recency Rank]]</f>
        <v>Plymouth Argyle-</v>
      </c>
      <c r="S888" t="str">
        <f>IF(Team_Level[[#This Row],[Result]]="","",COUNTIFS(Team_Level[Team],Team_Level[[#This Row],[Team]],Team_Level[Date],"&lt;="&amp;Team_Level[[#This Row],[Date]],Team_Level[Result],"&lt;&gt;"))</f>
        <v/>
      </c>
      <c r="T888" t="str">
        <f>Team_Level[[#This Row],[Team]]&amp;"-"&amp;Team_Level[[#This Row],[Chrono Rank]]</f>
        <v>Plymouth Argyle-</v>
      </c>
    </row>
    <row r="889" spans="1:20" x14ac:dyDescent="0.25">
      <c r="A889" t="s">
        <v>414</v>
      </c>
      <c r="B889" s="6">
        <v>46417</v>
      </c>
      <c r="C889" t="s">
        <v>9</v>
      </c>
      <c r="D889" t="s">
        <v>19</v>
      </c>
      <c r="K889">
        <v>1</v>
      </c>
      <c r="L889" t="s">
        <v>35</v>
      </c>
      <c r="Q889" t="str">
        <f>IF(Team_Level[[#This Row],[Result]]="","",COUNTIFS(Team_Level[Team],Team_Level[[#This Row],[Team]],Team_Level[Date],"&gt;="&amp;Team_Level[[#This Row],[Date]],Team_Level[Result],"&lt;&gt;"))</f>
        <v/>
      </c>
      <c r="R889" t="str">
        <f>Team_Level[[#This Row],[Team]]&amp;"-"&amp;Team_Level[[#This Row],[Recency Rank]]</f>
        <v>Leicester City-</v>
      </c>
      <c r="S889" t="str">
        <f>IF(Team_Level[[#This Row],[Result]]="","",COUNTIFS(Team_Level[Team],Team_Level[[#This Row],[Team]],Team_Level[Date],"&lt;="&amp;Team_Level[[#This Row],[Date]],Team_Level[Result],"&lt;&gt;"))</f>
        <v/>
      </c>
      <c r="T889" t="str">
        <f>Team_Level[[#This Row],[Team]]&amp;"-"&amp;Team_Level[[#This Row],[Chrono Rank]]</f>
        <v>Leicester City-</v>
      </c>
    </row>
    <row r="890" spans="1:20" x14ac:dyDescent="0.25">
      <c r="A890" t="s">
        <v>415</v>
      </c>
      <c r="B890" s="6">
        <v>46424</v>
      </c>
      <c r="C890" t="s">
        <v>10</v>
      </c>
      <c r="D890" t="s">
        <v>1</v>
      </c>
      <c r="K890">
        <v>1</v>
      </c>
      <c r="L890" t="s">
        <v>35</v>
      </c>
      <c r="Q890" t="str">
        <f>IF(Team_Level[[#This Row],[Result]]="","",COUNTIFS(Team_Level[Team],Team_Level[[#This Row],[Team]],Team_Level[Date],"&gt;="&amp;Team_Level[[#This Row],[Date]],Team_Level[Result],"&lt;&gt;"))</f>
        <v/>
      </c>
      <c r="R890" t="str">
        <f>Team_Level[[#This Row],[Team]]&amp;"-"&amp;Team_Level[[#This Row],[Recency Rank]]</f>
        <v>Leyton Orient-</v>
      </c>
      <c r="S890" t="str">
        <f>IF(Team_Level[[#This Row],[Result]]="","",COUNTIFS(Team_Level[Team],Team_Level[[#This Row],[Team]],Team_Level[Date],"&lt;="&amp;Team_Level[[#This Row],[Date]],Team_Level[Result],"&lt;&gt;"))</f>
        <v/>
      </c>
      <c r="T890" t="str">
        <f>Team_Level[[#This Row],[Team]]&amp;"-"&amp;Team_Level[[#This Row],[Chrono Rank]]</f>
        <v>Leyton Orient-</v>
      </c>
    </row>
    <row r="891" spans="1:20" x14ac:dyDescent="0.25">
      <c r="A891" t="s">
        <v>416</v>
      </c>
      <c r="B891" s="6">
        <v>46424</v>
      </c>
      <c r="C891" t="s">
        <v>16</v>
      </c>
      <c r="D891" t="s">
        <v>3</v>
      </c>
      <c r="K891">
        <v>1</v>
      </c>
      <c r="L891" t="s">
        <v>35</v>
      </c>
      <c r="Q891" t="str">
        <f>IF(Team_Level[[#This Row],[Result]]="","",COUNTIFS(Team_Level[Team],Team_Level[[#This Row],[Team]],Team_Level[Date],"&gt;="&amp;Team_Level[[#This Row],[Date]],Team_Level[Result],"&lt;&gt;"))</f>
        <v/>
      </c>
      <c r="R891" t="str">
        <f>Team_Level[[#This Row],[Team]]&amp;"-"&amp;Team_Level[[#This Row],[Recency Rank]]</f>
        <v>Plymouth Argyle-</v>
      </c>
      <c r="S891" t="str">
        <f>IF(Team_Level[[#This Row],[Result]]="","",COUNTIFS(Team_Level[Team],Team_Level[[#This Row],[Team]],Team_Level[Date],"&lt;="&amp;Team_Level[[#This Row],[Date]],Team_Level[Result],"&lt;&gt;"))</f>
        <v/>
      </c>
      <c r="T891" t="str">
        <f>Team_Level[[#This Row],[Team]]&amp;"-"&amp;Team_Level[[#This Row],[Chrono Rank]]</f>
        <v>Plymouth Argyle-</v>
      </c>
    </row>
    <row r="892" spans="1:20" x14ac:dyDescent="0.25">
      <c r="A892" t="s">
        <v>417</v>
      </c>
      <c r="B892" s="6">
        <v>46424</v>
      </c>
      <c r="C892" t="s">
        <v>18</v>
      </c>
      <c r="D892" t="s">
        <v>4</v>
      </c>
      <c r="K892">
        <v>1</v>
      </c>
      <c r="L892" t="s">
        <v>35</v>
      </c>
      <c r="Q892" t="str">
        <f>IF(Team_Level[[#This Row],[Result]]="","",COUNTIFS(Team_Level[Team],Team_Level[[#This Row],[Team]],Team_Level[Date],"&gt;="&amp;Team_Level[[#This Row],[Date]],Team_Level[Result],"&lt;&gt;"))</f>
        <v/>
      </c>
      <c r="R892" t="str">
        <f>Team_Level[[#This Row],[Team]]&amp;"-"&amp;Team_Level[[#This Row],[Recency Rank]]</f>
        <v>Sheffield Wednesday-</v>
      </c>
      <c r="S892" t="str">
        <f>IF(Team_Level[[#This Row],[Result]]="","",COUNTIFS(Team_Level[Team],Team_Level[[#This Row],[Team]],Team_Level[Date],"&lt;="&amp;Team_Level[[#This Row],[Date]],Team_Level[Result],"&lt;&gt;"))</f>
        <v/>
      </c>
      <c r="T892" t="str">
        <f>Team_Level[[#This Row],[Team]]&amp;"-"&amp;Team_Level[[#This Row],[Chrono Rank]]</f>
        <v>Sheffield Wednesday-</v>
      </c>
    </row>
    <row r="893" spans="1:20" x14ac:dyDescent="0.25">
      <c r="A893" t="s">
        <v>418</v>
      </c>
      <c r="B893" s="6">
        <v>46424</v>
      </c>
      <c r="C893" t="s">
        <v>13</v>
      </c>
      <c r="D893" t="s">
        <v>5</v>
      </c>
      <c r="K893">
        <v>1</v>
      </c>
      <c r="L893" t="s">
        <v>35</v>
      </c>
      <c r="Q893" t="str">
        <f>IF(Team_Level[[#This Row],[Result]]="","",COUNTIFS(Team_Level[Team],Team_Level[[#This Row],[Team]],Team_Level[Date],"&gt;="&amp;Team_Level[[#This Row],[Date]],Team_Level[Result],"&lt;&gt;"))</f>
        <v/>
      </c>
      <c r="R893" t="str">
        <f>Team_Level[[#This Row],[Team]]&amp;"-"&amp;Team_Level[[#This Row],[Recency Rank]]</f>
        <v>Notts County-</v>
      </c>
      <c r="S893" t="str">
        <f>IF(Team_Level[[#This Row],[Result]]="","",COUNTIFS(Team_Level[Team],Team_Level[[#This Row],[Team]],Team_Level[Date],"&lt;="&amp;Team_Level[[#This Row],[Date]],Team_Level[Result],"&lt;&gt;"))</f>
        <v/>
      </c>
      <c r="T893" t="str">
        <f>Team_Level[[#This Row],[Team]]&amp;"-"&amp;Team_Level[[#This Row],[Chrono Rank]]</f>
        <v>Notts County-</v>
      </c>
    </row>
    <row r="894" spans="1:20" x14ac:dyDescent="0.25">
      <c r="A894" t="s">
        <v>419</v>
      </c>
      <c r="B894" s="6">
        <v>46424</v>
      </c>
      <c r="C894" t="s">
        <v>19</v>
      </c>
      <c r="D894" t="s">
        <v>7</v>
      </c>
      <c r="K894">
        <v>1</v>
      </c>
      <c r="L894" t="s">
        <v>35</v>
      </c>
      <c r="Q894" t="str">
        <f>IF(Team_Level[[#This Row],[Result]]="","",COUNTIFS(Team_Level[Team],Team_Level[[#This Row],[Team]],Team_Level[Date],"&gt;="&amp;Team_Level[[#This Row],[Date]],Team_Level[Result],"&lt;&gt;"))</f>
        <v/>
      </c>
      <c r="R894" t="str">
        <f>Team_Level[[#This Row],[Team]]&amp;"-"&amp;Team_Level[[#This Row],[Recency Rank]]</f>
        <v>Stevenage-</v>
      </c>
      <c r="S894" t="str">
        <f>IF(Team_Level[[#This Row],[Result]]="","",COUNTIFS(Team_Level[Team],Team_Level[[#This Row],[Team]],Team_Level[Date],"&lt;="&amp;Team_Level[[#This Row],[Date]],Team_Level[Result],"&lt;&gt;"))</f>
        <v/>
      </c>
      <c r="T894" t="str">
        <f>Team_Level[[#This Row],[Team]]&amp;"-"&amp;Team_Level[[#This Row],[Chrono Rank]]</f>
        <v>Stevenage-</v>
      </c>
    </row>
    <row r="895" spans="1:20" x14ac:dyDescent="0.25">
      <c r="A895" t="s">
        <v>420</v>
      </c>
      <c r="B895" s="6">
        <v>46424</v>
      </c>
      <c r="C895" t="s">
        <v>6</v>
      </c>
      <c r="D895" t="s">
        <v>8</v>
      </c>
      <c r="K895">
        <v>1</v>
      </c>
      <c r="L895" t="s">
        <v>35</v>
      </c>
      <c r="Q895" t="str">
        <f>IF(Team_Level[[#This Row],[Result]]="","",COUNTIFS(Team_Level[Team],Team_Level[[#This Row],[Team]],Team_Level[Date],"&gt;="&amp;Team_Level[[#This Row],[Date]],Team_Level[Result],"&lt;&gt;"))</f>
        <v/>
      </c>
      <c r="R895" t="str">
        <f>Team_Level[[#This Row],[Team]]&amp;"-"&amp;Team_Level[[#This Row],[Recency Rank]]</f>
        <v>Cambridge United-</v>
      </c>
      <c r="S895" t="str">
        <f>IF(Team_Level[[#This Row],[Result]]="","",COUNTIFS(Team_Level[Team],Team_Level[[#This Row],[Team]],Team_Level[Date],"&lt;="&amp;Team_Level[[#This Row],[Date]],Team_Level[Result],"&lt;&gt;"))</f>
        <v/>
      </c>
      <c r="T895" t="str">
        <f>Team_Level[[#This Row],[Team]]&amp;"-"&amp;Team_Level[[#This Row],[Chrono Rank]]</f>
        <v>Cambridge United-</v>
      </c>
    </row>
    <row r="896" spans="1:20" x14ac:dyDescent="0.25">
      <c r="A896" t="s">
        <v>421</v>
      </c>
      <c r="B896" s="6">
        <v>46424</v>
      </c>
      <c r="C896" t="s">
        <v>33</v>
      </c>
      <c r="D896" t="s">
        <v>9</v>
      </c>
      <c r="K896">
        <v>1</v>
      </c>
      <c r="L896" t="s">
        <v>35</v>
      </c>
      <c r="Q896" t="str">
        <f>IF(Team_Level[[#This Row],[Result]]="","",COUNTIFS(Team_Level[Team],Team_Level[[#This Row],[Team]],Team_Level[Date],"&gt;="&amp;Team_Level[[#This Row],[Date]],Team_Level[Result],"&lt;&gt;"))</f>
        <v/>
      </c>
      <c r="R896" t="str">
        <f>Team_Level[[#This Row],[Team]]&amp;"-"&amp;Team_Level[[#This Row],[Recency Rank]]</f>
        <v>Milton Keynes Dons-</v>
      </c>
      <c r="S896" t="str">
        <f>IF(Team_Level[[#This Row],[Result]]="","",COUNTIFS(Team_Level[Team],Team_Level[[#This Row],[Team]],Team_Level[Date],"&lt;="&amp;Team_Level[[#This Row],[Date]],Team_Level[Result],"&lt;&gt;"))</f>
        <v/>
      </c>
      <c r="T896" t="str">
        <f>Team_Level[[#This Row],[Team]]&amp;"-"&amp;Team_Level[[#This Row],[Chrono Rank]]</f>
        <v>Milton Keynes Dons-</v>
      </c>
    </row>
    <row r="897" spans="1:20" x14ac:dyDescent="0.25">
      <c r="A897" t="s">
        <v>422</v>
      </c>
      <c r="B897" s="6">
        <v>46424</v>
      </c>
      <c r="C897" t="s">
        <v>12</v>
      </c>
      <c r="D897" t="s">
        <v>11</v>
      </c>
      <c r="K897">
        <v>1</v>
      </c>
      <c r="L897" t="s">
        <v>35</v>
      </c>
      <c r="Q897" t="str">
        <f>IF(Team_Level[[#This Row],[Result]]="","",COUNTIFS(Team_Level[Team],Team_Level[[#This Row],[Team]],Team_Level[Date],"&gt;="&amp;Team_Level[[#This Row],[Date]],Team_Level[Result],"&lt;&gt;"))</f>
        <v/>
      </c>
      <c r="R897" t="str">
        <f>Team_Level[[#This Row],[Team]]&amp;"-"&amp;Team_Level[[#This Row],[Recency Rank]]</f>
        <v>Mansfield Town-</v>
      </c>
      <c r="S897" t="str">
        <f>IF(Team_Level[[#This Row],[Result]]="","",COUNTIFS(Team_Level[Team],Team_Level[[#This Row],[Team]],Team_Level[Date],"&lt;="&amp;Team_Level[[#This Row],[Date]],Team_Level[Result],"&lt;&gt;"))</f>
        <v/>
      </c>
      <c r="T897" t="str">
        <f>Team_Level[[#This Row],[Team]]&amp;"-"&amp;Team_Level[[#This Row],[Chrono Rank]]</f>
        <v>Mansfield Town-</v>
      </c>
    </row>
    <row r="898" spans="1:20" x14ac:dyDescent="0.25">
      <c r="A898" t="s">
        <v>423</v>
      </c>
      <c r="B898" s="6">
        <v>46424</v>
      </c>
      <c r="C898" t="s">
        <v>2</v>
      </c>
      <c r="D898" t="s">
        <v>15</v>
      </c>
      <c r="K898">
        <v>1</v>
      </c>
      <c r="L898" t="s">
        <v>35</v>
      </c>
      <c r="Q898" t="str">
        <f>IF(Team_Level[[#This Row],[Result]]="","",COUNTIFS(Team_Level[Team],Team_Level[[#This Row],[Team]],Team_Level[Date],"&gt;="&amp;Team_Level[[#This Row],[Date]],Team_Level[Result],"&lt;&gt;"))</f>
        <v/>
      </c>
      <c r="R898" t="str">
        <f>Team_Level[[#This Row],[Team]]&amp;"-"&amp;Team_Level[[#This Row],[Recency Rank]]</f>
        <v>Blackpool-</v>
      </c>
      <c r="S898" t="str">
        <f>IF(Team_Level[[#This Row],[Result]]="","",COUNTIFS(Team_Level[Team],Team_Level[[#This Row],[Team]],Team_Level[Date],"&lt;="&amp;Team_Level[[#This Row],[Date]],Team_Level[Result],"&lt;&gt;"))</f>
        <v/>
      </c>
      <c r="T898" t="str">
        <f>Team_Level[[#This Row],[Team]]&amp;"-"&amp;Team_Level[[#This Row],[Chrono Rank]]</f>
        <v>Blackpool-</v>
      </c>
    </row>
    <row r="899" spans="1:20" x14ac:dyDescent="0.25">
      <c r="A899" t="s">
        <v>424</v>
      </c>
      <c r="B899" s="6">
        <v>46424</v>
      </c>
      <c r="C899" t="s">
        <v>14</v>
      </c>
      <c r="D899" t="s">
        <v>17</v>
      </c>
      <c r="K899">
        <v>1</v>
      </c>
      <c r="L899" t="s">
        <v>35</v>
      </c>
      <c r="Q899" t="str">
        <f>IF(Team_Level[[#This Row],[Result]]="","",COUNTIFS(Team_Level[Team],Team_Level[[#This Row],[Team]],Team_Level[Date],"&gt;="&amp;Team_Level[[#This Row],[Date]],Team_Level[Result],"&lt;&gt;"))</f>
        <v/>
      </c>
      <c r="R899" t="str">
        <f>Team_Level[[#This Row],[Team]]&amp;"-"&amp;Team_Level[[#This Row],[Recency Rank]]</f>
        <v>Oxford United-</v>
      </c>
      <c r="S899" t="str">
        <f>IF(Team_Level[[#This Row],[Result]]="","",COUNTIFS(Team_Level[Team],Team_Level[[#This Row],[Team]],Team_Level[Date],"&lt;="&amp;Team_Level[[#This Row],[Date]],Team_Level[Result],"&lt;&gt;"))</f>
        <v/>
      </c>
      <c r="T899" t="str">
        <f>Team_Level[[#This Row],[Team]]&amp;"-"&amp;Team_Level[[#This Row],[Chrono Rank]]</f>
        <v>Oxford United-</v>
      </c>
    </row>
    <row r="900" spans="1:20" x14ac:dyDescent="0.25">
      <c r="A900" t="s">
        <v>425</v>
      </c>
      <c r="B900" s="6">
        <v>46424</v>
      </c>
      <c r="C900" t="s">
        <v>0</v>
      </c>
      <c r="D900" t="s">
        <v>21</v>
      </c>
      <c r="K900">
        <v>1</v>
      </c>
      <c r="L900" t="s">
        <v>35</v>
      </c>
      <c r="Q900" t="str">
        <f>IF(Team_Level[[#This Row],[Result]]="","",COUNTIFS(Team_Level[Team],Team_Level[[#This Row],[Team]],Team_Level[Date],"&gt;="&amp;Team_Level[[#This Row],[Date]],Team_Level[Result],"&lt;&gt;"))</f>
        <v/>
      </c>
      <c r="R900" t="str">
        <f>Team_Level[[#This Row],[Team]]&amp;"-"&amp;Team_Level[[#This Row],[Recency Rank]]</f>
        <v>AFC Wimbledon-</v>
      </c>
      <c r="S900" t="str">
        <f>IF(Team_Level[[#This Row],[Result]]="","",COUNTIFS(Team_Level[Team],Team_Level[[#This Row],[Team]],Team_Level[Date],"&lt;="&amp;Team_Level[[#This Row],[Date]],Team_Level[Result],"&lt;&gt;"))</f>
        <v/>
      </c>
      <c r="T900" t="str">
        <f>Team_Level[[#This Row],[Team]]&amp;"-"&amp;Team_Level[[#This Row],[Chrono Rank]]</f>
        <v>AFC Wimbledon-</v>
      </c>
    </row>
    <row r="901" spans="1:20" x14ac:dyDescent="0.25">
      <c r="A901" t="s">
        <v>426</v>
      </c>
      <c r="B901" s="6">
        <v>46424</v>
      </c>
      <c r="C901" t="s">
        <v>20</v>
      </c>
      <c r="D901" t="s">
        <v>22</v>
      </c>
      <c r="K901">
        <v>1</v>
      </c>
      <c r="L901" t="s">
        <v>35</v>
      </c>
      <c r="Q901" t="str">
        <f>IF(Team_Level[[#This Row],[Result]]="","",COUNTIFS(Team_Level[Team],Team_Level[[#This Row],[Team]],Team_Level[Date],"&gt;="&amp;Team_Level[[#This Row],[Date]],Team_Level[Result],"&lt;&gt;"))</f>
        <v/>
      </c>
      <c r="R901" t="str">
        <f>Team_Level[[#This Row],[Team]]&amp;"-"&amp;Team_Level[[#This Row],[Recency Rank]]</f>
        <v>Stockport County-</v>
      </c>
      <c r="S901" t="str">
        <f>IF(Team_Level[[#This Row],[Result]]="","",COUNTIFS(Team_Level[Team],Team_Level[[#This Row],[Team]],Team_Level[Date],"&lt;="&amp;Team_Level[[#This Row],[Date]],Team_Level[Result],"&lt;&gt;"))</f>
        <v/>
      </c>
      <c r="T901" t="str">
        <f>Team_Level[[#This Row],[Team]]&amp;"-"&amp;Team_Level[[#This Row],[Chrono Rank]]</f>
        <v>Stockport County-</v>
      </c>
    </row>
    <row r="902" spans="1:20" x14ac:dyDescent="0.25">
      <c r="A902" t="s">
        <v>427</v>
      </c>
      <c r="B902" s="6">
        <v>46427</v>
      </c>
      <c r="C902" t="s">
        <v>5</v>
      </c>
      <c r="D902" t="s">
        <v>0</v>
      </c>
      <c r="K902">
        <v>1</v>
      </c>
      <c r="L902" t="s">
        <v>35</v>
      </c>
      <c r="Q902" t="str">
        <f>IF(Team_Level[[#This Row],[Result]]="","",COUNTIFS(Team_Level[Team],Team_Level[[#This Row],[Team]],Team_Level[Date],"&gt;="&amp;Team_Level[[#This Row],[Date]],Team_Level[Result],"&lt;&gt;"))</f>
        <v/>
      </c>
      <c r="R902" t="str">
        <f>Team_Level[[#This Row],[Team]]&amp;"-"&amp;Team_Level[[#This Row],[Recency Rank]]</f>
        <v>Burton Albion-</v>
      </c>
      <c r="S902" t="str">
        <f>IF(Team_Level[[#This Row],[Result]]="","",COUNTIFS(Team_Level[Team],Team_Level[[#This Row],[Team]],Team_Level[Date],"&lt;="&amp;Team_Level[[#This Row],[Date]],Team_Level[Result],"&lt;&gt;"))</f>
        <v/>
      </c>
      <c r="T902" t="str">
        <f>Team_Level[[#This Row],[Team]]&amp;"-"&amp;Team_Level[[#This Row],[Chrono Rank]]</f>
        <v>Burton Albion-</v>
      </c>
    </row>
    <row r="903" spans="1:20" x14ac:dyDescent="0.25">
      <c r="A903" t="s">
        <v>428</v>
      </c>
      <c r="B903" s="6">
        <v>46427</v>
      </c>
      <c r="C903" t="s">
        <v>1</v>
      </c>
      <c r="D903" t="s">
        <v>2</v>
      </c>
      <c r="K903">
        <v>1</v>
      </c>
      <c r="L903" t="s">
        <v>35</v>
      </c>
      <c r="Q903" t="str">
        <f>IF(Team_Level[[#This Row],[Result]]="","",COUNTIFS(Team_Level[Team],Team_Level[[#This Row],[Team]],Team_Level[Date],"&gt;="&amp;Team_Level[[#This Row],[Date]],Team_Level[Result],"&lt;&gt;"))</f>
        <v/>
      </c>
      <c r="R903" t="str">
        <f>Team_Level[[#This Row],[Team]]&amp;"-"&amp;Team_Level[[#This Row],[Recency Rank]]</f>
        <v>Barnsley-</v>
      </c>
      <c r="S903" t="str">
        <f>IF(Team_Level[[#This Row],[Result]]="","",COUNTIFS(Team_Level[Team],Team_Level[[#This Row],[Team]],Team_Level[Date],"&lt;="&amp;Team_Level[[#This Row],[Date]],Team_Level[Result],"&lt;&gt;"))</f>
        <v/>
      </c>
      <c r="T903" t="str">
        <f>Team_Level[[#This Row],[Team]]&amp;"-"&amp;Team_Level[[#This Row],[Chrono Rank]]</f>
        <v>Barnsley-</v>
      </c>
    </row>
    <row r="904" spans="1:20" x14ac:dyDescent="0.25">
      <c r="A904" t="s">
        <v>429</v>
      </c>
      <c r="B904" s="6">
        <v>46427</v>
      </c>
      <c r="C904" t="s">
        <v>3</v>
      </c>
      <c r="D904" t="s">
        <v>6</v>
      </c>
      <c r="K904">
        <v>1</v>
      </c>
      <c r="L904" t="s">
        <v>35</v>
      </c>
      <c r="Q904" t="str">
        <f>IF(Team_Level[[#This Row],[Result]]="","",COUNTIFS(Team_Level[Team],Team_Level[[#This Row],[Team]],Team_Level[Date],"&gt;="&amp;Team_Level[[#This Row],[Date]],Team_Level[Result],"&lt;&gt;"))</f>
        <v/>
      </c>
      <c r="R904" t="str">
        <f>Team_Level[[#This Row],[Team]]&amp;"-"&amp;Team_Level[[#This Row],[Recency Rank]]</f>
        <v>Bradford City-</v>
      </c>
      <c r="S904" t="str">
        <f>IF(Team_Level[[#This Row],[Result]]="","",COUNTIFS(Team_Level[Team],Team_Level[[#This Row],[Team]],Team_Level[Date],"&lt;="&amp;Team_Level[[#This Row],[Date]],Team_Level[Result],"&lt;&gt;"))</f>
        <v/>
      </c>
      <c r="T904" t="str">
        <f>Team_Level[[#This Row],[Team]]&amp;"-"&amp;Team_Level[[#This Row],[Chrono Rank]]</f>
        <v>Bradford City-</v>
      </c>
    </row>
    <row r="905" spans="1:20" x14ac:dyDescent="0.25">
      <c r="A905" t="s">
        <v>430</v>
      </c>
      <c r="B905" s="6">
        <v>46427</v>
      </c>
      <c r="C905" t="s">
        <v>4</v>
      </c>
      <c r="D905" t="s">
        <v>10</v>
      </c>
      <c r="K905">
        <v>1</v>
      </c>
      <c r="L905" t="s">
        <v>35</v>
      </c>
      <c r="Q905" t="str">
        <f>IF(Team_Level[[#This Row],[Result]]="","",COUNTIFS(Team_Level[Team],Team_Level[[#This Row],[Team]],Team_Level[Date],"&gt;="&amp;Team_Level[[#This Row],[Date]],Team_Level[Result],"&lt;&gt;"))</f>
        <v/>
      </c>
      <c r="R905" t="str">
        <f>Team_Level[[#This Row],[Team]]&amp;"-"&amp;Team_Level[[#This Row],[Recency Rank]]</f>
        <v>Bromley-</v>
      </c>
      <c r="S905" t="str">
        <f>IF(Team_Level[[#This Row],[Result]]="","",COUNTIFS(Team_Level[Team],Team_Level[[#This Row],[Team]],Team_Level[Date],"&lt;="&amp;Team_Level[[#This Row],[Date]],Team_Level[Result],"&lt;&gt;"))</f>
        <v/>
      </c>
      <c r="T905" t="str">
        <f>Team_Level[[#This Row],[Team]]&amp;"-"&amp;Team_Level[[#This Row],[Chrono Rank]]</f>
        <v>Bromley-</v>
      </c>
    </row>
    <row r="906" spans="1:20" x14ac:dyDescent="0.25">
      <c r="A906" t="s">
        <v>431</v>
      </c>
      <c r="B906" s="6">
        <v>46427</v>
      </c>
      <c r="C906" t="s">
        <v>17</v>
      </c>
      <c r="D906" t="s">
        <v>12</v>
      </c>
      <c r="K906">
        <v>1</v>
      </c>
      <c r="L906" t="s">
        <v>35</v>
      </c>
      <c r="Q906" t="str">
        <f>IF(Team_Level[[#This Row],[Result]]="","",COUNTIFS(Team_Level[Team],Team_Level[[#This Row],[Team]],Team_Level[Date],"&gt;="&amp;Team_Level[[#This Row],[Date]],Team_Level[Result],"&lt;&gt;"))</f>
        <v/>
      </c>
      <c r="R906" t="str">
        <f>Team_Level[[#This Row],[Team]]&amp;"-"&amp;Team_Level[[#This Row],[Recency Rank]]</f>
        <v>Reading-</v>
      </c>
      <c r="S906" t="str">
        <f>IF(Team_Level[[#This Row],[Result]]="","",COUNTIFS(Team_Level[Team],Team_Level[[#This Row],[Team]],Team_Level[Date],"&lt;="&amp;Team_Level[[#This Row],[Date]],Team_Level[Result],"&lt;&gt;"))</f>
        <v/>
      </c>
      <c r="T906" t="str">
        <f>Team_Level[[#This Row],[Team]]&amp;"-"&amp;Team_Level[[#This Row],[Chrono Rank]]</f>
        <v>Reading-</v>
      </c>
    </row>
    <row r="907" spans="1:20" x14ac:dyDescent="0.25">
      <c r="A907" t="s">
        <v>432</v>
      </c>
      <c r="B907" s="6">
        <v>46427</v>
      </c>
      <c r="C907" t="s">
        <v>21</v>
      </c>
      <c r="D907" t="s">
        <v>33</v>
      </c>
      <c r="K907">
        <v>1</v>
      </c>
      <c r="L907" t="s">
        <v>35</v>
      </c>
      <c r="Q907" t="str">
        <f>IF(Team_Level[[#This Row],[Result]]="","",COUNTIFS(Team_Level[Team],Team_Level[[#This Row],[Team]],Team_Level[Date],"&gt;="&amp;Team_Level[[#This Row],[Date]],Team_Level[Result],"&lt;&gt;"))</f>
        <v/>
      </c>
      <c r="R907" t="str">
        <f>Team_Level[[#This Row],[Team]]&amp;"-"&amp;Team_Level[[#This Row],[Recency Rank]]</f>
        <v>Wigan Athletic-</v>
      </c>
      <c r="S907" t="str">
        <f>IF(Team_Level[[#This Row],[Result]]="","",COUNTIFS(Team_Level[Team],Team_Level[[#This Row],[Team]],Team_Level[Date],"&lt;="&amp;Team_Level[[#This Row],[Date]],Team_Level[Result],"&lt;&gt;"))</f>
        <v/>
      </c>
      <c r="T907" t="str">
        <f>Team_Level[[#This Row],[Team]]&amp;"-"&amp;Team_Level[[#This Row],[Chrono Rank]]</f>
        <v>Wigan Athletic-</v>
      </c>
    </row>
    <row r="908" spans="1:20" x14ac:dyDescent="0.25">
      <c r="A908" t="s">
        <v>433</v>
      </c>
      <c r="B908" s="6">
        <v>46427</v>
      </c>
      <c r="C908" t="s">
        <v>7</v>
      </c>
      <c r="D908" t="s">
        <v>13</v>
      </c>
      <c r="K908">
        <v>1</v>
      </c>
      <c r="L908" t="s">
        <v>35</v>
      </c>
      <c r="Q908" t="str">
        <f>IF(Team_Level[[#This Row],[Result]]="","",COUNTIFS(Team_Level[Team],Team_Level[[#This Row],[Team]],Team_Level[Date],"&gt;="&amp;Team_Level[[#This Row],[Date]],Team_Level[Result],"&lt;&gt;"))</f>
        <v/>
      </c>
      <c r="R908" t="str">
        <f>Team_Level[[#This Row],[Team]]&amp;"-"&amp;Team_Level[[#This Row],[Recency Rank]]</f>
        <v>Doncaster Rovers-</v>
      </c>
      <c r="S908" t="str">
        <f>IF(Team_Level[[#This Row],[Result]]="","",COUNTIFS(Team_Level[Team],Team_Level[[#This Row],[Team]],Team_Level[Date],"&lt;="&amp;Team_Level[[#This Row],[Date]],Team_Level[Result],"&lt;&gt;"))</f>
        <v/>
      </c>
      <c r="T908" t="str">
        <f>Team_Level[[#This Row],[Team]]&amp;"-"&amp;Team_Level[[#This Row],[Chrono Rank]]</f>
        <v>Doncaster Rovers-</v>
      </c>
    </row>
    <row r="909" spans="1:20" x14ac:dyDescent="0.25">
      <c r="A909" t="s">
        <v>434</v>
      </c>
      <c r="B909" s="6">
        <v>46427</v>
      </c>
      <c r="C909" t="s">
        <v>8</v>
      </c>
      <c r="D909" t="s">
        <v>14</v>
      </c>
      <c r="K909">
        <v>1</v>
      </c>
      <c r="L909" t="s">
        <v>35</v>
      </c>
      <c r="Q909" t="str">
        <f>IF(Team_Level[[#This Row],[Result]]="","",COUNTIFS(Team_Level[Team],Team_Level[[#This Row],[Team]],Team_Level[Date],"&gt;="&amp;Team_Level[[#This Row],[Date]],Team_Level[Result],"&lt;&gt;"))</f>
        <v/>
      </c>
      <c r="R909" t="str">
        <f>Team_Level[[#This Row],[Team]]&amp;"-"&amp;Team_Level[[#This Row],[Recency Rank]]</f>
        <v>Huddersfield Town-</v>
      </c>
      <c r="S909" t="str">
        <f>IF(Team_Level[[#This Row],[Result]]="","",COUNTIFS(Team_Level[Team],Team_Level[[#This Row],[Team]],Team_Level[Date],"&lt;="&amp;Team_Level[[#This Row],[Date]],Team_Level[Result],"&lt;&gt;"))</f>
        <v/>
      </c>
      <c r="T909" t="str">
        <f>Team_Level[[#This Row],[Team]]&amp;"-"&amp;Team_Level[[#This Row],[Chrono Rank]]</f>
        <v>Huddersfield Town-</v>
      </c>
    </row>
    <row r="910" spans="1:20" x14ac:dyDescent="0.25">
      <c r="A910" t="s">
        <v>435</v>
      </c>
      <c r="B910" s="6">
        <v>46427</v>
      </c>
      <c r="C910" t="s">
        <v>9</v>
      </c>
      <c r="D910" t="s">
        <v>16</v>
      </c>
      <c r="K910">
        <v>1</v>
      </c>
      <c r="L910" t="s">
        <v>35</v>
      </c>
      <c r="Q910" t="str">
        <f>IF(Team_Level[[#This Row],[Result]]="","",COUNTIFS(Team_Level[Team],Team_Level[[#This Row],[Team]],Team_Level[Date],"&gt;="&amp;Team_Level[[#This Row],[Date]],Team_Level[Result],"&lt;&gt;"))</f>
        <v/>
      </c>
      <c r="R910" t="str">
        <f>Team_Level[[#This Row],[Team]]&amp;"-"&amp;Team_Level[[#This Row],[Recency Rank]]</f>
        <v>Leicester City-</v>
      </c>
      <c r="S910" t="str">
        <f>IF(Team_Level[[#This Row],[Result]]="","",COUNTIFS(Team_Level[Team],Team_Level[[#This Row],[Team]],Team_Level[Date],"&lt;="&amp;Team_Level[[#This Row],[Date]],Team_Level[Result],"&lt;&gt;"))</f>
        <v/>
      </c>
      <c r="T910" t="str">
        <f>Team_Level[[#This Row],[Team]]&amp;"-"&amp;Team_Level[[#This Row],[Chrono Rank]]</f>
        <v>Leicester City-</v>
      </c>
    </row>
    <row r="911" spans="1:20" x14ac:dyDescent="0.25">
      <c r="A911" t="s">
        <v>436</v>
      </c>
      <c r="B911" s="6">
        <v>46427</v>
      </c>
      <c r="C911" t="s">
        <v>22</v>
      </c>
      <c r="D911" t="s">
        <v>18</v>
      </c>
      <c r="K911">
        <v>1</v>
      </c>
      <c r="L911" t="s">
        <v>35</v>
      </c>
      <c r="Q911" t="str">
        <f>IF(Team_Level[[#This Row],[Result]]="","",COUNTIFS(Team_Level[Team],Team_Level[[#This Row],[Team]],Team_Level[Date],"&gt;="&amp;Team_Level[[#This Row],[Date]],Team_Level[Result],"&lt;&gt;"))</f>
        <v/>
      </c>
      <c r="R911" t="str">
        <f>Team_Level[[#This Row],[Team]]&amp;"-"&amp;Team_Level[[#This Row],[Recency Rank]]</f>
        <v>Wycombe Wanderers-</v>
      </c>
      <c r="S911" t="str">
        <f>IF(Team_Level[[#This Row],[Result]]="","",COUNTIFS(Team_Level[Team],Team_Level[[#This Row],[Team]],Team_Level[Date],"&lt;="&amp;Team_Level[[#This Row],[Date]],Team_Level[Result],"&lt;&gt;"))</f>
        <v/>
      </c>
      <c r="T911" t="str">
        <f>Team_Level[[#This Row],[Team]]&amp;"-"&amp;Team_Level[[#This Row],[Chrono Rank]]</f>
        <v>Wycombe Wanderers-</v>
      </c>
    </row>
    <row r="912" spans="1:20" x14ac:dyDescent="0.25">
      <c r="A912" t="s">
        <v>437</v>
      </c>
      <c r="B912" s="6">
        <v>46427</v>
      </c>
      <c r="C912" t="s">
        <v>15</v>
      </c>
      <c r="D912" t="s">
        <v>19</v>
      </c>
      <c r="K912">
        <v>1</v>
      </c>
      <c r="L912" t="s">
        <v>35</v>
      </c>
      <c r="Q912" t="str">
        <f>IF(Team_Level[[#This Row],[Result]]="","",COUNTIFS(Team_Level[Team],Team_Level[[#This Row],[Team]],Team_Level[Date],"&gt;="&amp;Team_Level[[#This Row],[Date]],Team_Level[Result],"&lt;&gt;"))</f>
        <v/>
      </c>
      <c r="R912" t="str">
        <f>Team_Level[[#This Row],[Team]]&amp;"-"&amp;Team_Level[[#This Row],[Recency Rank]]</f>
        <v>Peterborough United-</v>
      </c>
      <c r="S912" t="str">
        <f>IF(Team_Level[[#This Row],[Result]]="","",COUNTIFS(Team_Level[Team],Team_Level[[#This Row],[Team]],Team_Level[Date],"&lt;="&amp;Team_Level[[#This Row],[Date]],Team_Level[Result],"&lt;&gt;"))</f>
        <v/>
      </c>
      <c r="T912" t="str">
        <f>Team_Level[[#This Row],[Team]]&amp;"-"&amp;Team_Level[[#This Row],[Chrono Rank]]</f>
        <v>Peterborough United-</v>
      </c>
    </row>
    <row r="913" spans="1:20" x14ac:dyDescent="0.25">
      <c r="A913" t="s">
        <v>438</v>
      </c>
      <c r="B913" s="6">
        <v>46427</v>
      </c>
      <c r="C913" t="s">
        <v>11</v>
      </c>
      <c r="D913" t="s">
        <v>20</v>
      </c>
      <c r="K913">
        <v>1</v>
      </c>
      <c r="L913" t="s">
        <v>35</v>
      </c>
      <c r="Q913" t="str">
        <f>IF(Team_Level[[#This Row],[Result]]="","",COUNTIFS(Team_Level[Team],Team_Level[[#This Row],[Team]],Team_Level[Date],"&gt;="&amp;Team_Level[[#This Row],[Date]],Team_Level[Result],"&lt;&gt;"))</f>
        <v/>
      </c>
      <c r="R913" t="str">
        <f>Team_Level[[#This Row],[Team]]&amp;"-"&amp;Team_Level[[#This Row],[Recency Rank]]</f>
        <v>Luton Town-</v>
      </c>
      <c r="S913" t="str">
        <f>IF(Team_Level[[#This Row],[Result]]="","",COUNTIFS(Team_Level[Team],Team_Level[[#This Row],[Team]],Team_Level[Date],"&lt;="&amp;Team_Level[[#This Row],[Date]],Team_Level[Result],"&lt;&gt;"))</f>
        <v/>
      </c>
      <c r="T913" t="str">
        <f>Team_Level[[#This Row],[Team]]&amp;"-"&amp;Team_Level[[#This Row],[Chrono Rank]]</f>
        <v>Luton Town-</v>
      </c>
    </row>
    <row r="914" spans="1:20" x14ac:dyDescent="0.25">
      <c r="A914" t="s">
        <v>439</v>
      </c>
      <c r="B914" s="6">
        <v>46431</v>
      </c>
      <c r="C914" t="s">
        <v>4</v>
      </c>
      <c r="D914" t="s">
        <v>0</v>
      </c>
      <c r="K914">
        <v>1</v>
      </c>
      <c r="L914" t="s">
        <v>35</v>
      </c>
      <c r="Q914" t="str">
        <f>IF(Team_Level[[#This Row],[Result]]="","",COUNTIFS(Team_Level[Team],Team_Level[[#This Row],[Team]],Team_Level[Date],"&gt;="&amp;Team_Level[[#This Row],[Date]],Team_Level[Result],"&lt;&gt;"))</f>
        <v/>
      </c>
      <c r="R914" t="str">
        <f>Team_Level[[#This Row],[Team]]&amp;"-"&amp;Team_Level[[#This Row],[Recency Rank]]</f>
        <v>Bromley-</v>
      </c>
      <c r="S914" t="str">
        <f>IF(Team_Level[[#This Row],[Result]]="","",COUNTIFS(Team_Level[Team],Team_Level[[#This Row],[Team]],Team_Level[Date],"&lt;="&amp;Team_Level[[#This Row],[Date]],Team_Level[Result],"&lt;&gt;"))</f>
        <v/>
      </c>
      <c r="T914" t="str">
        <f>Team_Level[[#This Row],[Team]]&amp;"-"&amp;Team_Level[[#This Row],[Chrono Rank]]</f>
        <v>Bromley-</v>
      </c>
    </row>
    <row r="915" spans="1:20" x14ac:dyDescent="0.25">
      <c r="A915" t="s">
        <v>440</v>
      </c>
      <c r="B915" s="6">
        <v>46431</v>
      </c>
      <c r="C915" t="s">
        <v>17</v>
      </c>
      <c r="D915" t="s">
        <v>2</v>
      </c>
      <c r="K915">
        <v>1</v>
      </c>
      <c r="L915" t="s">
        <v>35</v>
      </c>
      <c r="Q915" t="str">
        <f>IF(Team_Level[[#This Row],[Result]]="","",COUNTIFS(Team_Level[Team],Team_Level[[#This Row],[Team]],Team_Level[Date],"&gt;="&amp;Team_Level[[#This Row],[Date]],Team_Level[Result],"&lt;&gt;"))</f>
        <v/>
      </c>
      <c r="R915" t="str">
        <f>Team_Level[[#This Row],[Team]]&amp;"-"&amp;Team_Level[[#This Row],[Recency Rank]]</f>
        <v>Reading-</v>
      </c>
      <c r="S915" t="str">
        <f>IF(Team_Level[[#This Row],[Result]]="","",COUNTIFS(Team_Level[Team],Team_Level[[#This Row],[Team]],Team_Level[Date],"&lt;="&amp;Team_Level[[#This Row],[Date]],Team_Level[Result],"&lt;&gt;"))</f>
        <v/>
      </c>
      <c r="T915" t="str">
        <f>Team_Level[[#This Row],[Team]]&amp;"-"&amp;Team_Level[[#This Row],[Chrono Rank]]</f>
        <v>Reading-</v>
      </c>
    </row>
    <row r="916" spans="1:20" x14ac:dyDescent="0.25">
      <c r="A916" t="s">
        <v>441</v>
      </c>
      <c r="B916" s="6">
        <v>46431</v>
      </c>
      <c r="C916" t="s">
        <v>5</v>
      </c>
      <c r="D916" t="s">
        <v>6</v>
      </c>
      <c r="K916">
        <v>1</v>
      </c>
      <c r="L916" t="s">
        <v>35</v>
      </c>
      <c r="Q916" t="str">
        <f>IF(Team_Level[[#This Row],[Result]]="","",COUNTIFS(Team_Level[Team],Team_Level[[#This Row],[Team]],Team_Level[Date],"&gt;="&amp;Team_Level[[#This Row],[Date]],Team_Level[Result],"&lt;&gt;"))</f>
        <v/>
      </c>
      <c r="R916" t="str">
        <f>Team_Level[[#This Row],[Team]]&amp;"-"&amp;Team_Level[[#This Row],[Recency Rank]]</f>
        <v>Burton Albion-</v>
      </c>
      <c r="S916" t="str">
        <f>IF(Team_Level[[#This Row],[Result]]="","",COUNTIFS(Team_Level[Team],Team_Level[[#This Row],[Team]],Team_Level[Date],"&lt;="&amp;Team_Level[[#This Row],[Date]],Team_Level[Result],"&lt;&gt;"))</f>
        <v/>
      </c>
      <c r="T916" t="str">
        <f>Team_Level[[#This Row],[Team]]&amp;"-"&amp;Team_Level[[#This Row],[Chrono Rank]]</f>
        <v>Burton Albion-</v>
      </c>
    </row>
    <row r="917" spans="1:20" x14ac:dyDescent="0.25">
      <c r="A917" t="s">
        <v>442</v>
      </c>
      <c r="B917" s="6">
        <v>46431</v>
      </c>
      <c r="C917" t="s">
        <v>11</v>
      </c>
      <c r="D917" t="s">
        <v>10</v>
      </c>
      <c r="K917">
        <v>1</v>
      </c>
      <c r="L917" t="s">
        <v>35</v>
      </c>
      <c r="Q917" t="str">
        <f>IF(Team_Level[[#This Row],[Result]]="","",COUNTIFS(Team_Level[Team],Team_Level[[#This Row],[Team]],Team_Level[Date],"&gt;="&amp;Team_Level[[#This Row],[Date]],Team_Level[Result],"&lt;&gt;"))</f>
        <v/>
      </c>
      <c r="R917" t="str">
        <f>Team_Level[[#This Row],[Team]]&amp;"-"&amp;Team_Level[[#This Row],[Recency Rank]]</f>
        <v>Luton Town-</v>
      </c>
      <c r="S917" t="str">
        <f>IF(Team_Level[[#This Row],[Result]]="","",COUNTIFS(Team_Level[Team],Team_Level[[#This Row],[Team]],Team_Level[Date],"&lt;="&amp;Team_Level[[#This Row],[Date]],Team_Level[Result],"&lt;&gt;"))</f>
        <v/>
      </c>
      <c r="T917" t="str">
        <f>Team_Level[[#This Row],[Team]]&amp;"-"&amp;Team_Level[[#This Row],[Chrono Rank]]</f>
        <v>Luton Town-</v>
      </c>
    </row>
    <row r="918" spans="1:20" x14ac:dyDescent="0.25">
      <c r="A918" t="s">
        <v>443</v>
      </c>
      <c r="B918" s="6">
        <v>46431</v>
      </c>
      <c r="C918" t="s">
        <v>3</v>
      </c>
      <c r="D918" t="s">
        <v>12</v>
      </c>
      <c r="K918">
        <v>1</v>
      </c>
      <c r="L918" t="s">
        <v>35</v>
      </c>
      <c r="Q918" t="str">
        <f>IF(Team_Level[[#This Row],[Result]]="","",COUNTIFS(Team_Level[Team],Team_Level[[#This Row],[Team]],Team_Level[Date],"&gt;="&amp;Team_Level[[#This Row],[Date]],Team_Level[Result],"&lt;&gt;"))</f>
        <v/>
      </c>
      <c r="R918" t="str">
        <f>Team_Level[[#This Row],[Team]]&amp;"-"&amp;Team_Level[[#This Row],[Recency Rank]]</f>
        <v>Bradford City-</v>
      </c>
      <c r="S918" t="str">
        <f>IF(Team_Level[[#This Row],[Result]]="","",COUNTIFS(Team_Level[Team],Team_Level[[#This Row],[Team]],Team_Level[Date],"&lt;="&amp;Team_Level[[#This Row],[Date]],Team_Level[Result],"&lt;&gt;"))</f>
        <v/>
      </c>
      <c r="T918" t="str">
        <f>Team_Level[[#This Row],[Team]]&amp;"-"&amp;Team_Level[[#This Row],[Chrono Rank]]</f>
        <v>Bradford City-</v>
      </c>
    </row>
    <row r="919" spans="1:20" x14ac:dyDescent="0.25">
      <c r="A919" t="s">
        <v>444</v>
      </c>
      <c r="B919" s="6">
        <v>46431</v>
      </c>
      <c r="C919" t="s">
        <v>22</v>
      </c>
      <c r="D919" t="s">
        <v>33</v>
      </c>
      <c r="K919">
        <v>1</v>
      </c>
      <c r="L919" t="s">
        <v>35</v>
      </c>
      <c r="Q919" t="str">
        <f>IF(Team_Level[[#This Row],[Result]]="","",COUNTIFS(Team_Level[Team],Team_Level[[#This Row],[Team]],Team_Level[Date],"&gt;="&amp;Team_Level[[#This Row],[Date]],Team_Level[Result],"&lt;&gt;"))</f>
        <v/>
      </c>
      <c r="R919" t="str">
        <f>Team_Level[[#This Row],[Team]]&amp;"-"&amp;Team_Level[[#This Row],[Recency Rank]]</f>
        <v>Wycombe Wanderers-</v>
      </c>
      <c r="S919" t="str">
        <f>IF(Team_Level[[#This Row],[Result]]="","",COUNTIFS(Team_Level[Team],Team_Level[[#This Row],[Team]],Team_Level[Date],"&lt;="&amp;Team_Level[[#This Row],[Date]],Team_Level[Result],"&lt;&gt;"))</f>
        <v/>
      </c>
      <c r="T919" t="str">
        <f>Team_Level[[#This Row],[Team]]&amp;"-"&amp;Team_Level[[#This Row],[Chrono Rank]]</f>
        <v>Wycombe Wanderers-</v>
      </c>
    </row>
    <row r="920" spans="1:20" x14ac:dyDescent="0.25">
      <c r="A920" t="s">
        <v>445</v>
      </c>
      <c r="B920" s="6">
        <v>46431</v>
      </c>
      <c r="C920" t="s">
        <v>8</v>
      </c>
      <c r="D920" t="s">
        <v>13</v>
      </c>
      <c r="K920">
        <v>1</v>
      </c>
      <c r="L920" t="s">
        <v>35</v>
      </c>
      <c r="Q920" t="str">
        <f>IF(Team_Level[[#This Row],[Result]]="","",COUNTIFS(Team_Level[Team],Team_Level[[#This Row],[Team]],Team_Level[Date],"&gt;="&amp;Team_Level[[#This Row],[Date]],Team_Level[Result],"&lt;&gt;"))</f>
        <v/>
      </c>
      <c r="R920" t="str">
        <f>Team_Level[[#This Row],[Team]]&amp;"-"&amp;Team_Level[[#This Row],[Recency Rank]]</f>
        <v>Huddersfield Town-</v>
      </c>
      <c r="S920" t="str">
        <f>IF(Team_Level[[#This Row],[Result]]="","",COUNTIFS(Team_Level[Team],Team_Level[[#This Row],[Team]],Team_Level[Date],"&lt;="&amp;Team_Level[[#This Row],[Date]],Team_Level[Result],"&lt;&gt;"))</f>
        <v/>
      </c>
      <c r="T920" t="str">
        <f>Team_Level[[#This Row],[Team]]&amp;"-"&amp;Team_Level[[#This Row],[Chrono Rank]]</f>
        <v>Huddersfield Town-</v>
      </c>
    </row>
    <row r="921" spans="1:20" x14ac:dyDescent="0.25">
      <c r="A921" t="s">
        <v>446</v>
      </c>
      <c r="B921" s="6">
        <v>46431</v>
      </c>
      <c r="C921" t="s">
        <v>9</v>
      </c>
      <c r="D921" t="s">
        <v>14</v>
      </c>
      <c r="K921">
        <v>1</v>
      </c>
      <c r="L921" t="s">
        <v>35</v>
      </c>
      <c r="Q921" t="str">
        <f>IF(Team_Level[[#This Row],[Result]]="","",COUNTIFS(Team_Level[Team],Team_Level[[#This Row],[Team]],Team_Level[Date],"&gt;="&amp;Team_Level[[#This Row],[Date]],Team_Level[Result],"&lt;&gt;"))</f>
        <v/>
      </c>
      <c r="R921" t="str">
        <f>Team_Level[[#This Row],[Team]]&amp;"-"&amp;Team_Level[[#This Row],[Recency Rank]]</f>
        <v>Leicester City-</v>
      </c>
      <c r="S921" t="str">
        <f>IF(Team_Level[[#This Row],[Result]]="","",COUNTIFS(Team_Level[Team],Team_Level[[#This Row],[Team]],Team_Level[Date],"&lt;="&amp;Team_Level[[#This Row],[Date]],Team_Level[Result],"&lt;&gt;"))</f>
        <v/>
      </c>
      <c r="T921" t="str">
        <f>Team_Level[[#This Row],[Team]]&amp;"-"&amp;Team_Level[[#This Row],[Chrono Rank]]</f>
        <v>Leicester City-</v>
      </c>
    </row>
    <row r="922" spans="1:20" x14ac:dyDescent="0.25">
      <c r="A922" t="s">
        <v>447</v>
      </c>
      <c r="B922" s="6">
        <v>46431</v>
      </c>
      <c r="C922" t="s">
        <v>7</v>
      </c>
      <c r="D922" t="s">
        <v>16</v>
      </c>
      <c r="K922">
        <v>1</v>
      </c>
      <c r="L922" t="s">
        <v>35</v>
      </c>
      <c r="Q922" t="str">
        <f>IF(Team_Level[[#This Row],[Result]]="","",COUNTIFS(Team_Level[Team],Team_Level[[#This Row],[Team]],Team_Level[Date],"&gt;="&amp;Team_Level[[#This Row],[Date]],Team_Level[Result],"&lt;&gt;"))</f>
        <v/>
      </c>
      <c r="R922" t="str">
        <f>Team_Level[[#This Row],[Team]]&amp;"-"&amp;Team_Level[[#This Row],[Recency Rank]]</f>
        <v>Doncaster Rovers-</v>
      </c>
      <c r="S922" t="str">
        <f>IF(Team_Level[[#This Row],[Result]]="","",COUNTIFS(Team_Level[Team],Team_Level[[#This Row],[Team]],Team_Level[Date],"&lt;="&amp;Team_Level[[#This Row],[Date]],Team_Level[Result],"&lt;&gt;"))</f>
        <v/>
      </c>
      <c r="T922" t="str">
        <f>Team_Level[[#This Row],[Team]]&amp;"-"&amp;Team_Level[[#This Row],[Chrono Rank]]</f>
        <v>Doncaster Rovers-</v>
      </c>
    </row>
    <row r="923" spans="1:20" x14ac:dyDescent="0.25">
      <c r="A923" t="s">
        <v>448</v>
      </c>
      <c r="B923" s="6">
        <v>46431</v>
      </c>
      <c r="C923" t="s">
        <v>15</v>
      </c>
      <c r="D923" t="s">
        <v>18</v>
      </c>
      <c r="K923">
        <v>1</v>
      </c>
      <c r="L923" t="s">
        <v>35</v>
      </c>
      <c r="Q923" t="str">
        <f>IF(Team_Level[[#This Row],[Result]]="","",COUNTIFS(Team_Level[Team],Team_Level[[#This Row],[Team]],Team_Level[Date],"&gt;="&amp;Team_Level[[#This Row],[Date]],Team_Level[Result],"&lt;&gt;"))</f>
        <v/>
      </c>
      <c r="R923" t="str">
        <f>Team_Level[[#This Row],[Team]]&amp;"-"&amp;Team_Level[[#This Row],[Recency Rank]]</f>
        <v>Peterborough United-</v>
      </c>
      <c r="S923" t="str">
        <f>IF(Team_Level[[#This Row],[Result]]="","",COUNTIFS(Team_Level[Team],Team_Level[[#This Row],[Team]],Team_Level[Date],"&lt;="&amp;Team_Level[[#This Row],[Date]],Team_Level[Result],"&lt;&gt;"))</f>
        <v/>
      </c>
      <c r="T923" t="str">
        <f>Team_Level[[#This Row],[Team]]&amp;"-"&amp;Team_Level[[#This Row],[Chrono Rank]]</f>
        <v>Peterborough United-</v>
      </c>
    </row>
    <row r="924" spans="1:20" x14ac:dyDescent="0.25">
      <c r="A924" t="s">
        <v>449</v>
      </c>
      <c r="B924" s="6">
        <v>46431</v>
      </c>
      <c r="C924" t="s">
        <v>1</v>
      </c>
      <c r="D924" t="s">
        <v>19</v>
      </c>
      <c r="K924">
        <v>1</v>
      </c>
      <c r="L924" t="s">
        <v>35</v>
      </c>
      <c r="Q924" t="str">
        <f>IF(Team_Level[[#This Row],[Result]]="","",COUNTIFS(Team_Level[Team],Team_Level[[#This Row],[Team]],Team_Level[Date],"&gt;="&amp;Team_Level[[#This Row],[Date]],Team_Level[Result],"&lt;&gt;"))</f>
        <v/>
      </c>
      <c r="R924" t="str">
        <f>Team_Level[[#This Row],[Team]]&amp;"-"&amp;Team_Level[[#This Row],[Recency Rank]]</f>
        <v>Barnsley-</v>
      </c>
      <c r="S924" t="str">
        <f>IF(Team_Level[[#This Row],[Result]]="","",COUNTIFS(Team_Level[Team],Team_Level[[#This Row],[Team]],Team_Level[Date],"&lt;="&amp;Team_Level[[#This Row],[Date]],Team_Level[Result],"&lt;&gt;"))</f>
        <v/>
      </c>
      <c r="T924" t="str">
        <f>Team_Level[[#This Row],[Team]]&amp;"-"&amp;Team_Level[[#This Row],[Chrono Rank]]</f>
        <v>Barnsley-</v>
      </c>
    </row>
    <row r="925" spans="1:20" x14ac:dyDescent="0.25">
      <c r="A925" t="s">
        <v>450</v>
      </c>
      <c r="B925" s="6">
        <v>46431</v>
      </c>
      <c r="C925" t="s">
        <v>21</v>
      </c>
      <c r="D925" t="s">
        <v>20</v>
      </c>
      <c r="K925">
        <v>1</v>
      </c>
      <c r="L925" t="s">
        <v>35</v>
      </c>
      <c r="Q925" t="str">
        <f>IF(Team_Level[[#This Row],[Result]]="","",COUNTIFS(Team_Level[Team],Team_Level[[#This Row],[Team]],Team_Level[Date],"&gt;="&amp;Team_Level[[#This Row],[Date]],Team_Level[Result],"&lt;&gt;"))</f>
        <v/>
      </c>
      <c r="R925" t="str">
        <f>Team_Level[[#This Row],[Team]]&amp;"-"&amp;Team_Level[[#This Row],[Recency Rank]]</f>
        <v>Wigan Athletic-</v>
      </c>
      <c r="S925" t="str">
        <f>IF(Team_Level[[#This Row],[Result]]="","",COUNTIFS(Team_Level[Team],Team_Level[[#This Row],[Team]],Team_Level[Date],"&lt;="&amp;Team_Level[[#This Row],[Date]],Team_Level[Result],"&lt;&gt;"))</f>
        <v/>
      </c>
      <c r="T925" t="str">
        <f>Team_Level[[#This Row],[Team]]&amp;"-"&amp;Team_Level[[#This Row],[Chrono Rank]]</f>
        <v>Wigan Athletic-</v>
      </c>
    </row>
    <row r="926" spans="1:20" x14ac:dyDescent="0.25">
      <c r="A926" t="s">
        <v>451</v>
      </c>
      <c r="B926" s="6">
        <v>46438</v>
      </c>
      <c r="C926" t="s">
        <v>16</v>
      </c>
      <c r="D926" t="s">
        <v>1</v>
      </c>
      <c r="K926">
        <v>1</v>
      </c>
      <c r="L926" t="s">
        <v>35</v>
      </c>
      <c r="Q926" t="str">
        <f>IF(Team_Level[[#This Row],[Result]]="","",COUNTIFS(Team_Level[Team],Team_Level[[#This Row],[Team]],Team_Level[Date],"&gt;="&amp;Team_Level[[#This Row],[Date]],Team_Level[Result],"&lt;&gt;"))</f>
        <v/>
      </c>
      <c r="R926" t="str">
        <f>Team_Level[[#This Row],[Team]]&amp;"-"&amp;Team_Level[[#This Row],[Recency Rank]]</f>
        <v>Plymouth Argyle-</v>
      </c>
      <c r="S926" t="str">
        <f>IF(Team_Level[[#This Row],[Result]]="","",COUNTIFS(Team_Level[Team],Team_Level[[#This Row],[Team]],Team_Level[Date],"&lt;="&amp;Team_Level[[#This Row],[Date]],Team_Level[Result],"&lt;&gt;"))</f>
        <v/>
      </c>
      <c r="T926" t="str">
        <f>Team_Level[[#This Row],[Team]]&amp;"-"&amp;Team_Level[[#This Row],[Chrono Rank]]</f>
        <v>Plymouth Argyle-</v>
      </c>
    </row>
    <row r="927" spans="1:20" x14ac:dyDescent="0.25">
      <c r="A927" t="s">
        <v>452</v>
      </c>
      <c r="B927" s="6">
        <v>46438</v>
      </c>
      <c r="C927" t="s">
        <v>13</v>
      </c>
      <c r="D927" t="s">
        <v>3</v>
      </c>
      <c r="K927">
        <v>1</v>
      </c>
      <c r="L927" t="s">
        <v>35</v>
      </c>
      <c r="Q927" t="str">
        <f>IF(Team_Level[[#This Row],[Result]]="","",COUNTIFS(Team_Level[Team],Team_Level[[#This Row],[Team]],Team_Level[Date],"&gt;="&amp;Team_Level[[#This Row],[Date]],Team_Level[Result],"&lt;&gt;"))</f>
        <v/>
      </c>
      <c r="R927" t="str">
        <f>Team_Level[[#This Row],[Team]]&amp;"-"&amp;Team_Level[[#This Row],[Recency Rank]]</f>
        <v>Notts County-</v>
      </c>
      <c r="S927" t="str">
        <f>IF(Team_Level[[#This Row],[Result]]="","",COUNTIFS(Team_Level[Team],Team_Level[[#This Row],[Team]],Team_Level[Date],"&lt;="&amp;Team_Level[[#This Row],[Date]],Team_Level[Result],"&lt;&gt;"))</f>
        <v/>
      </c>
      <c r="T927" t="str">
        <f>Team_Level[[#This Row],[Team]]&amp;"-"&amp;Team_Level[[#This Row],[Chrono Rank]]</f>
        <v>Notts County-</v>
      </c>
    </row>
    <row r="928" spans="1:20" x14ac:dyDescent="0.25">
      <c r="A928" t="s">
        <v>453</v>
      </c>
      <c r="B928" s="6">
        <v>46438</v>
      </c>
      <c r="C928" t="s">
        <v>2</v>
      </c>
      <c r="D928" t="s">
        <v>4</v>
      </c>
      <c r="K928">
        <v>1</v>
      </c>
      <c r="L928" t="s">
        <v>35</v>
      </c>
      <c r="Q928" t="str">
        <f>IF(Team_Level[[#This Row],[Result]]="","",COUNTIFS(Team_Level[Team],Team_Level[[#This Row],[Team]],Team_Level[Date],"&gt;="&amp;Team_Level[[#This Row],[Date]],Team_Level[Result],"&lt;&gt;"))</f>
        <v/>
      </c>
      <c r="R928" t="str">
        <f>Team_Level[[#This Row],[Team]]&amp;"-"&amp;Team_Level[[#This Row],[Recency Rank]]</f>
        <v>Blackpool-</v>
      </c>
      <c r="S928" t="str">
        <f>IF(Team_Level[[#This Row],[Result]]="","",COUNTIFS(Team_Level[Team],Team_Level[[#This Row],[Team]],Team_Level[Date],"&lt;="&amp;Team_Level[[#This Row],[Date]],Team_Level[Result],"&lt;&gt;"))</f>
        <v/>
      </c>
      <c r="T928" t="str">
        <f>Team_Level[[#This Row],[Team]]&amp;"-"&amp;Team_Level[[#This Row],[Chrono Rank]]</f>
        <v>Blackpool-</v>
      </c>
    </row>
    <row r="929" spans="1:20" x14ac:dyDescent="0.25">
      <c r="A929" t="s">
        <v>454</v>
      </c>
      <c r="B929" s="6">
        <v>46438</v>
      </c>
      <c r="C929" t="s">
        <v>14</v>
      </c>
      <c r="D929" t="s">
        <v>5</v>
      </c>
      <c r="K929">
        <v>1</v>
      </c>
      <c r="L929" t="s">
        <v>35</v>
      </c>
      <c r="Q929" t="str">
        <f>IF(Team_Level[[#This Row],[Result]]="","",COUNTIFS(Team_Level[Team],Team_Level[[#This Row],[Team]],Team_Level[Date],"&gt;="&amp;Team_Level[[#This Row],[Date]],Team_Level[Result],"&lt;&gt;"))</f>
        <v/>
      </c>
      <c r="R929" t="str">
        <f>Team_Level[[#This Row],[Team]]&amp;"-"&amp;Team_Level[[#This Row],[Recency Rank]]</f>
        <v>Oxford United-</v>
      </c>
      <c r="S929" t="str">
        <f>IF(Team_Level[[#This Row],[Result]]="","",COUNTIFS(Team_Level[Team],Team_Level[[#This Row],[Team]],Team_Level[Date],"&lt;="&amp;Team_Level[[#This Row],[Date]],Team_Level[Result],"&lt;&gt;"))</f>
        <v/>
      </c>
      <c r="T929" t="str">
        <f>Team_Level[[#This Row],[Team]]&amp;"-"&amp;Team_Level[[#This Row],[Chrono Rank]]</f>
        <v>Oxford United-</v>
      </c>
    </row>
    <row r="930" spans="1:20" x14ac:dyDescent="0.25">
      <c r="A930" t="s">
        <v>455</v>
      </c>
      <c r="B930" s="6">
        <v>46438</v>
      </c>
      <c r="C930" t="s">
        <v>0</v>
      </c>
      <c r="D930" t="s">
        <v>7</v>
      </c>
      <c r="K930">
        <v>1</v>
      </c>
      <c r="L930" t="s">
        <v>35</v>
      </c>
      <c r="Q930" t="str">
        <f>IF(Team_Level[[#This Row],[Result]]="","",COUNTIFS(Team_Level[Team],Team_Level[[#This Row],[Team]],Team_Level[Date],"&gt;="&amp;Team_Level[[#This Row],[Date]],Team_Level[Result],"&lt;&gt;"))</f>
        <v/>
      </c>
      <c r="R930" t="str">
        <f>Team_Level[[#This Row],[Team]]&amp;"-"&amp;Team_Level[[#This Row],[Recency Rank]]</f>
        <v>AFC Wimbledon-</v>
      </c>
      <c r="S930" t="str">
        <f>IF(Team_Level[[#This Row],[Result]]="","",COUNTIFS(Team_Level[Team],Team_Level[[#This Row],[Team]],Team_Level[Date],"&lt;="&amp;Team_Level[[#This Row],[Date]],Team_Level[Result],"&lt;&gt;"))</f>
        <v/>
      </c>
      <c r="T930" t="str">
        <f>Team_Level[[#This Row],[Team]]&amp;"-"&amp;Team_Level[[#This Row],[Chrono Rank]]</f>
        <v>AFC Wimbledon-</v>
      </c>
    </row>
    <row r="931" spans="1:20" x14ac:dyDescent="0.25">
      <c r="A931" t="s">
        <v>456</v>
      </c>
      <c r="B931" s="6">
        <v>46438</v>
      </c>
      <c r="C931" t="s">
        <v>12</v>
      </c>
      <c r="D931" t="s">
        <v>8</v>
      </c>
      <c r="K931">
        <v>1</v>
      </c>
      <c r="L931" t="s">
        <v>35</v>
      </c>
      <c r="Q931" t="str">
        <f>IF(Team_Level[[#This Row],[Result]]="","",COUNTIFS(Team_Level[Team],Team_Level[[#This Row],[Team]],Team_Level[Date],"&gt;="&amp;Team_Level[[#This Row],[Date]],Team_Level[Result],"&lt;&gt;"))</f>
        <v/>
      </c>
      <c r="R931" t="str">
        <f>Team_Level[[#This Row],[Team]]&amp;"-"&amp;Team_Level[[#This Row],[Recency Rank]]</f>
        <v>Mansfield Town-</v>
      </c>
      <c r="S931" t="str">
        <f>IF(Team_Level[[#This Row],[Result]]="","",COUNTIFS(Team_Level[Team],Team_Level[[#This Row],[Team]],Team_Level[Date],"&lt;="&amp;Team_Level[[#This Row],[Date]],Team_Level[Result],"&lt;&gt;"))</f>
        <v/>
      </c>
      <c r="T931" t="str">
        <f>Team_Level[[#This Row],[Team]]&amp;"-"&amp;Team_Level[[#This Row],[Chrono Rank]]</f>
        <v>Mansfield Town-</v>
      </c>
    </row>
    <row r="932" spans="1:20" x14ac:dyDescent="0.25">
      <c r="A932" t="s">
        <v>457</v>
      </c>
      <c r="B932" s="6">
        <v>46438</v>
      </c>
      <c r="C932" t="s">
        <v>20</v>
      </c>
      <c r="D932" t="s">
        <v>9</v>
      </c>
      <c r="K932">
        <v>1</v>
      </c>
      <c r="L932" t="s">
        <v>35</v>
      </c>
      <c r="Q932" t="str">
        <f>IF(Team_Level[[#This Row],[Result]]="","",COUNTIFS(Team_Level[Team],Team_Level[[#This Row],[Team]],Team_Level[Date],"&gt;="&amp;Team_Level[[#This Row],[Date]],Team_Level[Result],"&lt;&gt;"))</f>
        <v/>
      </c>
      <c r="R932" t="str">
        <f>Team_Level[[#This Row],[Team]]&amp;"-"&amp;Team_Level[[#This Row],[Recency Rank]]</f>
        <v>Stockport County-</v>
      </c>
      <c r="S932" t="str">
        <f>IF(Team_Level[[#This Row],[Result]]="","",COUNTIFS(Team_Level[Team],Team_Level[[#This Row],[Team]],Team_Level[Date],"&lt;="&amp;Team_Level[[#This Row],[Date]],Team_Level[Result],"&lt;&gt;"))</f>
        <v/>
      </c>
      <c r="T932" t="str">
        <f>Team_Level[[#This Row],[Team]]&amp;"-"&amp;Team_Level[[#This Row],[Chrono Rank]]</f>
        <v>Stockport County-</v>
      </c>
    </row>
    <row r="933" spans="1:20" x14ac:dyDescent="0.25">
      <c r="A933" t="s">
        <v>458</v>
      </c>
      <c r="B933" s="6">
        <v>46438</v>
      </c>
      <c r="C933" t="s">
        <v>19</v>
      </c>
      <c r="D933" t="s">
        <v>11</v>
      </c>
      <c r="K933">
        <v>1</v>
      </c>
      <c r="L933" t="s">
        <v>35</v>
      </c>
      <c r="Q933" t="str">
        <f>IF(Team_Level[[#This Row],[Result]]="","",COUNTIFS(Team_Level[Team],Team_Level[[#This Row],[Team]],Team_Level[Date],"&gt;="&amp;Team_Level[[#This Row],[Date]],Team_Level[Result],"&lt;&gt;"))</f>
        <v/>
      </c>
      <c r="R933" t="str">
        <f>Team_Level[[#This Row],[Team]]&amp;"-"&amp;Team_Level[[#This Row],[Recency Rank]]</f>
        <v>Stevenage-</v>
      </c>
      <c r="S933" t="str">
        <f>IF(Team_Level[[#This Row],[Result]]="","",COUNTIFS(Team_Level[Team],Team_Level[[#This Row],[Team]],Team_Level[Date],"&lt;="&amp;Team_Level[[#This Row],[Date]],Team_Level[Result],"&lt;&gt;"))</f>
        <v/>
      </c>
      <c r="T933" t="str">
        <f>Team_Level[[#This Row],[Team]]&amp;"-"&amp;Team_Level[[#This Row],[Chrono Rank]]</f>
        <v>Stevenage-</v>
      </c>
    </row>
    <row r="934" spans="1:20" x14ac:dyDescent="0.25">
      <c r="A934" t="s">
        <v>459</v>
      </c>
      <c r="B934" s="6">
        <v>46438</v>
      </c>
      <c r="C934" t="s">
        <v>33</v>
      </c>
      <c r="D934" t="s">
        <v>15</v>
      </c>
      <c r="K934">
        <v>1</v>
      </c>
      <c r="L934" t="s">
        <v>35</v>
      </c>
      <c r="Q934" t="str">
        <f>IF(Team_Level[[#This Row],[Result]]="","",COUNTIFS(Team_Level[Team],Team_Level[[#This Row],[Team]],Team_Level[Date],"&gt;="&amp;Team_Level[[#This Row],[Date]],Team_Level[Result],"&lt;&gt;"))</f>
        <v/>
      </c>
      <c r="R934" t="str">
        <f>Team_Level[[#This Row],[Team]]&amp;"-"&amp;Team_Level[[#This Row],[Recency Rank]]</f>
        <v>Milton Keynes Dons-</v>
      </c>
      <c r="S934" t="str">
        <f>IF(Team_Level[[#This Row],[Result]]="","",COUNTIFS(Team_Level[Team],Team_Level[[#This Row],[Team]],Team_Level[Date],"&lt;="&amp;Team_Level[[#This Row],[Date]],Team_Level[Result],"&lt;&gt;"))</f>
        <v/>
      </c>
      <c r="T934" t="str">
        <f>Team_Level[[#This Row],[Team]]&amp;"-"&amp;Team_Level[[#This Row],[Chrono Rank]]</f>
        <v>Milton Keynes Dons-</v>
      </c>
    </row>
    <row r="935" spans="1:20" x14ac:dyDescent="0.25">
      <c r="A935" t="s">
        <v>460</v>
      </c>
      <c r="B935" s="6">
        <v>46438</v>
      </c>
      <c r="C935" t="s">
        <v>6</v>
      </c>
      <c r="D935" t="s">
        <v>17</v>
      </c>
      <c r="K935">
        <v>1</v>
      </c>
      <c r="L935" t="s">
        <v>35</v>
      </c>
      <c r="Q935" t="str">
        <f>IF(Team_Level[[#This Row],[Result]]="","",COUNTIFS(Team_Level[Team],Team_Level[[#This Row],[Team]],Team_Level[Date],"&gt;="&amp;Team_Level[[#This Row],[Date]],Team_Level[Result],"&lt;&gt;"))</f>
        <v/>
      </c>
      <c r="R935" t="str">
        <f>Team_Level[[#This Row],[Team]]&amp;"-"&amp;Team_Level[[#This Row],[Recency Rank]]</f>
        <v>Cambridge United-</v>
      </c>
      <c r="S935" t="str">
        <f>IF(Team_Level[[#This Row],[Result]]="","",COUNTIFS(Team_Level[Team],Team_Level[[#This Row],[Team]],Team_Level[Date],"&lt;="&amp;Team_Level[[#This Row],[Date]],Team_Level[Result],"&lt;&gt;"))</f>
        <v/>
      </c>
      <c r="T935" t="str">
        <f>Team_Level[[#This Row],[Team]]&amp;"-"&amp;Team_Level[[#This Row],[Chrono Rank]]</f>
        <v>Cambridge United-</v>
      </c>
    </row>
    <row r="936" spans="1:20" x14ac:dyDescent="0.25">
      <c r="A936" t="s">
        <v>461</v>
      </c>
      <c r="B936" s="6">
        <v>46438</v>
      </c>
      <c r="C936" t="s">
        <v>18</v>
      </c>
      <c r="D936" t="s">
        <v>21</v>
      </c>
      <c r="K936">
        <v>1</v>
      </c>
      <c r="L936" t="s">
        <v>35</v>
      </c>
      <c r="Q936" t="str">
        <f>IF(Team_Level[[#This Row],[Result]]="","",COUNTIFS(Team_Level[Team],Team_Level[[#This Row],[Team]],Team_Level[Date],"&gt;="&amp;Team_Level[[#This Row],[Date]],Team_Level[Result],"&lt;&gt;"))</f>
        <v/>
      </c>
      <c r="R936" t="str">
        <f>Team_Level[[#This Row],[Team]]&amp;"-"&amp;Team_Level[[#This Row],[Recency Rank]]</f>
        <v>Sheffield Wednesday-</v>
      </c>
      <c r="S936" t="str">
        <f>IF(Team_Level[[#This Row],[Result]]="","",COUNTIFS(Team_Level[Team],Team_Level[[#This Row],[Team]],Team_Level[Date],"&lt;="&amp;Team_Level[[#This Row],[Date]],Team_Level[Result],"&lt;&gt;"))</f>
        <v/>
      </c>
      <c r="T936" t="str">
        <f>Team_Level[[#This Row],[Team]]&amp;"-"&amp;Team_Level[[#This Row],[Chrono Rank]]</f>
        <v>Sheffield Wednesday-</v>
      </c>
    </row>
    <row r="937" spans="1:20" x14ac:dyDescent="0.25">
      <c r="A937" t="s">
        <v>462</v>
      </c>
      <c r="B937" s="6">
        <v>46438</v>
      </c>
      <c r="C937" t="s">
        <v>10</v>
      </c>
      <c r="D937" t="s">
        <v>22</v>
      </c>
      <c r="K937">
        <v>1</v>
      </c>
      <c r="L937" t="s">
        <v>35</v>
      </c>
      <c r="Q937" t="str">
        <f>IF(Team_Level[[#This Row],[Result]]="","",COUNTIFS(Team_Level[Team],Team_Level[[#This Row],[Team]],Team_Level[Date],"&gt;="&amp;Team_Level[[#This Row],[Date]],Team_Level[Result],"&lt;&gt;"))</f>
        <v/>
      </c>
      <c r="R937" t="str">
        <f>Team_Level[[#This Row],[Team]]&amp;"-"&amp;Team_Level[[#This Row],[Recency Rank]]</f>
        <v>Leyton Orient-</v>
      </c>
      <c r="S937" t="str">
        <f>IF(Team_Level[[#This Row],[Result]]="","",COUNTIFS(Team_Level[Team],Team_Level[[#This Row],[Team]],Team_Level[Date],"&lt;="&amp;Team_Level[[#This Row],[Date]],Team_Level[Result],"&lt;&gt;"))</f>
        <v/>
      </c>
      <c r="T937" t="str">
        <f>Team_Level[[#This Row],[Team]]&amp;"-"&amp;Team_Level[[#This Row],[Chrono Rank]]</f>
        <v>Leyton Orient-</v>
      </c>
    </row>
    <row r="938" spans="1:20" x14ac:dyDescent="0.25">
      <c r="A938" t="s">
        <v>463</v>
      </c>
      <c r="B938" s="6">
        <v>46445</v>
      </c>
      <c r="C938" t="s">
        <v>21</v>
      </c>
      <c r="D938" t="s">
        <v>1</v>
      </c>
      <c r="K938">
        <v>1</v>
      </c>
      <c r="L938" t="s">
        <v>35</v>
      </c>
      <c r="Q938" t="str">
        <f>IF(Team_Level[[#This Row],[Result]]="","",COUNTIFS(Team_Level[Team],Team_Level[[#This Row],[Team]],Team_Level[Date],"&gt;="&amp;Team_Level[[#This Row],[Date]],Team_Level[Result],"&lt;&gt;"))</f>
        <v/>
      </c>
      <c r="R938" t="str">
        <f>Team_Level[[#This Row],[Team]]&amp;"-"&amp;Team_Level[[#This Row],[Recency Rank]]</f>
        <v>Wigan Athletic-</v>
      </c>
      <c r="S938" t="str">
        <f>IF(Team_Level[[#This Row],[Result]]="","",COUNTIFS(Team_Level[Team],Team_Level[[#This Row],[Team]],Team_Level[Date],"&lt;="&amp;Team_Level[[#This Row],[Date]],Team_Level[Result],"&lt;&gt;"))</f>
        <v/>
      </c>
      <c r="T938" t="str">
        <f>Team_Level[[#This Row],[Team]]&amp;"-"&amp;Team_Level[[#This Row],[Chrono Rank]]</f>
        <v>Wigan Athletic-</v>
      </c>
    </row>
    <row r="939" spans="1:20" x14ac:dyDescent="0.25">
      <c r="A939" t="s">
        <v>464</v>
      </c>
      <c r="B939" s="6">
        <v>46445</v>
      </c>
      <c r="C939" t="s">
        <v>0</v>
      </c>
      <c r="D939" t="s">
        <v>2</v>
      </c>
      <c r="K939">
        <v>1</v>
      </c>
      <c r="L939" t="s">
        <v>35</v>
      </c>
      <c r="Q939" t="str">
        <f>IF(Team_Level[[#This Row],[Result]]="","",COUNTIFS(Team_Level[Team],Team_Level[[#This Row],[Team]],Team_Level[Date],"&gt;="&amp;Team_Level[[#This Row],[Date]],Team_Level[Result],"&lt;&gt;"))</f>
        <v/>
      </c>
      <c r="R939" t="str">
        <f>Team_Level[[#This Row],[Team]]&amp;"-"&amp;Team_Level[[#This Row],[Recency Rank]]</f>
        <v>AFC Wimbledon-</v>
      </c>
      <c r="S939" t="str">
        <f>IF(Team_Level[[#This Row],[Result]]="","",COUNTIFS(Team_Level[Team],Team_Level[[#This Row],[Team]],Team_Level[Date],"&lt;="&amp;Team_Level[[#This Row],[Date]],Team_Level[Result],"&lt;&gt;"))</f>
        <v/>
      </c>
      <c r="T939" t="str">
        <f>Team_Level[[#This Row],[Team]]&amp;"-"&amp;Team_Level[[#This Row],[Chrono Rank]]</f>
        <v>AFC Wimbledon-</v>
      </c>
    </row>
    <row r="940" spans="1:20" x14ac:dyDescent="0.25">
      <c r="A940" t="s">
        <v>465</v>
      </c>
      <c r="B940" s="6">
        <v>46445</v>
      </c>
      <c r="C940" t="s">
        <v>9</v>
      </c>
      <c r="D940" t="s">
        <v>3</v>
      </c>
      <c r="K940">
        <v>1</v>
      </c>
      <c r="L940" t="s">
        <v>35</v>
      </c>
      <c r="Q940" t="str">
        <f>IF(Team_Level[[#This Row],[Result]]="","",COUNTIFS(Team_Level[Team],Team_Level[[#This Row],[Team]],Team_Level[Date],"&gt;="&amp;Team_Level[[#This Row],[Date]],Team_Level[Result],"&lt;&gt;"))</f>
        <v/>
      </c>
      <c r="R940" t="str">
        <f>Team_Level[[#This Row],[Team]]&amp;"-"&amp;Team_Level[[#This Row],[Recency Rank]]</f>
        <v>Leicester City-</v>
      </c>
      <c r="S940" t="str">
        <f>IF(Team_Level[[#This Row],[Result]]="","",COUNTIFS(Team_Level[Team],Team_Level[[#This Row],[Team]],Team_Level[Date],"&lt;="&amp;Team_Level[[#This Row],[Date]],Team_Level[Result],"&lt;&gt;"))</f>
        <v/>
      </c>
      <c r="T940" t="str">
        <f>Team_Level[[#This Row],[Team]]&amp;"-"&amp;Team_Level[[#This Row],[Chrono Rank]]</f>
        <v>Leicester City-</v>
      </c>
    </row>
    <row r="941" spans="1:20" x14ac:dyDescent="0.25">
      <c r="A941" t="s">
        <v>466</v>
      </c>
      <c r="B941" s="6">
        <v>46445</v>
      </c>
      <c r="C941" t="s">
        <v>33</v>
      </c>
      <c r="D941" t="s">
        <v>5</v>
      </c>
      <c r="K941">
        <v>1</v>
      </c>
      <c r="L941" t="s">
        <v>35</v>
      </c>
      <c r="Q941" t="str">
        <f>IF(Team_Level[[#This Row],[Result]]="","",COUNTIFS(Team_Level[Team],Team_Level[[#This Row],[Team]],Team_Level[Date],"&gt;="&amp;Team_Level[[#This Row],[Date]],Team_Level[Result],"&lt;&gt;"))</f>
        <v/>
      </c>
      <c r="R941" t="str">
        <f>Team_Level[[#This Row],[Team]]&amp;"-"&amp;Team_Level[[#This Row],[Recency Rank]]</f>
        <v>Milton Keynes Dons-</v>
      </c>
      <c r="S941" t="str">
        <f>IF(Team_Level[[#This Row],[Result]]="","",COUNTIFS(Team_Level[Team],Team_Level[[#This Row],[Team]],Team_Level[Date],"&lt;="&amp;Team_Level[[#This Row],[Date]],Team_Level[Result],"&lt;&gt;"))</f>
        <v/>
      </c>
      <c r="T941" t="str">
        <f>Team_Level[[#This Row],[Team]]&amp;"-"&amp;Team_Level[[#This Row],[Chrono Rank]]</f>
        <v>Milton Keynes Dons-</v>
      </c>
    </row>
    <row r="942" spans="1:20" x14ac:dyDescent="0.25">
      <c r="A942" t="s">
        <v>467</v>
      </c>
      <c r="B942" s="6">
        <v>46445</v>
      </c>
      <c r="C942" t="s">
        <v>15</v>
      </c>
      <c r="D942" t="s">
        <v>6</v>
      </c>
      <c r="K942">
        <v>1</v>
      </c>
      <c r="L942" t="s">
        <v>35</v>
      </c>
      <c r="Q942" t="str">
        <f>IF(Team_Level[[#This Row],[Result]]="","",COUNTIFS(Team_Level[Team],Team_Level[[#This Row],[Team]],Team_Level[Date],"&gt;="&amp;Team_Level[[#This Row],[Date]],Team_Level[Result],"&lt;&gt;"))</f>
        <v/>
      </c>
      <c r="R942" t="str">
        <f>Team_Level[[#This Row],[Team]]&amp;"-"&amp;Team_Level[[#This Row],[Recency Rank]]</f>
        <v>Peterborough United-</v>
      </c>
      <c r="S942" t="str">
        <f>IF(Team_Level[[#This Row],[Result]]="","",COUNTIFS(Team_Level[Team],Team_Level[[#This Row],[Team]],Team_Level[Date],"&lt;="&amp;Team_Level[[#This Row],[Date]],Team_Level[Result],"&lt;&gt;"))</f>
        <v/>
      </c>
      <c r="T942" t="str">
        <f>Team_Level[[#This Row],[Team]]&amp;"-"&amp;Team_Level[[#This Row],[Chrono Rank]]</f>
        <v>Peterborough United-</v>
      </c>
    </row>
    <row r="943" spans="1:20" x14ac:dyDescent="0.25">
      <c r="A943" t="s">
        <v>468</v>
      </c>
      <c r="B943" s="6">
        <v>46445</v>
      </c>
      <c r="C943" t="s">
        <v>22</v>
      </c>
      <c r="D943" t="s">
        <v>8</v>
      </c>
      <c r="K943">
        <v>1</v>
      </c>
      <c r="L943" t="s">
        <v>35</v>
      </c>
      <c r="Q943" t="str">
        <f>IF(Team_Level[[#This Row],[Result]]="","",COUNTIFS(Team_Level[Team],Team_Level[[#This Row],[Team]],Team_Level[Date],"&gt;="&amp;Team_Level[[#This Row],[Date]],Team_Level[Result],"&lt;&gt;"))</f>
        <v/>
      </c>
      <c r="R943" t="str">
        <f>Team_Level[[#This Row],[Team]]&amp;"-"&amp;Team_Level[[#This Row],[Recency Rank]]</f>
        <v>Wycombe Wanderers-</v>
      </c>
      <c r="S943" t="str">
        <f>IF(Team_Level[[#This Row],[Result]]="","",COUNTIFS(Team_Level[Team],Team_Level[[#This Row],[Team]],Team_Level[Date],"&lt;="&amp;Team_Level[[#This Row],[Date]],Team_Level[Result],"&lt;&gt;"))</f>
        <v/>
      </c>
      <c r="T943" t="str">
        <f>Team_Level[[#This Row],[Team]]&amp;"-"&amp;Team_Level[[#This Row],[Chrono Rank]]</f>
        <v>Wycombe Wanderers-</v>
      </c>
    </row>
    <row r="944" spans="1:20" x14ac:dyDescent="0.25">
      <c r="A944" t="s">
        <v>469</v>
      </c>
      <c r="B944" s="6">
        <v>46445</v>
      </c>
      <c r="C944" t="s">
        <v>7</v>
      </c>
      <c r="D944" t="s">
        <v>10</v>
      </c>
      <c r="K944">
        <v>1</v>
      </c>
      <c r="L944" t="s">
        <v>35</v>
      </c>
      <c r="Q944" t="str">
        <f>IF(Team_Level[[#This Row],[Result]]="","",COUNTIFS(Team_Level[Team],Team_Level[[#This Row],[Team]],Team_Level[Date],"&gt;="&amp;Team_Level[[#This Row],[Date]],Team_Level[Result],"&lt;&gt;"))</f>
        <v/>
      </c>
      <c r="R944" t="str">
        <f>Team_Level[[#This Row],[Team]]&amp;"-"&amp;Team_Level[[#This Row],[Recency Rank]]</f>
        <v>Doncaster Rovers-</v>
      </c>
      <c r="S944" t="str">
        <f>IF(Team_Level[[#This Row],[Result]]="","",COUNTIFS(Team_Level[Team],Team_Level[[#This Row],[Team]],Team_Level[Date],"&lt;="&amp;Team_Level[[#This Row],[Date]],Team_Level[Result],"&lt;&gt;"))</f>
        <v/>
      </c>
      <c r="T944" t="str">
        <f>Team_Level[[#This Row],[Team]]&amp;"-"&amp;Team_Level[[#This Row],[Chrono Rank]]</f>
        <v>Doncaster Rovers-</v>
      </c>
    </row>
    <row r="945" spans="1:20" x14ac:dyDescent="0.25">
      <c r="A945" t="s">
        <v>470</v>
      </c>
      <c r="B945" s="6">
        <v>46445</v>
      </c>
      <c r="C945" t="s">
        <v>19</v>
      </c>
      <c r="D945" t="s">
        <v>12</v>
      </c>
      <c r="K945">
        <v>1</v>
      </c>
      <c r="L945" t="s">
        <v>35</v>
      </c>
      <c r="Q945" t="str">
        <f>IF(Team_Level[[#This Row],[Result]]="","",COUNTIFS(Team_Level[Team],Team_Level[[#This Row],[Team]],Team_Level[Date],"&gt;="&amp;Team_Level[[#This Row],[Date]],Team_Level[Result],"&lt;&gt;"))</f>
        <v/>
      </c>
      <c r="R945" t="str">
        <f>Team_Level[[#This Row],[Team]]&amp;"-"&amp;Team_Level[[#This Row],[Recency Rank]]</f>
        <v>Stevenage-</v>
      </c>
      <c r="S945" t="str">
        <f>IF(Team_Level[[#This Row],[Result]]="","",COUNTIFS(Team_Level[Team],Team_Level[[#This Row],[Team]],Team_Level[Date],"&lt;="&amp;Team_Level[[#This Row],[Date]],Team_Level[Result],"&lt;&gt;"))</f>
        <v/>
      </c>
      <c r="T945" t="str">
        <f>Team_Level[[#This Row],[Team]]&amp;"-"&amp;Team_Level[[#This Row],[Chrono Rank]]</f>
        <v>Stevenage-</v>
      </c>
    </row>
    <row r="946" spans="1:20" x14ac:dyDescent="0.25">
      <c r="A946" t="s">
        <v>471</v>
      </c>
      <c r="B946" s="6">
        <v>46445</v>
      </c>
      <c r="C946" t="s">
        <v>4</v>
      </c>
      <c r="D946" t="s">
        <v>13</v>
      </c>
      <c r="K946">
        <v>1</v>
      </c>
      <c r="L946" t="s">
        <v>35</v>
      </c>
      <c r="Q946" t="str">
        <f>IF(Team_Level[[#This Row],[Result]]="","",COUNTIFS(Team_Level[Team],Team_Level[[#This Row],[Team]],Team_Level[Date],"&gt;="&amp;Team_Level[[#This Row],[Date]],Team_Level[Result],"&lt;&gt;"))</f>
        <v/>
      </c>
      <c r="R946" t="str">
        <f>Team_Level[[#This Row],[Team]]&amp;"-"&amp;Team_Level[[#This Row],[Recency Rank]]</f>
        <v>Bromley-</v>
      </c>
      <c r="S946" t="str">
        <f>IF(Team_Level[[#This Row],[Result]]="","",COUNTIFS(Team_Level[Team],Team_Level[[#This Row],[Team]],Team_Level[Date],"&lt;="&amp;Team_Level[[#This Row],[Date]],Team_Level[Result],"&lt;&gt;"))</f>
        <v/>
      </c>
      <c r="T946" t="str">
        <f>Team_Level[[#This Row],[Team]]&amp;"-"&amp;Team_Level[[#This Row],[Chrono Rank]]</f>
        <v>Bromley-</v>
      </c>
    </row>
    <row r="947" spans="1:20" x14ac:dyDescent="0.25">
      <c r="A947" t="s">
        <v>472</v>
      </c>
      <c r="B947" s="6">
        <v>46445</v>
      </c>
      <c r="C947" t="s">
        <v>11</v>
      </c>
      <c r="D947" t="s">
        <v>14</v>
      </c>
      <c r="K947">
        <v>1</v>
      </c>
      <c r="L947" t="s">
        <v>35</v>
      </c>
      <c r="Q947" t="str">
        <f>IF(Team_Level[[#This Row],[Result]]="","",COUNTIFS(Team_Level[Team],Team_Level[[#This Row],[Team]],Team_Level[Date],"&gt;="&amp;Team_Level[[#This Row],[Date]],Team_Level[Result],"&lt;&gt;"))</f>
        <v/>
      </c>
      <c r="R947" t="str">
        <f>Team_Level[[#This Row],[Team]]&amp;"-"&amp;Team_Level[[#This Row],[Recency Rank]]</f>
        <v>Luton Town-</v>
      </c>
      <c r="S947" t="str">
        <f>IF(Team_Level[[#This Row],[Result]]="","",COUNTIFS(Team_Level[Team],Team_Level[[#This Row],[Team]],Team_Level[Date],"&lt;="&amp;Team_Level[[#This Row],[Date]],Team_Level[Result],"&lt;&gt;"))</f>
        <v/>
      </c>
      <c r="T947" t="str">
        <f>Team_Level[[#This Row],[Team]]&amp;"-"&amp;Team_Level[[#This Row],[Chrono Rank]]</f>
        <v>Luton Town-</v>
      </c>
    </row>
    <row r="948" spans="1:20" x14ac:dyDescent="0.25">
      <c r="A948" t="s">
        <v>473</v>
      </c>
      <c r="B948" s="6">
        <v>46445</v>
      </c>
      <c r="C948" t="s">
        <v>18</v>
      </c>
      <c r="D948" t="s">
        <v>16</v>
      </c>
      <c r="K948">
        <v>1</v>
      </c>
      <c r="L948" t="s">
        <v>35</v>
      </c>
      <c r="Q948" t="str">
        <f>IF(Team_Level[[#This Row],[Result]]="","",COUNTIFS(Team_Level[Team],Team_Level[[#This Row],[Team]],Team_Level[Date],"&gt;="&amp;Team_Level[[#This Row],[Date]],Team_Level[Result],"&lt;&gt;"))</f>
        <v/>
      </c>
      <c r="R948" t="str">
        <f>Team_Level[[#This Row],[Team]]&amp;"-"&amp;Team_Level[[#This Row],[Recency Rank]]</f>
        <v>Sheffield Wednesday-</v>
      </c>
      <c r="S948" t="str">
        <f>IF(Team_Level[[#This Row],[Result]]="","",COUNTIFS(Team_Level[Team],Team_Level[[#This Row],[Team]],Team_Level[Date],"&lt;="&amp;Team_Level[[#This Row],[Date]],Team_Level[Result],"&lt;&gt;"))</f>
        <v/>
      </c>
      <c r="T948" t="str">
        <f>Team_Level[[#This Row],[Team]]&amp;"-"&amp;Team_Level[[#This Row],[Chrono Rank]]</f>
        <v>Sheffield Wednesday-</v>
      </c>
    </row>
    <row r="949" spans="1:20" x14ac:dyDescent="0.25">
      <c r="A949" t="s">
        <v>474</v>
      </c>
      <c r="B949" s="6">
        <v>46445</v>
      </c>
      <c r="C949" t="s">
        <v>20</v>
      </c>
      <c r="D949" t="s">
        <v>17</v>
      </c>
      <c r="K949">
        <v>1</v>
      </c>
      <c r="L949" t="s">
        <v>35</v>
      </c>
      <c r="Q949" t="str">
        <f>IF(Team_Level[[#This Row],[Result]]="","",COUNTIFS(Team_Level[Team],Team_Level[[#This Row],[Team]],Team_Level[Date],"&gt;="&amp;Team_Level[[#This Row],[Date]],Team_Level[Result],"&lt;&gt;"))</f>
        <v/>
      </c>
      <c r="R949" t="str">
        <f>Team_Level[[#This Row],[Team]]&amp;"-"&amp;Team_Level[[#This Row],[Recency Rank]]</f>
        <v>Stockport County-</v>
      </c>
      <c r="S949" t="str">
        <f>IF(Team_Level[[#This Row],[Result]]="","",COUNTIFS(Team_Level[Team],Team_Level[[#This Row],[Team]],Team_Level[Date],"&lt;="&amp;Team_Level[[#This Row],[Date]],Team_Level[Result],"&lt;&gt;"))</f>
        <v/>
      </c>
      <c r="T949" t="str">
        <f>Team_Level[[#This Row],[Team]]&amp;"-"&amp;Team_Level[[#This Row],[Chrono Rank]]</f>
        <v>Stockport County-</v>
      </c>
    </row>
    <row r="950" spans="1:20" x14ac:dyDescent="0.25">
      <c r="A950" t="s">
        <v>475</v>
      </c>
      <c r="B950" s="6">
        <v>46452</v>
      </c>
      <c r="C950" t="s">
        <v>8</v>
      </c>
      <c r="D950" t="s">
        <v>0</v>
      </c>
      <c r="K950">
        <v>1</v>
      </c>
      <c r="L950" t="s">
        <v>35</v>
      </c>
      <c r="Q950" t="str">
        <f>IF(Team_Level[[#This Row],[Result]]="","",COUNTIFS(Team_Level[Team],Team_Level[[#This Row],[Team]],Team_Level[Date],"&gt;="&amp;Team_Level[[#This Row],[Date]],Team_Level[Result],"&lt;&gt;"))</f>
        <v/>
      </c>
      <c r="R950" t="str">
        <f>Team_Level[[#This Row],[Team]]&amp;"-"&amp;Team_Level[[#This Row],[Recency Rank]]</f>
        <v>Huddersfield Town-</v>
      </c>
      <c r="S950" t="str">
        <f>IF(Team_Level[[#This Row],[Result]]="","",COUNTIFS(Team_Level[Team],Team_Level[[#This Row],[Team]],Team_Level[Date],"&lt;="&amp;Team_Level[[#This Row],[Date]],Team_Level[Result],"&lt;&gt;"))</f>
        <v/>
      </c>
      <c r="T950" t="str">
        <f>Team_Level[[#This Row],[Team]]&amp;"-"&amp;Team_Level[[#This Row],[Chrono Rank]]</f>
        <v>Huddersfield Town-</v>
      </c>
    </row>
    <row r="951" spans="1:20" x14ac:dyDescent="0.25">
      <c r="A951" t="s">
        <v>476</v>
      </c>
      <c r="B951" s="6">
        <v>46452</v>
      </c>
      <c r="C951" t="s">
        <v>1</v>
      </c>
      <c r="D951" t="s">
        <v>4</v>
      </c>
      <c r="K951">
        <v>1</v>
      </c>
      <c r="L951" t="s">
        <v>35</v>
      </c>
      <c r="Q951" t="str">
        <f>IF(Team_Level[[#This Row],[Result]]="","",COUNTIFS(Team_Level[Team],Team_Level[[#This Row],[Team]],Team_Level[Date],"&gt;="&amp;Team_Level[[#This Row],[Date]],Team_Level[Result],"&lt;&gt;"))</f>
        <v/>
      </c>
      <c r="R951" t="str">
        <f>Team_Level[[#This Row],[Team]]&amp;"-"&amp;Team_Level[[#This Row],[Recency Rank]]</f>
        <v>Barnsley-</v>
      </c>
      <c r="S951" t="str">
        <f>IF(Team_Level[[#This Row],[Result]]="","",COUNTIFS(Team_Level[Team],Team_Level[[#This Row],[Team]],Team_Level[Date],"&lt;="&amp;Team_Level[[#This Row],[Date]],Team_Level[Result],"&lt;&gt;"))</f>
        <v/>
      </c>
      <c r="T951" t="str">
        <f>Team_Level[[#This Row],[Team]]&amp;"-"&amp;Team_Level[[#This Row],[Chrono Rank]]</f>
        <v>Barnsley-</v>
      </c>
    </row>
    <row r="952" spans="1:20" x14ac:dyDescent="0.25">
      <c r="A952" t="s">
        <v>477</v>
      </c>
      <c r="B952" s="6">
        <v>46452</v>
      </c>
      <c r="C952" t="s">
        <v>12</v>
      </c>
      <c r="D952" t="s">
        <v>7</v>
      </c>
      <c r="K952">
        <v>1</v>
      </c>
      <c r="L952" t="s">
        <v>35</v>
      </c>
      <c r="Q952" t="str">
        <f>IF(Team_Level[[#This Row],[Result]]="","",COUNTIFS(Team_Level[Team],Team_Level[[#This Row],[Team]],Team_Level[Date],"&gt;="&amp;Team_Level[[#This Row],[Date]],Team_Level[Result],"&lt;&gt;"))</f>
        <v/>
      </c>
      <c r="R952" t="str">
        <f>Team_Level[[#This Row],[Team]]&amp;"-"&amp;Team_Level[[#This Row],[Recency Rank]]</f>
        <v>Mansfield Town-</v>
      </c>
      <c r="S952" t="str">
        <f>IF(Team_Level[[#This Row],[Result]]="","",COUNTIFS(Team_Level[Team],Team_Level[[#This Row],[Team]],Team_Level[Date],"&lt;="&amp;Team_Level[[#This Row],[Date]],Team_Level[Result],"&lt;&gt;"))</f>
        <v/>
      </c>
      <c r="T952" t="str">
        <f>Team_Level[[#This Row],[Team]]&amp;"-"&amp;Team_Level[[#This Row],[Chrono Rank]]</f>
        <v>Mansfield Town-</v>
      </c>
    </row>
    <row r="953" spans="1:20" x14ac:dyDescent="0.25">
      <c r="A953" t="s">
        <v>478</v>
      </c>
      <c r="B953" s="6">
        <v>46452</v>
      </c>
      <c r="C953" t="s">
        <v>13</v>
      </c>
      <c r="D953" t="s">
        <v>9</v>
      </c>
      <c r="K953">
        <v>1</v>
      </c>
      <c r="L953" t="s">
        <v>35</v>
      </c>
      <c r="Q953" t="str">
        <f>IF(Team_Level[[#This Row],[Result]]="","",COUNTIFS(Team_Level[Team],Team_Level[[#This Row],[Team]],Team_Level[Date],"&gt;="&amp;Team_Level[[#This Row],[Date]],Team_Level[Result],"&lt;&gt;"))</f>
        <v/>
      </c>
      <c r="R953" t="str">
        <f>Team_Level[[#This Row],[Team]]&amp;"-"&amp;Team_Level[[#This Row],[Recency Rank]]</f>
        <v>Notts County-</v>
      </c>
      <c r="S953" t="str">
        <f>IF(Team_Level[[#This Row],[Result]]="","",COUNTIFS(Team_Level[Team],Team_Level[[#This Row],[Team]],Team_Level[Date],"&lt;="&amp;Team_Level[[#This Row],[Date]],Team_Level[Result],"&lt;&gt;"))</f>
        <v/>
      </c>
      <c r="T953" t="str">
        <f>Team_Level[[#This Row],[Team]]&amp;"-"&amp;Team_Level[[#This Row],[Chrono Rank]]</f>
        <v>Notts County-</v>
      </c>
    </row>
    <row r="954" spans="1:20" x14ac:dyDescent="0.25">
      <c r="A954" t="s">
        <v>479</v>
      </c>
      <c r="B954" s="6">
        <v>46452</v>
      </c>
      <c r="C954" t="s">
        <v>17</v>
      </c>
      <c r="D954" t="s">
        <v>11</v>
      </c>
      <c r="K954">
        <v>1</v>
      </c>
      <c r="L954" t="s">
        <v>35</v>
      </c>
      <c r="Q954" t="str">
        <f>IF(Team_Level[[#This Row],[Result]]="","",COUNTIFS(Team_Level[Team],Team_Level[[#This Row],[Team]],Team_Level[Date],"&gt;="&amp;Team_Level[[#This Row],[Date]],Team_Level[Result],"&lt;&gt;"))</f>
        <v/>
      </c>
      <c r="R954" t="str">
        <f>Team_Level[[#This Row],[Team]]&amp;"-"&amp;Team_Level[[#This Row],[Recency Rank]]</f>
        <v>Reading-</v>
      </c>
      <c r="S954" t="str">
        <f>IF(Team_Level[[#This Row],[Result]]="","",COUNTIFS(Team_Level[Team],Team_Level[[#This Row],[Team]],Team_Level[Date],"&lt;="&amp;Team_Level[[#This Row],[Date]],Team_Level[Result],"&lt;&gt;"))</f>
        <v/>
      </c>
      <c r="T954" t="str">
        <f>Team_Level[[#This Row],[Team]]&amp;"-"&amp;Team_Level[[#This Row],[Chrono Rank]]</f>
        <v>Reading-</v>
      </c>
    </row>
    <row r="955" spans="1:20" x14ac:dyDescent="0.25">
      <c r="A955" t="s">
        <v>480</v>
      </c>
      <c r="B955" s="6">
        <v>46452</v>
      </c>
      <c r="C955" t="s">
        <v>14</v>
      </c>
      <c r="D955" t="s">
        <v>33</v>
      </c>
      <c r="K955">
        <v>1</v>
      </c>
      <c r="L955" t="s">
        <v>35</v>
      </c>
      <c r="Q955" t="str">
        <f>IF(Team_Level[[#This Row],[Result]]="","",COUNTIFS(Team_Level[Team],Team_Level[[#This Row],[Team]],Team_Level[Date],"&gt;="&amp;Team_Level[[#This Row],[Date]],Team_Level[Result],"&lt;&gt;"))</f>
        <v/>
      </c>
      <c r="R955" t="str">
        <f>Team_Level[[#This Row],[Team]]&amp;"-"&amp;Team_Level[[#This Row],[Recency Rank]]</f>
        <v>Oxford United-</v>
      </c>
      <c r="S955" t="str">
        <f>IF(Team_Level[[#This Row],[Result]]="","",COUNTIFS(Team_Level[Team],Team_Level[[#This Row],[Team]],Team_Level[Date],"&lt;="&amp;Team_Level[[#This Row],[Date]],Team_Level[Result],"&lt;&gt;"))</f>
        <v/>
      </c>
      <c r="T955" t="str">
        <f>Team_Level[[#This Row],[Team]]&amp;"-"&amp;Team_Level[[#This Row],[Chrono Rank]]</f>
        <v>Oxford United-</v>
      </c>
    </row>
    <row r="956" spans="1:20" x14ac:dyDescent="0.25">
      <c r="A956" t="s">
        <v>481</v>
      </c>
      <c r="B956" s="6">
        <v>46452</v>
      </c>
      <c r="C956" t="s">
        <v>3</v>
      </c>
      <c r="D956" t="s">
        <v>15</v>
      </c>
      <c r="K956">
        <v>1</v>
      </c>
      <c r="L956" t="s">
        <v>35</v>
      </c>
      <c r="Q956" t="str">
        <f>IF(Team_Level[[#This Row],[Result]]="","",COUNTIFS(Team_Level[Team],Team_Level[[#This Row],[Team]],Team_Level[Date],"&gt;="&amp;Team_Level[[#This Row],[Date]],Team_Level[Result],"&lt;&gt;"))</f>
        <v/>
      </c>
      <c r="R956" t="str">
        <f>Team_Level[[#This Row],[Team]]&amp;"-"&amp;Team_Level[[#This Row],[Recency Rank]]</f>
        <v>Bradford City-</v>
      </c>
      <c r="S956" t="str">
        <f>IF(Team_Level[[#This Row],[Result]]="","",COUNTIFS(Team_Level[Team],Team_Level[[#This Row],[Team]],Team_Level[Date],"&lt;="&amp;Team_Level[[#This Row],[Date]],Team_Level[Result],"&lt;&gt;"))</f>
        <v/>
      </c>
      <c r="T956" t="str">
        <f>Team_Level[[#This Row],[Team]]&amp;"-"&amp;Team_Level[[#This Row],[Chrono Rank]]</f>
        <v>Bradford City-</v>
      </c>
    </row>
    <row r="957" spans="1:20" x14ac:dyDescent="0.25">
      <c r="A957" t="s">
        <v>482</v>
      </c>
      <c r="B957" s="6">
        <v>46452</v>
      </c>
      <c r="C957" t="s">
        <v>10</v>
      </c>
      <c r="D957" t="s">
        <v>18</v>
      </c>
      <c r="K957">
        <v>1</v>
      </c>
      <c r="L957" t="s">
        <v>35</v>
      </c>
      <c r="Q957" t="str">
        <f>IF(Team_Level[[#This Row],[Result]]="","",COUNTIFS(Team_Level[Team],Team_Level[[#This Row],[Team]],Team_Level[Date],"&gt;="&amp;Team_Level[[#This Row],[Date]],Team_Level[Result],"&lt;&gt;"))</f>
        <v/>
      </c>
      <c r="R957" t="str">
        <f>Team_Level[[#This Row],[Team]]&amp;"-"&amp;Team_Level[[#This Row],[Recency Rank]]</f>
        <v>Leyton Orient-</v>
      </c>
      <c r="S957" t="str">
        <f>IF(Team_Level[[#This Row],[Result]]="","",COUNTIFS(Team_Level[Team],Team_Level[[#This Row],[Team]],Team_Level[Date],"&lt;="&amp;Team_Level[[#This Row],[Date]],Team_Level[Result],"&lt;&gt;"))</f>
        <v/>
      </c>
      <c r="T957" t="str">
        <f>Team_Level[[#This Row],[Team]]&amp;"-"&amp;Team_Level[[#This Row],[Chrono Rank]]</f>
        <v>Leyton Orient-</v>
      </c>
    </row>
    <row r="958" spans="1:20" x14ac:dyDescent="0.25">
      <c r="A958" t="s">
        <v>483</v>
      </c>
      <c r="B958" s="6">
        <v>46452</v>
      </c>
      <c r="C958" t="s">
        <v>5</v>
      </c>
      <c r="D958" t="s">
        <v>19</v>
      </c>
      <c r="K958">
        <v>1</v>
      </c>
      <c r="L958" t="s">
        <v>35</v>
      </c>
      <c r="Q958" t="str">
        <f>IF(Team_Level[[#This Row],[Result]]="","",COUNTIFS(Team_Level[Team],Team_Level[[#This Row],[Team]],Team_Level[Date],"&gt;="&amp;Team_Level[[#This Row],[Date]],Team_Level[Result],"&lt;&gt;"))</f>
        <v/>
      </c>
      <c r="R958" t="str">
        <f>Team_Level[[#This Row],[Team]]&amp;"-"&amp;Team_Level[[#This Row],[Recency Rank]]</f>
        <v>Burton Albion-</v>
      </c>
      <c r="S958" t="str">
        <f>IF(Team_Level[[#This Row],[Result]]="","",COUNTIFS(Team_Level[Team],Team_Level[[#This Row],[Team]],Team_Level[Date],"&lt;="&amp;Team_Level[[#This Row],[Date]],Team_Level[Result],"&lt;&gt;"))</f>
        <v/>
      </c>
      <c r="T958" t="str">
        <f>Team_Level[[#This Row],[Team]]&amp;"-"&amp;Team_Level[[#This Row],[Chrono Rank]]</f>
        <v>Burton Albion-</v>
      </c>
    </row>
    <row r="959" spans="1:20" x14ac:dyDescent="0.25">
      <c r="A959" t="s">
        <v>484</v>
      </c>
      <c r="B959" s="6">
        <v>46452</v>
      </c>
      <c r="C959" t="s">
        <v>16</v>
      </c>
      <c r="D959" t="s">
        <v>20</v>
      </c>
      <c r="K959">
        <v>1</v>
      </c>
      <c r="L959" t="s">
        <v>35</v>
      </c>
      <c r="Q959" t="str">
        <f>IF(Team_Level[[#This Row],[Result]]="","",COUNTIFS(Team_Level[Team],Team_Level[[#This Row],[Team]],Team_Level[Date],"&gt;="&amp;Team_Level[[#This Row],[Date]],Team_Level[Result],"&lt;&gt;"))</f>
        <v/>
      </c>
      <c r="R959" t="str">
        <f>Team_Level[[#This Row],[Team]]&amp;"-"&amp;Team_Level[[#This Row],[Recency Rank]]</f>
        <v>Plymouth Argyle-</v>
      </c>
      <c r="S959" t="str">
        <f>IF(Team_Level[[#This Row],[Result]]="","",COUNTIFS(Team_Level[Team],Team_Level[[#This Row],[Team]],Team_Level[Date],"&lt;="&amp;Team_Level[[#This Row],[Date]],Team_Level[Result],"&lt;&gt;"))</f>
        <v/>
      </c>
      <c r="T959" t="str">
        <f>Team_Level[[#This Row],[Team]]&amp;"-"&amp;Team_Level[[#This Row],[Chrono Rank]]</f>
        <v>Plymouth Argyle-</v>
      </c>
    </row>
    <row r="960" spans="1:20" x14ac:dyDescent="0.25">
      <c r="A960" t="s">
        <v>485</v>
      </c>
      <c r="B960" s="6">
        <v>46452</v>
      </c>
      <c r="C960" t="s">
        <v>6</v>
      </c>
      <c r="D960" t="s">
        <v>21</v>
      </c>
      <c r="K960">
        <v>1</v>
      </c>
      <c r="L960" t="s">
        <v>35</v>
      </c>
      <c r="Q960" t="str">
        <f>IF(Team_Level[[#This Row],[Result]]="","",COUNTIFS(Team_Level[Team],Team_Level[[#This Row],[Team]],Team_Level[Date],"&gt;="&amp;Team_Level[[#This Row],[Date]],Team_Level[Result],"&lt;&gt;"))</f>
        <v/>
      </c>
      <c r="R960" t="str">
        <f>Team_Level[[#This Row],[Team]]&amp;"-"&amp;Team_Level[[#This Row],[Recency Rank]]</f>
        <v>Cambridge United-</v>
      </c>
      <c r="S960" t="str">
        <f>IF(Team_Level[[#This Row],[Result]]="","",COUNTIFS(Team_Level[Team],Team_Level[[#This Row],[Team]],Team_Level[Date],"&lt;="&amp;Team_Level[[#This Row],[Date]],Team_Level[Result],"&lt;&gt;"))</f>
        <v/>
      </c>
      <c r="T960" t="str">
        <f>Team_Level[[#This Row],[Team]]&amp;"-"&amp;Team_Level[[#This Row],[Chrono Rank]]</f>
        <v>Cambridge United-</v>
      </c>
    </row>
    <row r="961" spans="1:20" x14ac:dyDescent="0.25">
      <c r="A961" t="s">
        <v>486</v>
      </c>
      <c r="B961" s="6">
        <v>46452</v>
      </c>
      <c r="C961" t="s">
        <v>2</v>
      </c>
      <c r="D961" t="s">
        <v>22</v>
      </c>
      <c r="K961">
        <v>1</v>
      </c>
      <c r="L961" t="s">
        <v>35</v>
      </c>
      <c r="Q961" t="str">
        <f>IF(Team_Level[[#This Row],[Result]]="","",COUNTIFS(Team_Level[Team],Team_Level[[#This Row],[Team]],Team_Level[Date],"&gt;="&amp;Team_Level[[#This Row],[Date]],Team_Level[Result],"&lt;&gt;"))</f>
        <v/>
      </c>
      <c r="R961" t="str">
        <f>Team_Level[[#This Row],[Team]]&amp;"-"&amp;Team_Level[[#This Row],[Recency Rank]]</f>
        <v>Blackpool-</v>
      </c>
      <c r="S961" t="str">
        <f>IF(Team_Level[[#This Row],[Result]]="","",COUNTIFS(Team_Level[Team],Team_Level[[#This Row],[Team]],Team_Level[Date],"&lt;="&amp;Team_Level[[#This Row],[Date]],Team_Level[Result],"&lt;&gt;"))</f>
        <v/>
      </c>
      <c r="T961" t="str">
        <f>Team_Level[[#This Row],[Team]]&amp;"-"&amp;Team_Level[[#This Row],[Chrono Rank]]</f>
        <v>Blackpool-</v>
      </c>
    </row>
    <row r="962" spans="1:20" x14ac:dyDescent="0.25">
      <c r="A962" t="s">
        <v>487</v>
      </c>
      <c r="B962" s="6">
        <v>46459</v>
      </c>
      <c r="C962" t="s">
        <v>7</v>
      </c>
      <c r="D962" t="s">
        <v>1</v>
      </c>
      <c r="K962">
        <v>1</v>
      </c>
      <c r="L962" t="s">
        <v>35</v>
      </c>
      <c r="Q962" t="str">
        <f>IF(Team_Level[[#This Row],[Result]]="","",COUNTIFS(Team_Level[Team],Team_Level[[#This Row],[Team]],Team_Level[Date],"&gt;="&amp;Team_Level[[#This Row],[Date]],Team_Level[Result],"&lt;&gt;"))</f>
        <v/>
      </c>
      <c r="R962" t="str">
        <f>Team_Level[[#This Row],[Team]]&amp;"-"&amp;Team_Level[[#This Row],[Recency Rank]]</f>
        <v>Doncaster Rovers-</v>
      </c>
      <c r="S962" t="str">
        <f>IF(Team_Level[[#This Row],[Result]]="","",COUNTIFS(Team_Level[Team],Team_Level[[#This Row],[Team]],Team_Level[Date],"&lt;="&amp;Team_Level[[#This Row],[Date]],Team_Level[Result],"&lt;&gt;"))</f>
        <v/>
      </c>
      <c r="T962" t="str">
        <f>Team_Level[[#This Row],[Team]]&amp;"-"&amp;Team_Level[[#This Row],[Chrono Rank]]</f>
        <v>Doncaster Rovers-</v>
      </c>
    </row>
    <row r="963" spans="1:20" x14ac:dyDescent="0.25">
      <c r="A963" t="s">
        <v>488</v>
      </c>
      <c r="B963" s="6">
        <v>46459</v>
      </c>
      <c r="C963" t="s">
        <v>20</v>
      </c>
      <c r="D963" t="s">
        <v>2</v>
      </c>
      <c r="K963">
        <v>1</v>
      </c>
      <c r="L963" t="s">
        <v>35</v>
      </c>
      <c r="Q963" t="str">
        <f>IF(Team_Level[[#This Row],[Result]]="","",COUNTIFS(Team_Level[Team],Team_Level[[#This Row],[Team]],Team_Level[Date],"&gt;="&amp;Team_Level[[#This Row],[Date]],Team_Level[Result],"&lt;&gt;"))</f>
        <v/>
      </c>
      <c r="R963" t="str">
        <f>Team_Level[[#This Row],[Team]]&amp;"-"&amp;Team_Level[[#This Row],[Recency Rank]]</f>
        <v>Stockport County-</v>
      </c>
      <c r="S963" t="str">
        <f>IF(Team_Level[[#This Row],[Result]]="","",COUNTIFS(Team_Level[Team],Team_Level[[#This Row],[Team]],Team_Level[Date],"&lt;="&amp;Team_Level[[#This Row],[Date]],Team_Level[Result],"&lt;&gt;"))</f>
        <v/>
      </c>
      <c r="T963" t="str">
        <f>Team_Level[[#This Row],[Team]]&amp;"-"&amp;Team_Level[[#This Row],[Chrono Rank]]</f>
        <v>Stockport County-</v>
      </c>
    </row>
    <row r="964" spans="1:20" x14ac:dyDescent="0.25">
      <c r="A964" t="s">
        <v>489</v>
      </c>
      <c r="B964" s="6">
        <v>46459</v>
      </c>
      <c r="C964" t="s">
        <v>18</v>
      </c>
      <c r="D964" t="s">
        <v>3</v>
      </c>
      <c r="K964">
        <v>1</v>
      </c>
      <c r="L964" t="s">
        <v>35</v>
      </c>
      <c r="Q964" t="str">
        <f>IF(Team_Level[[#This Row],[Result]]="","",COUNTIFS(Team_Level[Team],Team_Level[[#This Row],[Team]],Team_Level[Date],"&gt;="&amp;Team_Level[[#This Row],[Date]],Team_Level[Result],"&lt;&gt;"))</f>
        <v/>
      </c>
      <c r="R964" t="str">
        <f>Team_Level[[#This Row],[Team]]&amp;"-"&amp;Team_Level[[#This Row],[Recency Rank]]</f>
        <v>Sheffield Wednesday-</v>
      </c>
      <c r="S964" t="str">
        <f>IF(Team_Level[[#This Row],[Result]]="","",COUNTIFS(Team_Level[Team],Team_Level[[#This Row],[Team]],Team_Level[Date],"&lt;="&amp;Team_Level[[#This Row],[Date]],Team_Level[Result],"&lt;&gt;"))</f>
        <v/>
      </c>
      <c r="T964" t="str">
        <f>Team_Level[[#This Row],[Team]]&amp;"-"&amp;Team_Level[[#This Row],[Chrono Rank]]</f>
        <v>Sheffield Wednesday-</v>
      </c>
    </row>
    <row r="965" spans="1:20" x14ac:dyDescent="0.25">
      <c r="A965" t="s">
        <v>490</v>
      </c>
      <c r="B965" s="6">
        <v>46459</v>
      </c>
      <c r="C965" t="s">
        <v>9</v>
      </c>
      <c r="D965" t="s">
        <v>5</v>
      </c>
      <c r="K965">
        <v>1</v>
      </c>
      <c r="L965" t="s">
        <v>35</v>
      </c>
      <c r="Q965" t="str">
        <f>IF(Team_Level[[#This Row],[Result]]="","",COUNTIFS(Team_Level[Team],Team_Level[[#This Row],[Team]],Team_Level[Date],"&gt;="&amp;Team_Level[[#This Row],[Date]],Team_Level[Result],"&lt;&gt;"))</f>
        <v/>
      </c>
      <c r="R965" t="str">
        <f>Team_Level[[#This Row],[Team]]&amp;"-"&amp;Team_Level[[#This Row],[Recency Rank]]</f>
        <v>Leicester City-</v>
      </c>
      <c r="S965" t="str">
        <f>IF(Team_Level[[#This Row],[Result]]="","",COUNTIFS(Team_Level[Team],Team_Level[[#This Row],[Team]],Team_Level[Date],"&lt;="&amp;Team_Level[[#This Row],[Date]],Team_Level[Result],"&lt;&gt;"))</f>
        <v/>
      </c>
      <c r="T965" t="str">
        <f>Team_Level[[#This Row],[Team]]&amp;"-"&amp;Team_Level[[#This Row],[Chrono Rank]]</f>
        <v>Leicester City-</v>
      </c>
    </row>
    <row r="966" spans="1:20" x14ac:dyDescent="0.25">
      <c r="A966" t="s">
        <v>491</v>
      </c>
      <c r="B966" s="6">
        <v>46459</v>
      </c>
      <c r="C966" t="s">
        <v>4</v>
      </c>
      <c r="D966" t="s">
        <v>6</v>
      </c>
      <c r="K966">
        <v>1</v>
      </c>
      <c r="L966" t="s">
        <v>35</v>
      </c>
      <c r="Q966" t="str">
        <f>IF(Team_Level[[#This Row],[Result]]="","",COUNTIFS(Team_Level[Team],Team_Level[[#This Row],[Team]],Team_Level[Date],"&gt;="&amp;Team_Level[[#This Row],[Date]],Team_Level[Result],"&lt;&gt;"))</f>
        <v/>
      </c>
      <c r="R966" t="str">
        <f>Team_Level[[#This Row],[Team]]&amp;"-"&amp;Team_Level[[#This Row],[Recency Rank]]</f>
        <v>Bromley-</v>
      </c>
      <c r="S966" t="str">
        <f>IF(Team_Level[[#This Row],[Result]]="","",COUNTIFS(Team_Level[Team],Team_Level[[#This Row],[Team]],Team_Level[Date],"&lt;="&amp;Team_Level[[#This Row],[Date]],Team_Level[Result],"&lt;&gt;"))</f>
        <v/>
      </c>
      <c r="T966" t="str">
        <f>Team_Level[[#This Row],[Team]]&amp;"-"&amp;Team_Level[[#This Row],[Chrono Rank]]</f>
        <v>Bromley-</v>
      </c>
    </row>
    <row r="967" spans="1:20" x14ac:dyDescent="0.25">
      <c r="A967" t="s">
        <v>492</v>
      </c>
      <c r="B967" s="6">
        <v>46459</v>
      </c>
      <c r="C967" t="s">
        <v>33</v>
      </c>
      <c r="D967" t="s">
        <v>8</v>
      </c>
      <c r="K967">
        <v>1</v>
      </c>
      <c r="L967" t="s">
        <v>35</v>
      </c>
      <c r="Q967" t="str">
        <f>IF(Team_Level[[#This Row],[Result]]="","",COUNTIFS(Team_Level[Team],Team_Level[[#This Row],[Team]],Team_Level[Date],"&gt;="&amp;Team_Level[[#This Row],[Date]],Team_Level[Result],"&lt;&gt;"))</f>
        <v/>
      </c>
      <c r="R967" t="str">
        <f>Team_Level[[#This Row],[Team]]&amp;"-"&amp;Team_Level[[#This Row],[Recency Rank]]</f>
        <v>Milton Keynes Dons-</v>
      </c>
      <c r="S967" t="str">
        <f>IF(Team_Level[[#This Row],[Result]]="","",COUNTIFS(Team_Level[Team],Team_Level[[#This Row],[Team]],Team_Level[Date],"&lt;="&amp;Team_Level[[#This Row],[Date]],Team_Level[Result],"&lt;&gt;"))</f>
        <v/>
      </c>
      <c r="T967" t="str">
        <f>Team_Level[[#This Row],[Team]]&amp;"-"&amp;Team_Level[[#This Row],[Chrono Rank]]</f>
        <v>Milton Keynes Dons-</v>
      </c>
    </row>
    <row r="968" spans="1:20" x14ac:dyDescent="0.25">
      <c r="A968" t="s">
        <v>493</v>
      </c>
      <c r="B968" s="6">
        <v>46459</v>
      </c>
      <c r="C968" t="s">
        <v>21</v>
      </c>
      <c r="D968" t="s">
        <v>10</v>
      </c>
      <c r="K968">
        <v>1</v>
      </c>
      <c r="L968" t="s">
        <v>35</v>
      </c>
      <c r="Q968" t="str">
        <f>IF(Team_Level[[#This Row],[Result]]="","",COUNTIFS(Team_Level[Team],Team_Level[[#This Row],[Team]],Team_Level[Date],"&gt;="&amp;Team_Level[[#This Row],[Date]],Team_Level[Result],"&lt;&gt;"))</f>
        <v/>
      </c>
      <c r="R968" t="str">
        <f>Team_Level[[#This Row],[Team]]&amp;"-"&amp;Team_Level[[#This Row],[Recency Rank]]</f>
        <v>Wigan Athletic-</v>
      </c>
      <c r="S968" t="str">
        <f>IF(Team_Level[[#This Row],[Result]]="","",COUNTIFS(Team_Level[Team],Team_Level[[#This Row],[Team]],Team_Level[Date],"&lt;="&amp;Team_Level[[#This Row],[Date]],Team_Level[Result],"&lt;&gt;"))</f>
        <v/>
      </c>
      <c r="T968" t="str">
        <f>Team_Level[[#This Row],[Team]]&amp;"-"&amp;Team_Level[[#This Row],[Chrono Rank]]</f>
        <v>Wigan Athletic-</v>
      </c>
    </row>
    <row r="969" spans="1:20" x14ac:dyDescent="0.25">
      <c r="A969" t="s">
        <v>494</v>
      </c>
      <c r="B969" s="6">
        <v>46459</v>
      </c>
      <c r="C969" t="s">
        <v>15</v>
      </c>
      <c r="D969" t="s">
        <v>12</v>
      </c>
      <c r="K969">
        <v>1</v>
      </c>
      <c r="L969" t="s">
        <v>35</v>
      </c>
      <c r="Q969" t="str">
        <f>IF(Team_Level[[#This Row],[Result]]="","",COUNTIFS(Team_Level[Team],Team_Level[[#This Row],[Team]],Team_Level[Date],"&gt;="&amp;Team_Level[[#This Row],[Date]],Team_Level[Result],"&lt;&gt;"))</f>
        <v/>
      </c>
      <c r="R969" t="str">
        <f>Team_Level[[#This Row],[Team]]&amp;"-"&amp;Team_Level[[#This Row],[Recency Rank]]</f>
        <v>Peterborough United-</v>
      </c>
      <c r="S969" t="str">
        <f>IF(Team_Level[[#This Row],[Result]]="","",COUNTIFS(Team_Level[Team],Team_Level[[#This Row],[Team]],Team_Level[Date],"&lt;="&amp;Team_Level[[#This Row],[Date]],Team_Level[Result],"&lt;&gt;"))</f>
        <v/>
      </c>
      <c r="T969" t="str">
        <f>Team_Level[[#This Row],[Team]]&amp;"-"&amp;Team_Level[[#This Row],[Chrono Rank]]</f>
        <v>Peterborough United-</v>
      </c>
    </row>
    <row r="970" spans="1:20" x14ac:dyDescent="0.25">
      <c r="A970" t="s">
        <v>495</v>
      </c>
      <c r="B970" s="6">
        <v>46459</v>
      </c>
      <c r="C970" t="s">
        <v>11</v>
      </c>
      <c r="D970" t="s">
        <v>13</v>
      </c>
      <c r="K970">
        <v>1</v>
      </c>
      <c r="L970" t="s">
        <v>35</v>
      </c>
      <c r="Q970" t="str">
        <f>IF(Team_Level[[#This Row],[Result]]="","",COUNTIFS(Team_Level[Team],Team_Level[[#This Row],[Team]],Team_Level[Date],"&gt;="&amp;Team_Level[[#This Row],[Date]],Team_Level[Result],"&lt;&gt;"))</f>
        <v/>
      </c>
      <c r="R970" t="str">
        <f>Team_Level[[#This Row],[Team]]&amp;"-"&amp;Team_Level[[#This Row],[Recency Rank]]</f>
        <v>Luton Town-</v>
      </c>
      <c r="S970" t="str">
        <f>IF(Team_Level[[#This Row],[Result]]="","",COUNTIFS(Team_Level[Team],Team_Level[[#This Row],[Team]],Team_Level[Date],"&lt;="&amp;Team_Level[[#This Row],[Date]],Team_Level[Result],"&lt;&gt;"))</f>
        <v/>
      </c>
      <c r="T970" t="str">
        <f>Team_Level[[#This Row],[Team]]&amp;"-"&amp;Team_Level[[#This Row],[Chrono Rank]]</f>
        <v>Luton Town-</v>
      </c>
    </row>
    <row r="971" spans="1:20" x14ac:dyDescent="0.25">
      <c r="A971" t="s">
        <v>496</v>
      </c>
      <c r="B971" s="6">
        <v>46459</v>
      </c>
      <c r="C971" t="s">
        <v>19</v>
      </c>
      <c r="D971" t="s">
        <v>14</v>
      </c>
      <c r="K971">
        <v>1</v>
      </c>
      <c r="L971" t="s">
        <v>35</v>
      </c>
      <c r="Q971" t="str">
        <f>IF(Team_Level[[#This Row],[Result]]="","",COUNTIFS(Team_Level[Team],Team_Level[[#This Row],[Team]],Team_Level[Date],"&gt;="&amp;Team_Level[[#This Row],[Date]],Team_Level[Result],"&lt;&gt;"))</f>
        <v/>
      </c>
      <c r="R971" t="str">
        <f>Team_Level[[#This Row],[Team]]&amp;"-"&amp;Team_Level[[#This Row],[Recency Rank]]</f>
        <v>Stevenage-</v>
      </c>
      <c r="S971" t="str">
        <f>IF(Team_Level[[#This Row],[Result]]="","",COUNTIFS(Team_Level[Team],Team_Level[[#This Row],[Team]],Team_Level[Date],"&lt;="&amp;Team_Level[[#This Row],[Date]],Team_Level[Result],"&lt;&gt;"))</f>
        <v/>
      </c>
      <c r="T971" t="str">
        <f>Team_Level[[#This Row],[Team]]&amp;"-"&amp;Team_Level[[#This Row],[Chrono Rank]]</f>
        <v>Stevenage-</v>
      </c>
    </row>
    <row r="972" spans="1:20" x14ac:dyDescent="0.25">
      <c r="A972" t="s">
        <v>497</v>
      </c>
      <c r="B972" s="6">
        <v>46459</v>
      </c>
      <c r="C972" t="s">
        <v>22</v>
      </c>
      <c r="D972" t="s">
        <v>16</v>
      </c>
      <c r="K972">
        <v>1</v>
      </c>
      <c r="L972" t="s">
        <v>35</v>
      </c>
      <c r="Q972" t="str">
        <f>IF(Team_Level[[#This Row],[Result]]="","",COUNTIFS(Team_Level[Team],Team_Level[[#This Row],[Team]],Team_Level[Date],"&gt;="&amp;Team_Level[[#This Row],[Date]],Team_Level[Result],"&lt;&gt;"))</f>
        <v/>
      </c>
      <c r="R972" t="str">
        <f>Team_Level[[#This Row],[Team]]&amp;"-"&amp;Team_Level[[#This Row],[Recency Rank]]</f>
        <v>Wycombe Wanderers-</v>
      </c>
      <c r="S972" t="str">
        <f>IF(Team_Level[[#This Row],[Result]]="","",COUNTIFS(Team_Level[Team],Team_Level[[#This Row],[Team]],Team_Level[Date],"&lt;="&amp;Team_Level[[#This Row],[Date]],Team_Level[Result],"&lt;&gt;"))</f>
        <v/>
      </c>
      <c r="T972" t="str">
        <f>Team_Level[[#This Row],[Team]]&amp;"-"&amp;Team_Level[[#This Row],[Chrono Rank]]</f>
        <v>Wycombe Wanderers-</v>
      </c>
    </row>
    <row r="973" spans="1:20" x14ac:dyDescent="0.25">
      <c r="A973" t="s">
        <v>498</v>
      </c>
      <c r="B973" s="6">
        <v>46459</v>
      </c>
      <c r="C973" t="s">
        <v>0</v>
      </c>
      <c r="D973" t="s">
        <v>17</v>
      </c>
      <c r="K973">
        <v>1</v>
      </c>
      <c r="L973" t="s">
        <v>35</v>
      </c>
      <c r="Q973" t="str">
        <f>IF(Team_Level[[#This Row],[Result]]="","",COUNTIFS(Team_Level[Team],Team_Level[[#This Row],[Team]],Team_Level[Date],"&gt;="&amp;Team_Level[[#This Row],[Date]],Team_Level[Result],"&lt;&gt;"))</f>
        <v/>
      </c>
      <c r="R973" t="str">
        <f>Team_Level[[#This Row],[Team]]&amp;"-"&amp;Team_Level[[#This Row],[Recency Rank]]</f>
        <v>AFC Wimbledon-</v>
      </c>
      <c r="S973" t="str">
        <f>IF(Team_Level[[#This Row],[Result]]="","",COUNTIFS(Team_Level[Team],Team_Level[[#This Row],[Team]],Team_Level[Date],"&lt;="&amp;Team_Level[[#This Row],[Date]],Team_Level[Result],"&lt;&gt;"))</f>
        <v/>
      </c>
      <c r="T973" t="str">
        <f>Team_Level[[#This Row],[Team]]&amp;"-"&amp;Team_Level[[#This Row],[Chrono Rank]]</f>
        <v>AFC Wimbledon-</v>
      </c>
    </row>
    <row r="974" spans="1:20" x14ac:dyDescent="0.25">
      <c r="A974" t="s">
        <v>499</v>
      </c>
      <c r="B974" s="6">
        <v>46466</v>
      </c>
      <c r="C974" t="s">
        <v>10</v>
      </c>
      <c r="D974" t="s">
        <v>0</v>
      </c>
      <c r="K974">
        <v>1</v>
      </c>
      <c r="L974" t="s">
        <v>35</v>
      </c>
      <c r="Q974" t="str">
        <f>IF(Team_Level[[#This Row],[Result]]="","",COUNTIFS(Team_Level[Team],Team_Level[[#This Row],[Team]],Team_Level[Date],"&gt;="&amp;Team_Level[[#This Row],[Date]],Team_Level[Result],"&lt;&gt;"))</f>
        <v/>
      </c>
      <c r="R974" t="str">
        <f>Team_Level[[#This Row],[Team]]&amp;"-"&amp;Team_Level[[#This Row],[Recency Rank]]</f>
        <v>Leyton Orient-</v>
      </c>
      <c r="S974" t="str">
        <f>IF(Team_Level[[#This Row],[Result]]="","",COUNTIFS(Team_Level[Team],Team_Level[[#This Row],[Team]],Team_Level[Date],"&lt;="&amp;Team_Level[[#This Row],[Date]],Team_Level[Result],"&lt;&gt;"))</f>
        <v/>
      </c>
      <c r="T974" t="str">
        <f>Team_Level[[#This Row],[Team]]&amp;"-"&amp;Team_Level[[#This Row],[Chrono Rank]]</f>
        <v>Leyton Orient-</v>
      </c>
    </row>
    <row r="975" spans="1:20" x14ac:dyDescent="0.25">
      <c r="A975" t="s">
        <v>500</v>
      </c>
      <c r="B975" s="6">
        <v>46466</v>
      </c>
      <c r="C975" t="s">
        <v>17</v>
      </c>
      <c r="D975" t="s">
        <v>4</v>
      </c>
      <c r="K975">
        <v>1</v>
      </c>
      <c r="L975" t="s">
        <v>35</v>
      </c>
      <c r="Q975" t="str">
        <f>IF(Team_Level[[#This Row],[Result]]="","",COUNTIFS(Team_Level[Team],Team_Level[[#This Row],[Team]],Team_Level[Date],"&gt;="&amp;Team_Level[[#This Row],[Date]],Team_Level[Result],"&lt;&gt;"))</f>
        <v/>
      </c>
      <c r="R975" t="str">
        <f>Team_Level[[#This Row],[Team]]&amp;"-"&amp;Team_Level[[#This Row],[Recency Rank]]</f>
        <v>Reading-</v>
      </c>
      <c r="S975" t="str">
        <f>IF(Team_Level[[#This Row],[Result]]="","",COUNTIFS(Team_Level[Team],Team_Level[[#This Row],[Team]],Team_Level[Date],"&lt;="&amp;Team_Level[[#This Row],[Date]],Team_Level[Result],"&lt;&gt;"))</f>
        <v/>
      </c>
      <c r="T975" t="str">
        <f>Team_Level[[#This Row],[Team]]&amp;"-"&amp;Team_Level[[#This Row],[Chrono Rank]]</f>
        <v>Reading-</v>
      </c>
    </row>
    <row r="976" spans="1:20" x14ac:dyDescent="0.25">
      <c r="A976" t="s">
        <v>501</v>
      </c>
      <c r="B976" s="6">
        <v>46466</v>
      </c>
      <c r="C976" t="s">
        <v>3</v>
      </c>
      <c r="D976" t="s">
        <v>7</v>
      </c>
      <c r="K976">
        <v>1</v>
      </c>
      <c r="L976" t="s">
        <v>35</v>
      </c>
      <c r="Q976" t="str">
        <f>IF(Team_Level[[#This Row],[Result]]="","",COUNTIFS(Team_Level[Team],Team_Level[[#This Row],[Team]],Team_Level[Date],"&gt;="&amp;Team_Level[[#This Row],[Date]],Team_Level[Result],"&lt;&gt;"))</f>
        <v/>
      </c>
      <c r="R976" t="str">
        <f>Team_Level[[#This Row],[Team]]&amp;"-"&amp;Team_Level[[#This Row],[Recency Rank]]</f>
        <v>Bradford City-</v>
      </c>
      <c r="S976" t="str">
        <f>IF(Team_Level[[#This Row],[Result]]="","",COUNTIFS(Team_Level[Team],Team_Level[[#This Row],[Team]],Team_Level[Date],"&lt;="&amp;Team_Level[[#This Row],[Date]],Team_Level[Result],"&lt;&gt;"))</f>
        <v/>
      </c>
      <c r="T976" t="str">
        <f>Team_Level[[#This Row],[Team]]&amp;"-"&amp;Team_Level[[#This Row],[Chrono Rank]]</f>
        <v>Bradford City-</v>
      </c>
    </row>
    <row r="977" spans="1:20" x14ac:dyDescent="0.25">
      <c r="A977" t="s">
        <v>502</v>
      </c>
      <c r="B977" s="6">
        <v>46466</v>
      </c>
      <c r="C977" t="s">
        <v>8</v>
      </c>
      <c r="D977" t="s">
        <v>9</v>
      </c>
      <c r="K977">
        <v>1</v>
      </c>
      <c r="L977" t="s">
        <v>35</v>
      </c>
      <c r="Q977" t="str">
        <f>IF(Team_Level[[#This Row],[Result]]="","",COUNTIFS(Team_Level[Team],Team_Level[[#This Row],[Team]],Team_Level[Date],"&gt;="&amp;Team_Level[[#This Row],[Date]],Team_Level[Result],"&lt;&gt;"))</f>
        <v/>
      </c>
      <c r="R977" t="str">
        <f>Team_Level[[#This Row],[Team]]&amp;"-"&amp;Team_Level[[#This Row],[Recency Rank]]</f>
        <v>Huddersfield Town-</v>
      </c>
      <c r="S977" t="str">
        <f>IF(Team_Level[[#This Row],[Result]]="","",COUNTIFS(Team_Level[Team],Team_Level[[#This Row],[Team]],Team_Level[Date],"&lt;="&amp;Team_Level[[#This Row],[Date]],Team_Level[Result],"&lt;&gt;"))</f>
        <v/>
      </c>
      <c r="T977" t="str">
        <f>Team_Level[[#This Row],[Team]]&amp;"-"&amp;Team_Level[[#This Row],[Chrono Rank]]</f>
        <v>Huddersfield Town-</v>
      </c>
    </row>
    <row r="978" spans="1:20" x14ac:dyDescent="0.25">
      <c r="A978" t="s">
        <v>503</v>
      </c>
      <c r="B978" s="6">
        <v>46466</v>
      </c>
      <c r="C978" t="s">
        <v>5</v>
      </c>
      <c r="D978" t="s">
        <v>11</v>
      </c>
      <c r="K978">
        <v>1</v>
      </c>
      <c r="L978" t="s">
        <v>35</v>
      </c>
      <c r="Q978" t="str">
        <f>IF(Team_Level[[#This Row],[Result]]="","",COUNTIFS(Team_Level[Team],Team_Level[[#This Row],[Team]],Team_Level[Date],"&gt;="&amp;Team_Level[[#This Row],[Date]],Team_Level[Result],"&lt;&gt;"))</f>
        <v/>
      </c>
      <c r="R978" t="str">
        <f>Team_Level[[#This Row],[Team]]&amp;"-"&amp;Team_Level[[#This Row],[Recency Rank]]</f>
        <v>Burton Albion-</v>
      </c>
      <c r="S978" t="str">
        <f>IF(Team_Level[[#This Row],[Result]]="","",COUNTIFS(Team_Level[Team],Team_Level[[#This Row],[Team]],Team_Level[Date],"&lt;="&amp;Team_Level[[#This Row],[Date]],Team_Level[Result],"&lt;&gt;"))</f>
        <v/>
      </c>
      <c r="T978" t="str">
        <f>Team_Level[[#This Row],[Team]]&amp;"-"&amp;Team_Level[[#This Row],[Chrono Rank]]</f>
        <v>Burton Albion-</v>
      </c>
    </row>
    <row r="979" spans="1:20" x14ac:dyDescent="0.25">
      <c r="A979" t="s">
        <v>504</v>
      </c>
      <c r="B979" s="6">
        <v>46466</v>
      </c>
      <c r="C979" t="s">
        <v>12</v>
      </c>
      <c r="D979" t="s">
        <v>33</v>
      </c>
      <c r="K979">
        <v>1</v>
      </c>
      <c r="L979" t="s">
        <v>35</v>
      </c>
      <c r="Q979" t="str">
        <f>IF(Team_Level[[#This Row],[Result]]="","",COUNTIFS(Team_Level[Team],Team_Level[[#This Row],[Team]],Team_Level[Date],"&gt;="&amp;Team_Level[[#This Row],[Date]],Team_Level[Result],"&lt;&gt;"))</f>
        <v/>
      </c>
      <c r="R979" t="str">
        <f>Team_Level[[#This Row],[Team]]&amp;"-"&amp;Team_Level[[#This Row],[Recency Rank]]</f>
        <v>Mansfield Town-</v>
      </c>
      <c r="S979" t="str">
        <f>IF(Team_Level[[#This Row],[Result]]="","",COUNTIFS(Team_Level[Team],Team_Level[[#This Row],[Team]],Team_Level[Date],"&lt;="&amp;Team_Level[[#This Row],[Date]],Team_Level[Result],"&lt;&gt;"))</f>
        <v/>
      </c>
      <c r="T979" t="str">
        <f>Team_Level[[#This Row],[Team]]&amp;"-"&amp;Team_Level[[#This Row],[Chrono Rank]]</f>
        <v>Mansfield Town-</v>
      </c>
    </row>
    <row r="980" spans="1:20" x14ac:dyDescent="0.25">
      <c r="A980" t="s">
        <v>505</v>
      </c>
      <c r="B980" s="6">
        <v>46466</v>
      </c>
      <c r="C980" t="s">
        <v>16</v>
      </c>
      <c r="D980" t="s">
        <v>15</v>
      </c>
      <c r="K980">
        <v>1</v>
      </c>
      <c r="L980" t="s">
        <v>35</v>
      </c>
      <c r="Q980" t="str">
        <f>IF(Team_Level[[#This Row],[Result]]="","",COUNTIFS(Team_Level[Team],Team_Level[[#This Row],[Team]],Team_Level[Date],"&gt;="&amp;Team_Level[[#This Row],[Date]],Team_Level[Result],"&lt;&gt;"))</f>
        <v/>
      </c>
      <c r="R980" t="str">
        <f>Team_Level[[#This Row],[Team]]&amp;"-"&amp;Team_Level[[#This Row],[Recency Rank]]</f>
        <v>Plymouth Argyle-</v>
      </c>
      <c r="S980" t="str">
        <f>IF(Team_Level[[#This Row],[Result]]="","",COUNTIFS(Team_Level[Team],Team_Level[[#This Row],[Team]],Team_Level[Date],"&lt;="&amp;Team_Level[[#This Row],[Date]],Team_Level[Result],"&lt;&gt;"))</f>
        <v/>
      </c>
      <c r="T980" t="str">
        <f>Team_Level[[#This Row],[Team]]&amp;"-"&amp;Team_Level[[#This Row],[Chrono Rank]]</f>
        <v>Plymouth Argyle-</v>
      </c>
    </row>
    <row r="981" spans="1:20" x14ac:dyDescent="0.25">
      <c r="A981" t="s">
        <v>506</v>
      </c>
      <c r="B981" s="6">
        <v>46466</v>
      </c>
      <c r="C981" t="s">
        <v>1</v>
      </c>
      <c r="D981" t="s">
        <v>18</v>
      </c>
      <c r="K981">
        <v>1</v>
      </c>
      <c r="L981" t="s">
        <v>35</v>
      </c>
      <c r="Q981" t="str">
        <f>IF(Team_Level[[#This Row],[Result]]="","",COUNTIFS(Team_Level[Team],Team_Level[[#This Row],[Team]],Team_Level[Date],"&gt;="&amp;Team_Level[[#This Row],[Date]],Team_Level[Result],"&lt;&gt;"))</f>
        <v/>
      </c>
      <c r="R981" t="str">
        <f>Team_Level[[#This Row],[Team]]&amp;"-"&amp;Team_Level[[#This Row],[Recency Rank]]</f>
        <v>Barnsley-</v>
      </c>
      <c r="S981" t="str">
        <f>IF(Team_Level[[#This Row],[Result]]="","",COUNTIFS(Team_Level[Team],Team_Level[[#This Row],[Team]],Team_Level[Date],"&lt;="&amp;Team_Level[[#This Row],[Date]],Team_Level[Result],"&lt;&gt;"))</f>
        <v/>
      </c>
      <c r="T981" t="str">
        <f>Team_Level[[#This Row],[Team]]&amp;"-"&amp;Team_Level[[#This Row],[Chrono Rank]]</f>
        <v>Barnsley-</v>
      </c>
    </row>
    <row r="982" spans="1:20" x14ac:dyDescent="0.25">
      <c r="A982" t="s">
        <v>507</v>
      </c>
      <c r="B982" s="6">
        <v>46466</v>
      </c>
      <c r="C982" t="s">
        <v>13</v>
      </c>
      <c r="D982" t="s">
        <v>19</v>
      </c>
      <c r="K982">
        <v>1</v>
      </c>
      <c r="L982" t="s">
        <v>35</v>
      </c>
      <c r="Q982" t="str">
        <f>IF(Team_Level[[#This Row],[Result]]="","",COUNTIFS(Team_Level[Team],Team_Level[[#This Row],[Team]],Team_Level[Date],"&gt;="&amp;Team_Level[[#This Row],[Date]],Team_Level[Result],"&lt;&gt;"))</f>
        <v/>
      </c>
      <c r="R982" t="str">
        <f>Team_Level[[#This Row],[Team]]&amp;"-"&amp;Team_Level[[#This Row],[Recency Rank]]</f>
        <v>Notts County-</v>
      </c>
      <c r="S982" t="str">
        <f>IF(Team_Level[[#This Row],[Result]]="","",COUNTIFS(Team_Level[Team],Team_Level[[#This Row],[Team]],Team_Level[Date],"&lt;="&amp;Team_Level[[#This Row],[Date]],Team_Level[Result],"&lt;&gt;"))</f>
        <v/>
      </c>
      <c r="T982" t="str">
        <f>Team_Level[[#This Row],[Team]]&amp;"-"&amp;Team_Level[[#This Row],[Chrono Rank]]</f>
        <v>Notts County-</v>
      </c>
    </row>
    <row r="983" spans="1:20" x14ac:dyDescent="0.25">
      <c r="A983" t="s">
        <v>508</v>
      </c>
      <c r="B983" s="6">
        <v>46466</v>
      </c>
      <c r="C983" t="s">
        <v>6</v>
      </c>
      <c r="D983" t="s">
        <v>20</v>
      </c>
      <c r="K983">
        <v>1</v>
      </c>
      <c r="L983" t="s">
        <v>35</v>
      </c>
      <c r="Q983" t="str">
        <f>IF(Team_Level[[#This Row],[Result]]="","",COUNTIFS(Team_Level[Team],Team_Level[[#This Row],[Team]],Team_Level[Date],"&gt;="&amp;Team_Level[[#This Row],[Date]],Team_Level[Result],"&lt;&gt;"))</f>
        <v/>
      </c>
      <c r="R983" t="str">
        <f>Team_Level[[#This Row],[Team]]&amp;"-"&amp;Team_Level[[#This Row],[Recency Rank]]</f>
        <v>Cambridge United-</v>
      </c>
      <c r="S983" t="str">
        <f>IF(Team_Level[[#This Row],[Result]]="","",COUNTIFS(Team_Level[Team],Team_Level[[#This Row],[Team]],Team_Level[Date],"&lt;="&amp;Team_Level[[#This Row],[Date]],Team_Level[Result],"&lt;&gt;"))</f>
        <v/>
      </c>
      <c r="T983" t="str">
        <f>Team_Level[[#This Row],[Team]]&amp;"-"&amp;Team_Level[[#This Row],[Chrono Rank]]</f>
        <v>Cambridge United-</v>
      </c>
    </row>
    <row r="984" spans="1:20" x14ac:dyDescent="0.25">
      <c r="A984" t="s">
        <v>509</v>
      </c>
      <c r="B984" s="6">
        <v>46466</v>
      </c>
      <c r="C984" t="s">
        <v>2</v>
      </c>
      <c r="D984" t="s">
        <v>21</v>
      </c>
      <c r="K984">
        <v>1</v>
      </c>
      <c r="L984" t="s">
        <v>35</v>
      </c>
      <c r="Q984" t="str">
        <f>IF(Team_Level[[#This Row],[Result]]="","",COUNTIFS(Team_Level[Team],Team_Level[[#This Row],[Team]],Team_Level[Date],"&gt;="&amp;Team_Level[[#This Row],[Date]],Team_Level[Result],"&lt;&gt;"))</f>
        <v/>
      </c>
      <c r="R984" t="str">
        <f>Team_Level[[#This Row],[Team]]&amp;"-"&amp;Team_Level[[#This Row],[Recency Rank]]</f>
        <v>Blackpool-</v>
      </c>
      <c r="S984" t="str">
        <f>IF(Team_Level[[#This Row],[Result]]="","",COUNTIFS(Team_Level[Team],Team_Level[[#This Row],[Team]],Team_Level[Date],"&lt;="&amp;Team_Level[[#This Row],[Date]],Team_Level[Result],"&lt;&gt;"))</f>
        <v/>
      </c>
      <c r="T984" t="str">
        <f>Team_Level[[#This Row],[Team]]&amp;"-"&amp;Team_Level[[#This Row],[Chrono Rank]]</f>
        <v>Blackpool-</v>
      </c>
    </row>
    <row r="985" spans="1:20" x14ac:dyDescent="0.25">
      <c r="A985" t="s">
        <v>510</v>
      </c>
      <c r="B985" s="6">
        <v>46466</v>
      </c>
      <c r="C985" t="s">
        <v>14</v>
      </c>
      <c r="D985" t="s">
        <v>22</v>
      </c>
      <c r="K985">
        <v>1</v>
      </c>
      <c r="L985" t="s">
        <v>35</v>
      </c>
      <c r="Q985" t="str">
        <f>IF(Team_Level[[#This Row],[Result]]="","",COUNTIFS(Team_Level[Team],Team_Level[[#This Row],[Team]],Team_Level[Date],"&gt;="&amp;Team_Level[[#This Row],[Date]],Team_Level[Result],"&lt;&gt;"))</f>
        <v/>
      </c>
      <c r="R985" t="str">
        <f>Team_Level[[#This Row],[Team]]&amp;"-"&amp;Team_Level[[#This Row],[Recency Rank]]</f>
        <v>Oxford United-</v>
      </c>
      <c r="S985" t="str">
        <f>IF(Team_Level[[#This Row],[Result]]="","",COUNTIFS(Team_Level[Team],Team_Level[[#This Row],[Team]],Team_Level[Date],"&lt;="&amp;Team_Level[[#This Row],[Date]],Team_Level[Result],"&lt;&gt;"))</f>
        <v/>
      </c>
      <c r="T985" t="str">
        <f>Team_Level[[#This Row],[Team]]&amp;"-"&amp;Team_Level[[#This Row],[Chrono Rank]]</f>
        <v>Oxford United-</v>
      </c>
    </row>
    <row r="986" spans="1:20" x14ac:dyDescent="0.25">
      <c r="A986" t="s">
        <v>511</v>
      </c>
      <c r="B986" s="6">
        <v>46472</v>
      </c>
      <c r="C986" t="s">
        <v>21</v>
      </c>
      <c r="D986" t="s">
        <v>3</v>
      </c>
      <c r="K986">
        <v>1</v>
      </c>
      <c r="L986" t="s">
        <v>35</v>
      </c>
      <c r="Q986" t="str">
        <f>IF(Team_Level[[#This Row],[Result]]="","",COUNTIFS(Team_Level[Team],Team_Level[[#This Row],[Team]],Team_Level[Date],"&gt;="&amp;Team_Level[[#This Row],[Date]],Team_Level[Result],"&lt;&gt;"))</f>
        <v/>
      </c>
      <c r="R986" t="str">
        <f>Team_Level[[#This Row],[Team]]&amp;"-"&amp;Team_Level[[#This Row],[Recency Rank]]</f>
        <v>Wigan Athletic-</v>
      </c>
      <c r="S986" t="str">
        <f>IF(Team_Level[[#This Row],[Result]]="","",COUNTIFS(Team_Level[Team],Team_Level[[#This Row],[Team]],Team_Level[Date],"&lt;="&amp;Team_Level[[#This Row],[Date]],Team_Level[Result],"&lt;&gt;"))</f>
        <v/>
      </c>
      <c r="T986" t="str">
        <f>Team_Level[[#This Row],[Team]]&amp;"-"&amp;Team_Level[[#This Row],[Chrono Rank]]</f>
        <v>Wigan Athletic-</v>
      </c>
    </row>
    <row r="987" spans="1:20" x14ac:dyDescent="0.25">
      <c r="A987" t="s">
        <v>512</v>
      </c>
      <c r="B987" s="6">
        <v>46472</v>
      </c>
      <c r="C987" t="s">
        <v>20</v>
      </c>
      <c r="D987" t="s">
        <v>5</v>
      </c>
      <c r="K987">
        <v>1</v>
      </c>
      <c r="L987" t="s">
        <v>35</v>
      </c>
      <c r="Q987" t="str">
        <f>IF(Team_Level[[#This Row],[Result]]="","",COUNTIFS(Team_Level[Team],Team_Level[[#This Row],[Team]],Team_Level[Date],"&gt;="&amp;Team_Level[[#This Row],[Date]],Team_Level[Result],"&lt;&gt;"))</f>
        <v/>
      </c>
      <c r="R987" t="str">
        <f>Team_Level[[#This Row],[Team]]&amp;"-"&amp;Team_Level[[#This Row],[Recency Rank]]</f>
        <v>Stockport County-</v>
      </c>
      <c r="S987" t="str">
        <f>IF(Team_Level[[#This Row],[Result]]="","",COUNTIFS(Team_Level[Team],Team_Level[[#This Row],[Team]],Team_Level[Date],"&lt;="&amp;Team_Level[[#This Row],[Date]],Team_Level[Result],"&lt;&gt;"))</f>
        <v/>
      </c>
      <c r="T987" t="str">
        <f>Team_Level[[#This Row],[Team]]&amp;"-"&amp;Team_Level[[#This Row],[Chrono Rank]]</f>
        <v>Stockport County-</v>
      </c>
    </row>
    <row r="988" spans="1:20" x14ac:dyDescent="0.25">
      <c r="A988" t="s">
        <v>513</v>
      </c>
      <c r="B988" s="6">
        <v>46472</v>
      </c>
      <c r="C988" t="s">
        <v>2</v>
      </c>
      <c r="D988" t="s">
        <v>7</v>
      </c>
      <c r="K988">
        <v>1</v>
      </c>
      <c r="L988" t="s">
        <v>35</v>
      </c>
      <c r="Q988" t="str">
        <f>IF(Team_Level[[#This Row],[Result]]="","",COUNTIFS(Team_Level[Team],Team_Level[[#This Row],[Team]],Team_Level[Date],"&gt;="&amp;Team_Level[[#This Row],[Date]],Team_Level[Result],"&lt;&gt;"))</f>
        <v/>
      </c>
      <c r="R988" t="str">
        <f>Team_Level[[#This Row],[Team]]&amp;"-"&amp;Team_Level[[#This Row],[Recency Rank]]</f>
        <v>Blackpool-</v>
      </c>
      <c r="S988" t="str">
        <f>IF(Team_Level[[#This Row],[Result]]="","",COUNTIFS(Team_Level[Team],Team_Level[[#This Row],[Team]],Team_Level[Date],"&lt;="&amp;Team_Level[[#This Row],[Date]],Team_Level[Result],"&lt;&gt;"))</f>
        <v/>
      </c>
      <c r="T988" t="str">
        <f>Team_Level[[#This Row],[Team]]&amp;"-"&amp;Team_Level[[#This Row],[Chrono Rank]]</f>
        <v>Blackpool-</v>
      </c>
    </row>
    <row r="989" spans="1:20" x14ac:dyDescent="0.25">
      <c r="A989" t="s">
        <v>514</v>
      </c>
      <c r="B989" s="6">
        <v>46472</v>
      </c>
      <c r="C989" t="s">
        <v>17</v>
      </c>
      <c r="D989" t="s">
        <v>8</v>
      </c>
      <c r="K989">
        <v>1</v>
      </c>
      <c r="L989" t="s">
        <v>35</v>
      </c>
      <c r="Q989" t="str">
        <f>IF(Team_Level[[#This Row],[Result]]="","",COUNTIFS(Team_Level[Team],Team_Level[[#This Row],[Team]],Team_Level[Date],"&gt;="&amp;Team_Level[[#This Row],[Date]],Team_Level[Result],"&lt;&gt;"))</f>
        <v/>
      </c>
      <c r="R989" t="str">
        <f>Team_Level[[#This Row],[Team]]&amp;"-"&amp;Team_Level[[#This Row],[Recency Rank]]</f>
        <v>Reading-</v>
      </c>
      <c r="S989" t="str">
        <f>IF(Team_Level[[#This Row],[Result]]="","",COUNTIFS(Team_Level[Team],Team_Level[[#This Row],[Team]],Team_Level[Date],"&lt;="&amp;Team_Level[[#This Row],[Date]],Team_Level[Result],"&lt;&gt;"))</f>
        <v/>
      </c>
      <c r="T989" t="str">
        <f>Team_Level[[#This Row],[Team]]&amp;"-"&amp;Team_Level[[#This Row],[Chrono Rank]]</f>
        <v>Reading-</v>
      </c>
    </row>
    <row r="990" spans="1:20" x14ac:dyDescent="0.25">
      <c r="A990" t="s">
        <v>515</v>
      </c>
      <c r="B990" s="6">
        <v>46472</v>
      </c>
      <c r="C990" t="s">
        <v>22</v>
      </c>
      <c r="D990" t="s">
        <v>9</v>
      </c>
      <c r="K990">
        <v>1</v>
      </c>
      <c r="L990" t="s">
        <v>35</v>
      </c>
      <c r="Q990" t="str">
        <f>IF(Team_Level[[#This Row],[Result]]="","",COUNTIFS(Team_Level[Team],Team_Level[[#This Row],[Team]],Team_Level[Date],"&gt;="&amp;Team_Level[[#This Row],[Date]],Team_Level[Result],"&lt;&gt;"))</f>
        <v/>
      </c>
      <c r="R990" t="str">
        <f>Team_Level[[#This Row],[Team]]&amp;"-"&amp;Team_Level[[#This Row],[Recency Rank]]</f>
        <v>Wycombe Wanderers-</v>
      </c>
      <c r="S990" t="str">
        <f>IF(Team_Level[[#This Row],[Result]]="","",COUNTIFS(Team_Level[Team],Team_Level[[#This Row],[Team]],Team_Level[Date],"&lt;="&amp;Team_Level[[#This Row],[Date]],Team_Level[Result],"&lt;&gt;"))</f>
        <v/>
      </c>
      <c r="T990" t="str">
        <f>Team_Level[[#This Row],[Team]]&amp;"-"&amp;Team_Level[[#This Row],[Chrono Rank]]</f>
        <v>Wycombe Wanderers-</v>
      </c>
    </row>
    <row r="991" spans="1:20" x14ac:dyDescent="0.25">
      <c r="A991" t="s">
        <v>516</v>
      </c>
      <c r="B991" s="6">
        <v>46472</v>
      </c>
      <c r="C991" t="s">
        <v>16</v>
      </c>
      <c r="D991" t="s">
        <v>11</v>
      </c>
      <c r="K991">
        <v>1</v>
      </c>
      <c r="L991" t="s">
        <v>35</v>
      </c>
      <c r="Q991" t="str">
        <f>IF(Team_Level[[#This Row],[Result]]="","",COUNTIFS(Team_Level[Team],Team_Level[[#This Row],[Team]],Team_Level[Date],"&gt;="&amp;Team_Level[[#This Row],[Date]],Team_Level[Result],"&lt;&gt;"))</f>
        <v/>
      </c>
      <c r="R991" t="str">
        <f>Team_Level[[#This Row],[Team]]&amp;"-"&amp;Team_Level[[#This Row],[Recency Rank]]</f>
        <v>Plymouth Argyle-</v>
      </c>
      <c r="S991" t="str">
        <f>IF(Team_Level[[#This Row],[Result]]="","",COUNTIFS(Team_Level[Team],Team_Level[[#This Row],[Team]],Team_Level[Date],"&lt;="&amp;Team_Level[[#This Row],[Date]],Team_Level[Result],"&lt;&gt;"))</f>
        <v/>
      </c>
      <c r="T991" t="str">
        <f>Team_Level[[#This Row],[Team]]&amp;"-"&amp;Team_Level[[#This Row],[Chrono Rank]]</f>
        <v>Plymouth Argyle-</v>
      </c>
    </row>
    <row r="992" spans="1:20" x14ac:dyDescent="0.25">
      <c r="A992" t="s">
        <v>517</v>
      </c>
      <c r="B992" s="6">
        <v>46472</v>
      </c>
      <c r="C992" t="s">
        <v>6</v>
      </c>
      <c r="D992" t="s">
        <v>12</v>
      </c>
      <c r="K992">
        <v>1</v>
      </c>
      <c r="L992" t="s">
        <v>35</v>
      </c>
      <c r="Q992" t="str">
        <f>IF(Team_Level[[#This Row],[Result]]="","",COUNTIFS(Team_Level[Team],Team_Level[[#This Row],[Team]],Team_Level[Date],"&gt;="&amp;Team_Level[[#This Row],[Date]],Team_Level[Result],"&lt;&gt;"))</f>
        <v/>
      </c>
      <c r="R992" t="str">
        <f>Team_Level[[#This Row],[Team]]&amp;"-"&amp;Team_Level[[#This Row],[Recency Rank]]</f>
        <v>Cambridge United-</v>
      </c>
      <c r="S992" t="str">
        <f>IF(Team_Level[[#This Row],[Result]]="","",COUNTIFS(Team_Level[Team],Team_Level[[#This Row],[Team]],Team_Level[Date],"&lt;="&amp;Team_Level[[#This Row],[Date]],Team_Level[Result],"&lt;&gt;"))</f>
        <v/>
      </c>
      <c r="T992" t="str">
        <f>Team_Level[[#This Row],[Team]]&amp;"-"&amp;Team_Level[[#This Row],[Chrono Rank]]</f>
        <v>Cambridge United-</v>
      </c>
    </row>
    <row r="993" spans="1:20" x14ac:dyDescent="0.25">
      <c r="A993" t="s">
        <v>518</v>
      </c>
      <c r="B993" s="6">
        <v>46472</v>
      </c>
      <c r="C993" t="s">
        <v>18</v>
      </c>
      <c r="D993" t="s">
        <v>33</v>
      </c>
      <c r="K993">
        <v>1</v>
      </c>
      <c r="L993" t="s">
        <v>35</v>
      </c>
      <c r="Q993" t="str">
        <f>IF(Team_Level[[#This Row],[Result]]="","",COUNTIFS(Team_Level[Team],Team_Level[[#This Row],[Team]],Team_Level[Date],"&gt;="&amp;Team_Level[[#This Row],[Date]],Team_Level[Result],"&lt;&gt;"))</f>
        <v/>
      </c>
      <c r="R993" t="str">
        <f>Team_Level[[#This Row],[Team]]&amp;"-"&amp;Team_Level[[#This Row],[Recency Rank]]</f>
        <v>Sheffield Wednesday-</v>
      </c>
      <c r="S993" t="str">
        <f>IF(Team_Level[[#This Row],[Result]]="","",COUNTIFS(Team_Level[Team],Team_Level[[#This Row],[Team]],Team_Level[Date],"&lt;="&amp;Team_Level[[#This Row],[Date]],Team_Level[Result],"&lt;&gt;"))</f>
        <v/>
      </c>
      <c r="T993" t="str">
        <f>Team_Level[[#This Row],[Team]]&amp;"-"&amp;Team_Level[[#This Row],[Chrono Rank]]</f>
        <v>Sheffield Wednesday-</v>
      </c>
    </row>
    <row r="994" spans="1:20" x14ac:dyDescent="0.25">
      <c r="A994" t="s">
        <v>519</v>
      </c>
      <c r="B994" s="6">
        <v>46472</v>
      </c>
      <c r="C994" t="s">
        <v>1</v>
      </c>
      <c r="D994" t="s">
        <v>13</v>
      </c>
      <c r="K994">
        <v>1</v>
      </c>
      <c r="L994" t="s">
        <v>35</v>
      </c>
      <c r="Q994" t="str">
        <f>IF(Team_Level[[#This Row],[Result]]="","",COUNTIFS(Team_Level[Team],Team_Level[[#This Row],[Team]],Team_Level[Date],"&gt;="&amp;Team_Level[[#This Row],[Date]],Team_Level[Result],"&lt;&gt;"))</f>
        <v/>
      </c>
      <c r="R994" t="str">
        <f>Team_Level[[#This Row],[Team]]&amp;"-"&amp;Team_Level[[#This Row],[Recency Rank]]</f>
        <v>Barnsley-</v>
      </c>
      <c r="S994" t="str">
        <f>IF(Team_Level[[#This Row],[Result]]="","",COUNTIFS(Team_Level[Team],Team_Level[[#This Row],[Team]],Team_Level[Date],"&lt;="&amp;Team_Level[[#This Row],[Date]],Team_Level[Result],"&lt;&gt;"))</f>
        <v/>
      </c>
      <c r="T994" t="str">
        <f>Team_Level[[#This Row],[Team]]&amp;"-"&amp;Team_Level[[#This Row],[Chrono Rank]]</f>
        <v>Barnsley-</v>
      </c>
    </row>
    <row r="995" spans="1:20" x14ac:dyDescent="0.25">
      <c r="A995" t="s">
        <v>520</v>
      </c>
      <c r="B995" s="6">
        <v>46472</v>
      </c>
      <c r="C995" t="s">
        <v>10</v>
      </c>
      <c r="D995" t="s">
        <v>14</v>
      </c>
      <c r="K995">
        <v>1</v>
      </c>
      <c r="L995" t="s">
        <v>35</v>
      </c>
      <c r="Q995" t="str">
        <f>IF(Team_Level[[#This Row],[Result]]="","",COUNTIFS(Team_Level[Team],Team_Level[[#This Row],[Team]],Team_Level[Date],"&gt;="&amp;Team_Level[[#This Row],[Date]],Team_Level[Result],"&lt;&gt;"))</f>
        <v/>
      </c>
      <c r="R995" t="str">
        <f>Team_Level[[#This Row],[Team]]&amp;"-"&amp;Team_Level[[#This Row],[Recency Rank]]</f>
        <v>Leyton Orient-</v>
      </c>
      <c r="S995" t="str">
        <f>IF(Team_Level[[#This Row],[Result]]="","",COUNTIFS(Team_Level[Team],Team_Level[[#This Row],[Team]],Team_Level[Date],"&lt;="&amp;Team_Level[[#This Row],[Date]],Team_Level[Result],"&lt;&gt;"))</f>
        <v/>
      </c>
      <c r="T995" t="str">
        <f>Team_Level[[#This Row],[Team]]&amp;"-"&amp;Team_Level[[#This Row],[Chrono Rank]]</f>
        <v>Leyton Orient-</v>
      </c>
    </row>
    <row r="996" spans="1:20" x14ac:dyDescent="0.25">
      <c r="A996" t="s">
        <v>521</v>
      </c>
      <c r="B996" s="6">
        <v>46472</v>
      </c>
      <c r="C996" t="s">
        <v>0</v>
      </c>
      <c r="D996" t="s">
        <v>15</v>
      </c>
      <c r="K996">
        <v>1</v>
      </c>
      <c r="L996" t="s">
        <v>35</v>
      </c>
      <c r="Q996" t="str">
        <f>IF(Team_Level[[#This Row],[Result]]="","",COUNTIFS(Team_Level[Team],Team_Level[[#This Row],[Team]],Team_Level[Date],"&gt;="&amp;Team_Level[[#This Row],[Date]],Team_Level[Result],"&lt;&gt;"))</f>
        <v/>
      </c>
      <c r="R996" t="str">
        <f>Team_Level[[#This Row],[Team]]&amp;"-"&amp;Team_Level[[#This Row],[Recency Rank]]</f>
        <v>AFC Wimbledon-</v>
      </c>
      <c r="S996" t="str">
        <f>IF(Team_Level[[#This Row],[Result]]="","",COUNTIFS(Team_Level[Team],Team_Level[[#This Row],[Team]],Team_Level[Date],"&lt;="&amp;Team_Level[[#This Row],[Date]],Team_Level[Result],"&lt;&gt;"))</f>
        <v/>
      </c>
      <c r="T996" t="str">
        <f>Team_Level[[#This Row],[Team]]&amp;"-"&amp;Team_Level[[#This Row],[Chrono Rank]]</f>
        <v>AFC Wimbledon-</v>
      </c>
    </row>
    <row r="997" spans="1:20" x14ac:dyDescent="0.25">
      <c r="A997" t="s">
        <v>522</v>
      </c>
      <c r="B997" s="6">
        <v>46472</v>
      </c>
      <c r="C997" t="s">
        <v>4</v>
      </c>
      <c r="D997" t="s">
        <v>19</v>
      </c>
      <c r="K997">
        <v>1</v>
      </c>
      <c r="L997" t="s">
        <v>35</v>
      </c>
      <c r="Q997" t="str">
        <f>IF(Team_Level[[#This Row],[Result]]="","",COUNTIFS(Team_Level[Team],Team_Level[[#This Row],[Team]],Team_Level[Date],"&gt;="&amp;Team_Level[[#This Row],[Date]],Team_Level[Result],"&lt;&gt;"))</f>
        <v/>
      </c>
      <c r="R997" t="str">
        <f>Team_Level[[#This Row],[Team]]&amp;"-"&amp;Team_Level[[#This Row],[Recency Rank]]</f>
        <v>Bromley-</v>
      </c>
      <c r="S997" t="str">
        <f>IF(Team_Level[[#This Row],[Result]]="","",COUNTIFS(Team_Level[Team],Team_Level[[#This Row],[Team]],Team_Level[Date],"&lt;="&amp;Team_Level[[#This Row],[Date]],Team_Level[Result],"&lt;&gt;"))</f>
        <v/>
      </c>
      <c r="T997" t="str">
        <f>Team_Level[[#This Row],[Team]]&amp;"-"&amp;Team_Level[[#This Row],[Chrono Rank]]</f>
        <v>Bromley-</v>
      </c>
    </row>
    <row r="998" spans="1:20" x14ac:dyDescent="0.25">
      <c r="A998" t="s">
        <v>523</v>
      </c>
      <c r="B998" s="6">
        <v>46475</v>
      </c>
      <c r="C998" t="s">
        <v>9</v>
      </c>
      <c r="D998" t="s">
        <v>0</v>
      </c>
      <c r="K998">
        <v>1</v>
      </c>
      <c r="L998" t="s">
        <v>35</v>
      </c>
      <c r="Q998" t="str">
        <f>IF(Team_Level[[#This Row],[Result]]="","",COUNTIFS(Team_Level[Team],Team_Level[[#This Row],[Team]],Team_Level[Date],"&gt;="&amp;Team_Level[[#This Row],[Date]],Team_Level[Result],"&lt;&gt;"))</f>
        <v/>
      </c>
      <c r="R998" t="str">
        <f>Team_Level[[#This Row],[Team]]&amp;"-"&amp;Team_Level[[#This Row],[Recency Rank]]</f>
        <v>Leicester City-</v>
      </c>
      <c r="S998" t="str">
        <f>IF(Team_Level[[#This Row],[Result]]="","",COUNTIFS(Team_Level[Team],Team_Level[[#This Row],[Team]],Team_Level[Date],"&lt;="&amp;Team_Level[[#This Row],[Date]],Team_Level[Result],"&lt;&gt;"))</f>
        <v/>
      </c>
      <c r="T998" t="str">
        <f>Team_Level[[#This Row],[Team]]&amp;"-"&amp;Team_Level[[#This Row],[Chrono Rank]]</f>
        <v>Leicester City-</v>
      </c>
    </row>
    <row r="999" spans="1:20" x14ac:dyDescent="0.25">
      <c r="A999" t="s">
        <v>524</v>
      </c>
      <c r="B999" s="6">
        <v>46475</v>
      </c>
      <c r="C999" t="s">
        <v>12</v>
      </c>
      <c r="D999" t="s">
        <v>1</v>
      </c>
      <c r="K999">
        <v>1</v>
      </c>
      <c r="L999" t="s">
        <v>35</v>
      </c>
      <c r="Q999" t="str">
        <f>IF(Team_Level[[#This Row],[Result]]="","",COUNTIFS(Team_Level[Team],Team_Level[[#This Row],[Team]],Team_Level[Date],"&gt;="&amp;Team_Level[[#This Row],[Date]],Team_Level[Result],"&lt;&gt;"))</f>
        <v/>
      </c>
      <c r="R999" t="str">
        <f>Team_Level[[#This Row],[Team]]&amp;"-"&amp;Team_Level[[#This Row],[Recency Rank]]</f>
        <v>Mansfield Town-</v>
      </c>
      <c r="S999" t="str">
        <f>IF(Team_Level[[#This Row],[Result]]="","",COUNTIFS(Team_Level[Team],Team_Level[[#This Row],[Team]],Team_Level[Date],"&lt;="&amp;Team_Level[[#This Row],[Date]],Team_Level[Result],"&lt;&gt;"))</f>
        <v/>
      </c>
      <c r="T999" t="str">
        <f>Team_Level[[#This Row],[Team]]&amp;"-"&amp;Team_Level[[#This Row],[Chrono Rank]]</f>
        <v>Mansfield Town-</v>
      </c>
    </row>
    <row r="1000" spans="1:20" x14ac:dyDescent="0.25">
      <c r="A1000" t="s">
        <v>525</v>
      </c>
      <c r="B1000" s="6">
        <v>46475</v>
      </c>
      <c r="C1000" t="s">
        <v>14</v>
      </c>
      <c r="D1000" t="s">
        <v>2</v>
      </c>
      <c r="K1000">
        <v>1</v>
      </c>
      <c r="L1000" t="s">
        <v>35</v>
      </c>
      <c r="Q1000" t="str">
        <f>IF(Team_Level[[#This Row],[Result]]="","",COUNTIFS(Team_Level[Team],Team_Level[[#This Row],[Team]],Team_Level[Date],"&gt;="&amp;Team_Level[[#This Row],[Date]],Team_Level[Result],"&lt;&gt;"))</f>
        <v/>
      </c>
      <c r="R1000" t="str">
        <f>Team_Level[[#This Row],[Team]]&amp;"-"&amp;Team_Level[[#This Row],[Recency Rank]]</f>
        <v>Oxford United-</v>
      </c>
      <c r="S1000" t="str">
        <f>IF(Team_Level[[#This Row],[Result]]="","",COUNTIFS(Team_Level[Team],Team_Level[[#This Row],[Team]],Team_Level[Date],"&lt;="&amp;Team_Level[[#This Row],[Date]],Team_Level[Result],"&lt;&gt;"))</f>
        <v/>
      </c>
      <c r="T1000" t="str">
        <f>Team_Level[[#This Row],[Team]]&amp;"-"&amp;Team_Level[[#This Row],[Chrono Rank]]</f>
        <v>Oxford United-</v>
      </c>
    </row>
    <row r="1001" spans="1:20" x14ac:dyDescent="0.25">
      <c r="A1001" t="s">
        <v>526</v>
      </c>
      <c r="B1001" s="6">
        <v>46475</v>
      </c>
      <c r="C1001" t="s">
        <v>7</v>
      </c>
      <c r="D1001" t="s">
        <v>4</v>
      </c>
      <c r="K1001">
        <v>1</v>
      </c>
      <c r="L1001" t="s">
        <v>35</v>
      </c>
      <c r="Q1001" t="str">
        <f>IF(Team_Level[[#This Row],[Result]]="","",COUNTIFS(Team_Level[Team],Team_Level[[#This Row],[Team]],Team_Level[Date],"&gt;="&amp;Team_Level[[#This Row],[Date]],Team_Level[Result],"&lt;&gt;"))</f>
        <v/>
      </c>
      <c r="R1001" t="str">
        <f>Team_Level[[#This Row],[Team]]&amp;"-"&amp;Team_Level[[#This Row],[Recency Rank]]</f>
        <v>Doncaster Rovers-</v>
      </c>
      <c r="S1001" t="str">
        <f>IF(Team_Level[[#This Row],[Result]]="","",COUNTIFS(Team_Level[Team],Team_Level[[#This Row],[Team]],Team_Level[Date],"&lt;="&amp;Team_Level[[#This Row],[Date]],Team_Level[Result],"&lt;&gt;"))</f>
        <v/>
      </c>
      <c r="T1001" t="str">
        <f>Team_Level[[#This Row],[Team]]&amp;"-"&amp;Team_Level[[#This Row],[Chrono Rank]]</f>
        <v>Doncaster Rovers-</v>
      </c>
    </row>
    <row r="1002" spans="1:20" x14ac:dyDescent="0.25">
      <c r="A1002" t="s">
        <v>527</v>
      </c>
      <c r="B1002" s="6">
        <v>46475</v>
      </c>
      <c r="C1002" t="s">
        <v>33</v>
      </c>
      <c r="D1002" t="s">
        <v>6</v>
      </c>
      <c r="K1002">
        <v>1</v>
      </c>
      <c r="L1002" t="s">
        <v>35</v>
      </c>
      <c r="Q1002" t="str">
        <f>IF(Team_Level[[#This Row],[Result]]="","",COUNTIFS(Team_Level[Team],Team_Level[[#This Row],[Team]],Team_Level[Date],"&gt;="&amp;Team_Level[[#This Row],[Date]],Team_Level[Result],"&lt;&gt;"))</f>
        <v/>
      </c>
      <c r="R1002" t="str">
        <f>Team_Level[[#This Row],[Team]]&amp;"-"&amp;Team_Level[[#This Row],[Recency Rank]]</f>
        <v>Milton Keynes Dons-</v>
      </c>
      <c r="S1002" t="str">
        <f>IF(Team_Level[[#This Row],[Result]]="","",COUNTIFS(Team_Level[Team],Team_Level[[#This Row],[Team]],Team_Level[Date],"&lt;="&amp;Team_Level[[#This Row],[Date]],Team_Level[Result],"&lt;&gt;"))</f>
        <v/>
      </c>
      <c r="T1002" t="str">
        <f>Team_Level[[#This Row],[Team]]&amp;"-"&amp;Team_Level[[#This Row],[Chrono Rank]]</f>
        <v>Milton Keynes Dons-</v>
      </c>
    </row>
    <row r="1003" spans="1:20" x14ac:dyDescent="0.25">
      <c r="A1003" t="s">
        <v>528</v>
      </c>
      <c r="B1003" s="6">
        <v>46475</v>
      </c>
      <c r="C1003" t="s">
        <v>8</v>
      </c>
      <c r="D1003" t="s">
        <v>10</v>
      </c>
      <c r="K1003">
        <v>1</v>
      </c>
      <c r="L1003" t="s">
        <v>35</v>
      </c>
      <c r="Q1003" t="str">
        <f>IF(Team_Level[[#This Row],[Result]]="","",COUNTIFS(Team_Level[Team],Team_Level[[#This Row],[Team]],Team_Level[Date],"&gt;="&amp;Team_Level[[#This Row],[Date]],Team_Level[Result],"&lt;&gt;"))</f>
        <v/>
      </c>
      <c r="R1003" t="str">
        <f>Team_Level[[#This Row],[Team]]&amp;"-"&amp;Team_Level[[#This Row],[Recency Rank]]</f>
        <v>Huddersfield Town-</v>
      </c>
      <c r="S1003" t="str">
        <f>IF(Team_Level[[#This Row],[Result]]="","",COUNTIFS(Team_Level[Team],Team_Level[[#This Row],[Team]],Team_Level[Date],"&lt;="&amp;Team_Level[[#This Row],[Date]],Team_Level[Result],"&lt;&gt;"))</f>
        <v/>
      </c>
      <c r="T1003" t="str">
        <f>Team_Level[[#This Row],[Team]]&amp;"-"&amp;Team_Level[[#This Row],[Chrono Rank]]</f>
        <v>Huddersfield Town-</v>
      </c>
    </row>
    <row r="1004" spans="1:20" x14ac:dyDescent="0.25">
      <c r="A1004" t="s">
        <v>529</v>
      </c>
      <c r="B1004" s="6">
        <v>46475</v>
      </c>
      <c r="C1004" t="s">
        <v>13</v>
      </c>
      <c r="D1004" t="s">
        <v>16</v>
      </c>
      <c r="K1004">
        <v>1</v>
      </c>
      <c r="L1004" t="s">
        <v>35</v>
      </c>
      <c r="Q1004" t="str">
        <f>IF(Team_Level[[#This Row],[Result]]="","",COUNTIFS(Team_Level[Team],Team_Level[[#This Row],[Team]],Team_Level[Date],"&gt;="&amp;Team_Level[[#This Row],[Date]],Team_Level[Result],"&lt;&gt;"))</f>
        <v/>
      </c>
      <c r="R1004" t="str">
        <f>Team_Level[[#This Row],[Team]]&amp;"-"&amp;Team_Level[[#This Row],[Recency Rank]]</f>
        <v>Notts County-</v>
      </c>
      <c r="S1004" t="str">
        <f>IF(Team_Level[[#This Row],[Result]]="","",COUNTIFS(Team_Level[Team],Team_Level[[#This Row],[Team]],Team_Level[Date],"&lt;="&amp;Team_Level[[#This Row],[Date]],Team_Level[Result],"&lt;&gt;"))</f>
        <v/>
      </c>
      <c r="T1004" t="str">
        <f>Team_Level[[#This Row],[Team]]&amp;"-"&amp;Team_Level[[#This Row],[Chrono Rank]]</f>
        <v>Notts County-</v>
      </c>
    </row>
    <row r="1005" spans="1:20" x14ac:dyDescent="0.25">
      <c r="A1005" t="s">
        <v>530</v>
      </c>
      <c r="B1005" s="6">
        <v>46475</v>
      </c>
      <c r="C1005" t="s">
        <v>19</v>
      </c>
      <c r="D1005" t="s">
        <v>17</v>
      </c>
      <c r="K1005">
        <v>1</v>
      </c>
      <c r="L1005" t="s">
        <v>35</v>
      </c>
      <c r="Q1005" t="str">
        <f>IF(Team_Level[[#This Row],[Result]]="","",COUNTIFS(Team_Level[Team],Team_Level[[#This Row],[Team]],Team_Level[Date],"&gt;="&amp;Team_Level[[#This Row],[Date]],Team_Level[Result],"&lt;&gt;"))</f>
        <v/>
      </c>
      <c r="R1005" t="str">
        <f>Team_Level[[#This Row],[Team]]&amp;"-"&amp;Team_Level[[#This Row],[Recency Rank]]</f>
        <v>Stevenage-</v>
      </c>
      <c r="S1005" t="str">
        <f>IF(Team_Level[[#This Row],[Result]]="","",COUNTIFS(Team_Level[Team],Team_Level[[#This Row],[Team]],Team_Level[Date],"&lt;="&amp;Team_Level[[#This Row],[Date]],Team_Level[Result],"&lt;&gt;"))</f>
        <v/>
      </c>
      <c r="T1005" t="str">
        <f>Team_Level[[#This Row],[Team]]&amp;"-"&amp;Team_Level[[#This Row],[Chrono Rank]]</f>
        <v>Stevenage-</v>
      </c>
    </row>
    <row r="1006" spans="1:20" x14ac:dyDescent="0.25">
      <c r="A1006" t="s">
        <v>531</v>
      </c>
      <c r="B1006" s="6">
        <v>46475</v>
      </c>
      <c r="C1006" t="s">
        <v>5</v>
      </c>
      <c r="D1006" t="s">
        <v>18</v>
      </c>
      <c r="K1006">
        <v>1</v>
      </c>
      <c r="L1006" t="s">
        <v>35</v>
      </c>
      <c r="Q1006" t="str">
        <f>IF(Team_Level[[#This Row],[Result]]="","",COUNTIFS(Team_Level[Team],Team_Level[[#This Row],[Team]],Team_Level[Date],"&gt;="&amp;Team_Level[[#This Row],[Date]],Team_Level[Result],"&lt;&gt;"))</f>
        <v/>
      </c>
      <c r="R1006" t="str">
        <f>Team_Level[[#This Row],[Team]]&amp;"-"&amp;Team_Level[[#This Row],[Recency Rank]]</f>
        <v>Burton Albion-</v>
      </c>
      <c r="S1006" t="str">
        <f>IF(Team_Level[[#This Row],[Result]]="","",COUNTIFS(Team_Level[Team],Team_Level[[#This Row],[Team]],Team_Level[Date],"&lt;="&amp;Team_Level[[#This Row],[Date]],Team_Level[Result],"&lt;&gt;"))</f>
        <v/>
      </c>
      <c r="T1006" t="str">
        <f>Team_Level[[#This Row],[Team]]&amp;"-"&amp;Team_Level[[#This Row],[Chrono Rank]]</f>
        <v>Burton Albion-</v>
      </c>
    </row>
    <row r="1007" spans="1:20" x14ac:dyDescent="0.25">
      <c r="A1007" t="s">
        <v>532</v>
      </c>
      <c r="B1007" s="6">
        <v>46475</v>
      </c>
      <c r="C1007" t="s">
        <v>3</v>
      </c>
      <c r="D1007" t="s">
        <v>20</v>
      </c>
      <c r="K1007">
        <v>1</v>
      </c>
      <c r="L1007" t="s">
        <v>35</v>
      </c>
      <c r="Q1007" t="str">
        <f>IF(Team_Level[[#This Row],[Result]]="","",COUNTIFS(Team_Level[Team],Team_Level[[#This Row],[Team]],Team_Level[Date],"&gt;="&amp;Team_Level[[#This Row],[Date]],Team_Level[Result],"&lt;&gt;"))</f>
        <v/>
      </c>
      <c r="R1007" t="str">
        <f>Team_Level[[#This Row],[Team]]&amp;"-"&amp;Team_Level[[#This Row],[Recency Rank]]</f>
        <v>Bradford City-</v>
      </c>
      <c r="S1007" t="str">
        <f>IF(Team_Level[[#This Row],[Result]]="","",COUNTIFS(Team_Level[Team],Team_Level[[#This Row],[Team]],Team_Level[Date],"&lt;="&amp;Team_Level[[#This Row],[Date]],Team_Level[Result],"&lt;&gt;"))</f>
        <v/>
      </c>
      <c r="T1007" t="str">
        <f>Team_Level[[#This Row],[Team]]&amp;"-"&amp;Team_Level[[#This Row],[Chrono Rank]]</f>
        <v>Bradford City-</v>
      </c>
    </row>
    <row r="1008" spans="1:20" x14ac:dyDescent="0.25">
      <c r="A1008" t="s">
        <v>533</v>
      </c>
      <c r="B1008" s="6">
        <v>46475</v>
      </c>
      <c r="C1008" t="s">
        <v>11</v>
      </c>
      <c r="D1008" t="s">
        <v>21</v>
      </c>
      <c r="K1008">
        <v>1</v>
      </c>
      <c r="L1008" t="s">
        <v>35</v>
      </c>
      <c r="Q1008" t="str">
        <f>IF(Team_Level[[#This Row],[Result]]="","",COUNTIFS(Team_Level[Team],Team_Level[[#This Row],[Team]],Team_Level[Date],"&gt;="&amp;Team_Level[[#This Row],[Date]],Team_Level[Result],"&lt;&gt;"))</f>
        <v/>
      </c>
      <c r="R1008" t="str">
        <f>Team_Level[[#This Row],[Team]]&amp;"-"&amp;Team_Level[[#This Row],[Recency Rank]]</f>
        <v>Luton Town-</v>
      </c>
      <c r="S1008" t="str">
        <f>IF(Team_Level[[#This Row],[Result]]="","",COUNTIFS(Team_Level[Team],Team_Level[[#This Row],[Team]],Team_Level[Date],"&lt;="&amp;Team_Level[[#This Row],[Date]],Team_Level[Result],"&lt;&gt;"))</f>
        <v/>
      </c>
      <c r="T1008" t="str">
        <f>Team_Level[[#This Row],[Team]]&amp;"-"&amp;Team_Level[[#This Row],[Chrono Rank]]</f>
        <v>Luton Town-</v>
      </c>
    </row>
    <row r="1009" spans="1:20" x14ac:dyDescent="0.25">
      <c r="A1009" t="s">
        <v>534</v>
      </c>
      <c r="B1009" s="6">
        <v>46475</v>
      </c>
      <c r="C1009" t="s">
        <v>15</v>
      </c>
      <c r="D1009" t="s">
        <v>22</v>
      </c>
      <c r="K1009">
        <v>1</v>
      </c>
      <c r="L1009" t="s">
        <v>35</v>
      </c>
      <c r="Q1009" t="str">
        <f>IF(Team_Level[[#This Row],[Result]]="","",COUNTIFS(Team_Level[Team],Team_Level[[#This Row],[Team]],Team_Level[Date],"&gt;="&amp;Team_Level[[#This Row],[Date]],Team_Level[Result],"&lt;&gt;"))</f>
        <v/>
      </c>
      <c r="R1009" t="str">
        <f>Team_Level[[#This Row],[Team]]&amp;"-"&amp;Team_Level[[#This Row],[Recency Rank]]</f>
        <v>Peterborough United-</v>
      </c>
      <c r="S1009" t="str">
        <f>IF(Team_Level[[#This Row],[Result]]="","",COUNTIFS(Team_Level[Team],Team_Level[[#This Row],[Team]],Team_Level[Date],"&lt;="&amp;Team_Level[[#This Row],[Date]],Team_Level[Result],"&lt;&gt;"))</f>
        <v/>
      </c>
      <c r="T1009" t="str">
        <f>Team_Level[[#This Row],[Team]]&amp;"-"&amp;Team_Level[[#This Row],[Chrono Rank]]</f>
        <v>Peterborough United-</v>
      </c>
    </row>
    <row r="1010" spans="1:20" x14ac:dyDescent="0.25">
      <c r="A1010" t="s">
        <v>535</v>
      </c>
      <c r="B1010" s="6">
        <v>46480</v>
      </c>
      <c r="C1010" t="s">
        <v>2</v>
      </c>
      <c r="D1010" t="s">
        <v>3</v>
      </c>
      <c r="K1010">
        <v>1</v>
      </c>
      <c r="L1010" t="s">
        <v>35</v>
      </c>
      <c r="Q1010" t="str">
        <f>IF(Team_Level[[#This Row],[Result]]="","",COUNTIFS(Team_Level[Team],Team_Level[[#This Row],[Team]],Team_Level[Date],"&gt;="&amp;Team_Level[[#This Row],[Date]],Team_Level[Result],"&lt;&gt;"))</f>
        <v/>
      </c>
      <c r="R1010" t="str">
        <f>Team_Level[[#This Row],[Team]]&amp;"-"&amp;Team_Level[[#This Row],[Recency Rank]]</f>
        <v>Blackpool-</v>
      </c>
      <c r="S1010" t="str">
        <f>IF(Team_Level[[#This Row],[Result]]="","",COUNTIFS(Team_Level[Team],Team_Level[[#This Row],[Team]],Team_Level[Date],"&lt;="&amp;Team_Level[[#This Row],[Date]],Team_Level[Result],"&lt;&gt;"))</f>
        <v/>
      </c>
      <c r="T1010" t="str">
        <f>Team_Level[[#This Row],[Team]]&amp;"-"&amp;Team_Level[[#This Row],[Chrono Rank]]</f>
        <v>Blackpool-</v>
      </c>
    </row>
    <row r="1011" spans="1:20" x14ac:dyDescent="0.25">
      <c r="A1011" t="s">
        <v>536</v>
      </c>
      <c r="B1011" s="6">
        <v>46480</v>
      </c>
      <c r="C1011" t="s">
        <v>1</v>
      </c>
      <c r="D1011" t="s">
        <v>5</v>
      </c>
      <c r="K1011">
        <v>1</v>
      </c>
      <c r="L1011" t="s">
        <v>35</v>
      </c>
      <c r="Q1011" t="str">
        <f>IF(Team_Level[[#This Row],[Result]]="","",COUNTIFS(Team_Level[Team],Team_Level[[#This Row],[Team]],Team_Level[Date],"&gt;="&amp;Team_Level[[#This Row],[Date]],Team_Level[Result],"&lt;&gt;"))</f>
        <v/>
      </c>
      <c r="R1011" t="str">
        <f>Team_Level[[#This Row],[Team]]&amp;"-"&amp;Team_Level[[#This Row],[Recency Rank]]</f>
        <v>Barnsley-</v>
      </c>
      <c r="S1011" t="str">
        <f>IF(Team_Level[[#This Row],[Result]]="","",COUNTIFS(Team_Level[Team],Team_Level[[#This Row],[Team]],Team_Level[Date],"&lt;="&amp;Team_Level[[#This Row],[Date]],Team_Level[Result],"&lt;&gt;"))</f>
        <v/>
      </c>
      <c r="T1011" t="str">
        <f>Team_Level[[#This Row],[Team]]&amp;"-"&amp;Team_Level[[#This Row],[Chrono Rank]]</f>
        <v>Barnsley-</v>
      </c>
    </row>
    <row r="1012" spans="1:20" x14ac:dyDescent="0.25">
      <c r="A1012" t="s">
        <v>537</v>
      </c>
      <c r="B1012" s="6">
        <v>46480</v>
      </c>
      <c r="C1012" t="s">
        <v>6</v>
      </c>
      <c r="D1012" t="s">
        <v>7</v>
      </c>
      <c r="K1012">
        <v>1</v>
      </c>
      <c r="L1012" t="s">
        <v>35</v>
      </c>
      <c r="Q1012" t="str">
        <f>IF(Team_Level[[#This Row],[Result]]="","",COUNTIFS(Team_Level[Team],Team_Level[[#This Row],[Team]],Team_Level[Date],"&gt;="&amp;Team_Level[[#This Row],[Date]],Team_Level[Result],"&lt;&gt;"))</f>
        <v/>
      </c>
      <c r="R1012" t="str">
        <f>Team_Level[[#This Row],[Team]]&amp;"-"&amp;Team_Level[[#This Row],[Recency Rank]]</f>
        <v>Cambridge United-</v>
      </c>
      <c r="S1012" t="str">
        <f>IF(Team_Level[[#This Row],[Result]]="","",COUNTIFS(Team_Level[Team],Team_Level[[#This Row],[Team]],Team_Level[Date],"&lt;="&amp;Team_Level[[#This Row],[Date]],Team_Level[Result],"&lt;&gt;"))</f>
        <v/>
      </c>
      <c r="T1012" t="str">
        <f>Team_Level[[#This Row],[Team]]&amp;"-"&amp;Team_Level[[#This Row],[Chrono Rank]]</f>
        <v>Cambridge United-</v>
      </c>
    </row>
    <row r="1013" spans="1:20" x14ac:dyDescent="0.25">
      <c r="A1013" t="s">
        <v>538</v>
      </c>
      <c r="B1013" s="6">
        <v>46480</v>
      </c>
      <c r="C1013" t="s">
        <v>20</v>
      </c>
      <c r="D1013" t="s">
        <v>8</v>
      </c>
      <c r="K1013">
        <v>1</v>
      </c>
      <c r="L1013" t="s">
        <v>35</v>
      </c>
      <c r="Q1013" t="str">
        <f>IF(Team_Level[[#This Row],[Result]]="","",COUNTIFS(Team_Level[Team],Team_Level[[#This Row],[Team]],Team_Level[Date],"&gt;="&amp;Team_Level[[#This Row],[Date]],Team_Level[Result],"&lt;&gt;"))</f>
        <v/>
      </c>
      <c r="R1013" t="str">
        <f>Team_Level[[#This Row],[Team]]&amp;"-"&amp;Team_Level[[#This Row],[Recency Rank]]</f>
        <v>Stockport County-</v>
      </c>
      <c r="S1013" t="str">
        <f>IF(Team_Level[[#This Row],[Result]]="","",COUNTIFS(Team_Level[Team],Team_Level[[#This Row],[Team]],Team_Level[Date],"&lt;="&amp;Team_Level[[#This Row],[Date]],Team_Level[Result],"&lt;&gt;"))</f>
        <v/>
      </c>
      <c r="T1013" t="str">
        <f>Team_Level[[#This Row],[Team]]&amp;"-"&amp;Team_Level[[#This Row],[Chrono Rank]]</f>
        <v>Stockport County-</v>
      </c>
    </row>
    <row r="1014" spans="1:20" x14ac:dyDescent="0.25">
      <c r="A1014" t="s">
        <v>539</v>
      </c>
      <c r="B1014" s="6">
        <v>46480</v>
      </c>
      <c r="C1014" t="s">
        <v>10</v>
      </c>
      <c r="D1014" t="s">
        <v>9</v>
      </c>
      <c r="K1014">
        <v>1</v>
      </c>
      <c r="L1014" t="s">
        <v>35</v>
      </c>
      <c r="Q1014" t="str">
        <f>IF(Team_Level[[#This Row],[Result]]="","",COUNTIFS(Team_Level[Team],Team_Level[[#This Row],[Team]],Team_Level[Date],"&gt;="&amp;Team_Level[[#This Row],[Date]],Team_Level[Result],"&lt;&gt;"))</f>
        <v/>
      </c>
      <c r="R1014" t="str">
        <f>Team_Level[[#This Row],[Team]]&amp;"-"&amp;Team_Level[[#This Row],[Recency Rank]]</f>
        <v>Leyton Orient-</v>
      </c>
      <c r="S1014" t="str">
        <f>IF(Team_Level[[#This Row],[Result]]="","",COUNTIFS(Team_Level[Team],Team_Level[[#This Row],[Team]],Team_Level[Date],"&lt;="&amp;Team_Level[[#This Row],[Date]],Team_Level[Result],"&lt;&gt;"))</f>
        <v/>
      </c>
      <c r="T1014" t="str">
        <f>Team_Level[[#This Row],[Team]]&amp;"-"&amp;Team_Level[[#This Row],[Chrono Rank]]</f>
        <v>Leyton Orient-</v>
      </c>
    </row>
    <row r="1015" spans="1:20" x14ac:dyDescent="0.25">
      <c r="A1015" t="s">
        <v>540</v>
      </c>
      <c r="B1015" s="6">
        <v>46480</v>
      </c>
      <c r="C1015" t="s">
        <v>0</v>
      </c>
      <c r="D1015" t="s">
        <v>11</v>
      </c>
      <c r="K1015">
        <v>1</v>
      </c>
      <c r="L1015" t="s">
        <v>35</v>
      </c>
      <c r="Q1015" t="str">
        <f>IF(Team_Level[[#This Row],[Result]]="","",COUNTIFS(Team_Level[Team],Team_Level[[#This Row],[Team]],Team_Level[Date],"&gt;="&amp;Team_Level[[#This Row],[Date]],Team_Level[Result],"&lt;&gt;"))</f>
        <v/>
      </c>
      <c r="R1015" t="str">
        <f>Team_Level[[#This Row],[Team]]&amp;"-"&amp;Team_Level[[#This Row],[Recency Rank]]</f>
        <v>AFC Wimbledon-</v>
      </c>
      <c r="S1015" t="str">
        <f>IF(Team_Level[[#This Row],[Result]]="","",COUNTIFS(Team_Level[Team],Team_Level[[#This Row],[Team]],Team_Level[Date],"&lt;="&amp;Team_Level[[#This Row],[Date]],Team_Level[Result],"&lt;&gt;"))</f>
        <v/>
      </c>
      <c r="T1015" t="str">
        <f>Team_Level[[#This Row],[Team]]&amp;"-"&amp;Team_Level[[#This Row],[Chrono Rank]]</f>
        <v>AFC Wimbledon-</v>
      </c>
    </row>
    <row r="1016" spans="1:20" x14ac:dyDescent="0.25">
      <c r="A1016" t="s">
        <v>541</v>
      </c>
      <c r="B1016" s="6">
        <v>46480</v>
      </c>
      <c r="C1016" t="s">
        <v>18</v>
      </c>
      <c r="D1016" t="s">
        <v>12</v>
      </c>
      <c r="K1016">
        <v>1</v>
      </c>
      <c r="L1016" t="s">
        <v>35</v>
      </c>
      <c r="Q1016" t="str">
        <f>IF(Team_Level[[#This Row],[Result]]="","",COUNTIFS(Team_Level[Team],Team_Level[[#This Row],[Team]],Team_Level[Date],"&gt;="&amp;Team_Level[[#This Row],[Date]],Team_Level[Result],"&lt;&gt;"))</f>
        <v/>
      </c>
      <c r="R1016" t="str">
        <f>Team_Level[[#This Row],[Team]]&amp;"-"&amp;Team_Level[[#This Row],[Recency Rank]]</f>
        <v>Sheffield Wednesday-</v>
      </c>
      <c r="S1016" t="str">
        <f>IF(Team_Level[[#This Row],[Result]]="","",COUNTIFS(Team_Level[Team],Team_Level[[#This Row],[Team]],Team_Level[Date],"&lt;="&amp;Team_Level[[#This Row],[Date]],Team_Level[Result],"&lt;&gt;"))</f>
        <v/>
      </c>
      <c r="T1016" t="str">
        <f>Team_Level[[#This Row],[Team]]&amp;"-"&amp;Team_Level[[#This Row],[Chrono Rank]]</f>
        <v>Sheffield Wednesday-</v>
      </c>
    </row>
    <row r="1017" spans="1:20" x14ac:dyDescent="0.25">
      <c r="A1017" t="s">
        <v>542</v>
      </c>
      <c r="B1017" s="6">
        <v>46480</v>
      </c>
      <c r="C1017" t="s">
        <v>16</v>
      </c>
      <c r="D1017" t="s">
        <v>33</v>
      </c>
      <c r="K1017">
        <v>1</v>
      </c>
      <c r="L1017" t="s">
        <v>35</v>
      </c>
      <c r="Q1017" t="str">
        <f>IF(Team_Level[[#This Row],[Result]]="","",COUNTIFS(Team_Level[Team],Team_Level[[#This Row],[Team]],Team_Level[Date],"&gt;="&amp;Team_Level[[#This Row],[Date]],Team_Level[Result],"&lt;&gt;"))</f>
        <v/>
      </c>
      <c r="R1017" t="str">
        <f>Team_Level[[#This Row],[Team]]&amp;"-"&amp;Team_Level[[#This Row],[Recency Rank]]</f>
        <v>Plymouth Argyle-</v>
      </c>
      <c r="S1017" t="str">
        <f>IF(Team_Level[[#This Row],[Result]]="","",COUNTIFS(Team_Level[Team],Team_Level[[#This Row],[Team]],Team_Level[Date],"&lt;="&amp;Team_Level[[#This Row],[Date]],Team_Level[Result],"&lt;&gt;"))</f>
        <v/>
      </c>
      <c r="T1017" t="str">
        <f>Team_Level[[#This Row],[Team]]&amp;"-"&amp;Team_Level[[#This Row],[Chrono Rank]]</f>
        <v>Plymouth Argyle-</v>
      </c>
    </row>
    <row r="1018" spans="1:20" x14ac:dyDescent="0.25">
      <c r="A1018" t="s">
        <v>543</v>
      </c>
      <c r="B1018" s="6">
        <v>46480</v>
      </c>
      <c r="C1018" t="s">
        <v>21</v>
      </c>
      <c r="D1018" t="s">
        <v>13</v>
      </c>
      <c r="K1018">
        <v>1</v>
      </c>
      <c r="L1018" t="s">
        <v>35</v>
      </c>
      <c r="Q1018" t="str">
        <f>IF(Team_Level[[#This Row],[Result]]="","",COUNTIFS(Team_Level[Team],Team_Level[[#This Row],[Team]],Team_Level[Date],"&gt;="&amp;Team_Level[[#This Row],[Date]],Team_Level[Result],"&lt;&gt;"))</f>
        <v/>
      </c>
      <c r="R1018" t="str">
        <f>Team_Level[[#This Row],[Team]]&amp;"-"&amp;Team_Level[[#This Row],[Recency Rank]]</f>
        <v>Wigan Athletic-</v>
      </c>
      <c r="S1018" t="str">
        <f>IF(Team_Level[[#This Row],[Result]]="","",COUNTIFS(Team_Level[Team],Team_Level[[#This Row],[Team]],Team_Level[Date],"&lt;="&amp;Team_Level[[#This Row],[Date]],Team_Level[Result],"&lt;&gt;"))</f>
        <v/>
      </c>
      <c r="T1018" t="str">
        <f>Team_Level[[#This Row],[Team]]&amp;"-"&amp;Team_Level[[#This Row],[Chrono Rank]]</f>
        <v>Wigan Athletic-</v>
      </c>
    </row>
    <row r="1019" spans="1:20" x14ac:dyDescent="0.25">
      <c r="A1019" t="s">
        <v>544</v>
      </c>
      <c r="B1019" s="6">
        <v>46480</v>
      </c>
      <c r="C1019" t="s">
        <v>4</v>
      </c>
      <c r="D1019" t="s">
        <v>14</v>
      </c>
      <c r="K1019">
        <v>1</v>
      </c>
      <c r="L1019" t="s">
        <v>35</v>
      </c>
      <c r="Q1019" t="str">
        <f>IF(Team_Level[[#This Row],[Result]]="","",COUNTIFS(Team_Level[Team],Team_Level[[#This Row],[Team]],Team_Level[Date],"&gt;="&amp;Team_Level[[#This Row],[Date]],Team_Level[Result],"&lt;&gt;"))</f>
        <v/>
      </c>
      <c r="R1019" t="str">
        <f>Team_Level[[#This Row],[Team]]&amp;"-"&amp;Team_Level[[#This Row],[Recency Rank]]</f>
        <v>Bromley-</v>
      </c>
      <c r="S1019" t="str">
        <f>IF(Team_Level[[#This Row],[Result]]="","",COUNTIFS(Team_Level[Team],Team_Level[[#This Row],[Team]],Team_Level[Date],"&lt;="&amp;Team_Level[[#This Row],[Date]],Team_Level[Result],"&lt;&gt;"))</f>
        <v/>
      </c>
      <c r="T1019" t="str">
        <f>Team_Level[[#This Row],[Team]]&amp;"-"&amp;Team_Level[[#This Row],[Chrono Rank]]</f>
        <v>Bromley-</v>
      </c>
    </row>
    <row r="1020" spans="1:20" x14ac:dyDescent="0.25">
      <c r="A1020" t="s">
        <v>545</v>
      </c>
      <c r="B1020" s="6">
        <v>46480</v>
      </c>
      <c r="C1020" t="s">
        <v>17</v>
      </c>
      <c r="D1020" t="s">
        <v>15</v>
      </c>
      <c r="K1020">
        <v>1</v>
      </c>
      <c r="L1020" t="s">
        <v>35</v>
      </c>
      <c r="Q1020" t="str">
        <f>IF(Team_Level[[#This Row],[Result]]="","",COUNTIFS(Team_Level[Team],Team_Level[[#This Row],[Team]],Team_Level[Date],"&gt;="&amp;Team_Level[[#This Row],[Date]],Team_Level[Result],"&lt;&gt;"))</f>
        <v/>
      </c>
      <c r="R1020" t="str">
        <f>Team_Level[[#This Row],[Team]]&amp;"-"&amp;Team_Level[[#This Row],[Recency Rank]]</f>
        <v>Reading-</v>
      </c>
      <c r="S1020" t="str">
        <f>IF(Team_Level[[#This Row],[Result]]="","",COUNTIFS(Team_Level[Team],Team_Level[[#This Row],[Team]],Team_Level[Date],"&lt;="&amp;Team_Level[[#This Row],[Date]],Team_Level[Result],"&lt;&gt;"))</f>
        <v/>
      </c>
      <c r="T1020" t="str">
        <f>Team_Level[[#This Row],[Team]]&amp;"-"&amp;Team_Level[[#This Row],[Chrono Rank]]</f>
        <v>Reading-</v>
      </c>
    </row>
    <row r="1021" spans="1:20" x14ac:dyDescent="0.25">
      <c r="A1021" t="s">
        <v>546</v>
      </c>
      <c r="B1021" s="6">
        <v>46480</v>
      </c>
      <c r="C1021" t="s">
        <v>22</v>
      </c>
      <c r="D1021" t="s">
        <v>19</v>
      </c>
      <c r="K1021">
        <v>1</v>
      </c>
      <c r="L1021" t="s">
        <v>35</v>
      </c>
      <c r="Q1021" t="str">
        <f>IF(Team_Level[[#This Row],[Result]]="","",COUNTIFS(Team_Level[Team],Team_Level[[#This Row],[Team]],Team_Level[Date],"&gt;="&amp;Team_Level[[#This Row],[Date]],Team_Level[Result],"&lt;&gt;"))</f>
        <v/>
      </c>
      <c r="R1021" t="str">
        <f>Team_Level[[#This Row],[Team]]&amp;"-"&amp;Team_Level[[#This Row],[Recency Rank]]</f>
        <v>Wycombe Wanderers-</v>
      </c>
      <c r="S1021" t="str">
        <f>IF(Team_Level[[#This Row],[Result]]="","",COUNTIFS(Team_Level[Team],Team_Level[[#This Row],[Team]],Team_Level[Date],"&lt;="&amp;Team_Level[[#This Row],[Date]],Team_Level[Result],"&lt;&gt;"))</f>
        <v/>
      </c>
      <c r="T1021" t="str">
        <f>Team_Level[[#This Row],[Team]]&amp;"-"&amp;Team_Level[[#This Row],[Chrono Rank]]</f>
        <v>Wycombe Wanderers-</v>
      </c>
    </row>
    <row r="1022" spans="1:20" x14ac:dyDescent="0.25">
      <c r="A1022" t="s">
        <v>547</v>
      </c>
      <c r="B1022" s="6">
        <v>46487</v>
      </c>
      <c r="C1022" t="s">
        <v>3</v>
      </c>
      <c r="D1022" t="s">
        <v>0</v>
      </c>
      <c r="K1022">
        <v>1</v>
      </c>
      <c r="L1022" t="s">
        <v>35</v>
      </c>
      <c r="Q1022" t="str">
        <f>IF(Team_Level[[#This Row],[Result]]="","",COUNTIFS(Team_Level[Team],Team_Level[[#This Row],[Team]],Team_Level[Date],"&gt;="&amp;Team_Level[[#This Row],[Date]],Team_Level[Result],"&lt;&gt;"))</f>
        <v/>
      </c>
      <c r="R1022" t="str">
        <f>Team_Level[[#This Row],[Team]]&amp;"-"&amp;Team_Level[[#This Row],[Recency Rank]]</f>
        <v>Bradford City-</v>
      </c>
      <c r="S1022" t="str">
        <f>IF(Team_Level[[#This Row],[Result]]="","",COUNTIFS(Team_Level[Team],Team_Level[[#This Row],[Team]],Team_Level[Date],"&lt;="&amp;Team_Level[[#This Row],[Date]],Team_Level[Result],"&lt;&gt;"))</f>
        <v/>
      </c>
      <c r="T1022" t="str">
        <f>Team_Level[[#This Row],[Team]]&amp;"-"&amp;Team_Level[[#This Row],[Chrono Rank]]</f>
        <v>Bradford City-</v>
      </c>
    </row>
    <row r="1023" spans="1:20" x14ac:dyDescent="0.25">
      <c r="A1023" t="s">
        <v>548</v>
      </c>
      <c r="B1023" s="6">
        <v>46487</v>
      </c>
      <c r="C1023" t="s">
        <v>15</v>
      </c>
      <c r="D1023" t="s">
        <v>1</v>
      </c>
      <c r="K1023">
        <v>1</v>
      </c>
      <c r="L1023" t="s">
        <v>35</v>
      </c>
      <c r="Q1023" t="str">
        <f>IF(Team_Level[[#This Row],[Result]]="","",COUNTIFS(Team_Level[Team],Team_Level[[#This Row],[Team]],Team_Level[Date],"&gt;="&amp;Team_Level[[#This Row],[Date]],Team_Level[Result],"&lt;&gt;"))</f>
        <v/>
      </c>
      <c r="R1023" t="str">
        <f>Team_Level[[#This Row],[Team]]&amp;"-"&amp;Team_Level[[#This Row],[Recency Rank]]</f>
        <v>Peterborough United-</v>
      </c>
      <c r="S1023" t="str">
        <f>IF(Team_Level[[#This Row],[Result]]="","",COUNTIFS(Team_Level[Team],Team_Level[[#This Row],[Team]],Team_Level[Date],"&lt;="&amp;Team_Level[[#This Row],[Date]],Team_Level[Result],"&lt;&gt;"))</f>
        <v/>
      </c>
      <c r="T1023" t="str">
        <f>Team_Level[[#This Row],[Team]]&amp;"-"&amp;Team_Level[[#This Row],[Chrono Rank]]</f>
        <v>Peterborough United-</v>
      </c>
    </row>
    <row r="1024" spans="1:20" x14ac:dyDescent="0.25">
      <c r="A1024" t="s">
        <v>549</v>
      </c>
      <c r="B1024" s="6">
        <v>46487</v>
      </c>
      <c r="C1024" t="s">
        <v>8</v>
      </c>
      <c r="D1024" t="s">
        <v>2</v>
      </c>
      <c r="K1024">
        <v>1</v>
      </c>
      <c r="L1024" t="s">
        <v>35</v>
      </c>
      <c r="Q1024" t="str">
        <f>IF(Team_Level[[#This Row],[Result]]="","",COUNTIFS(Team_Level[Team],Team_Level[[#This Row],[Team]],Team_Level[Date],"&gt;="&amp;Team_Level[[#This Row],[Date]],Team_Level[Result],"&lt;&gt;"))</f>
        <v/>
      </c>
      <c r="R1024" t="str">
        <f>Team_Level[[#This Row],[Team]]&amp;"-"&amp;Team_Level[[#This Row],[Recency Rank]]</f>
        <v>Huddersfield Town-</v>
      </c>
      <c r="S1024" t="str">
        <f>IF(Team_Level[[#This Row],[Result]]="","",COUNTIFS(Team_Level[Team],Team_Level[[#This Row],[Team]],Team_Level[Date],"&lt;="&amp;Team_Level[[#This Row],[Date]],Team_Level[Result],"&lt;&gt;"))</f>
        <v/>
      </c>
      <c r="T1024" t="str">
        <f>Team_Level[[#This Row],[Team]]&amp;"-"&amp;Team_Level[[#This Row],[Chrono Rank]]</f>
        <v>Huddersfield Town-</v>
      </c>
    </row>
    <row r="1025" spans="1:20" x14ac:dyDescent="0.25">
      <c r="A1025" t="s">
        <v>550</v>
      </c>
      <c r="B1025" s="6">
        <v>46487</v>
      </c>
      <c r="C1025" t="s">
        <v>11</v>
      </c>
      <c r="D1025" t="s">
        <v>4</v>
      </c>
      <c r="K1025">
        <v>1</v>
      </c>
      <c r="L1025" t="s">
        <v>35</v>
      </c>
      <c r="Q1025" t="str">
        <f>IF(Team_Level[[#This Row],[Result]]="","",COUNTIFS(Team_Level[Team],Team_Level[[#This Row],[Team]],Team_Level[Date],"&gt;="&amp;Team_Level[[#This Row],[Date]],Team_Level[Result],"&lt;&gt;"))</f>
        <v/>
      </c>
      <c r="R1025" t="str">
        <f>Team_Level[[#This Row],[Team]]&amp;"-"&amp;Team_Level[[#This Row],[Recency Rank]]</f>
        <v>Luton Town-</v>
      </c>
      <c r="S1025" t="str">
        <f>IF(Team_Level[[#This Row],[Result]]="","",COUNTIFS(Team_Level[Team],Team_Level[[#This Row],[Team]],Team_Level[Date],"&lt;="&amp;Team_Level[[#This Row],[Date]],Team_Level[Result],"&lt;&gt;"))</f>
        <v/>
      </c>
      <c r="T1025" t="str">
        <f>Team_Level[[#This Row],[Team]]&amp;"-"&amp;Team_Level[[#This Row],[Chrono Rank]]</f>
        <v>Luton Town-</v>
      </c>
    </row>
    <row r="1026" spans="1:20" x14ac:dyDescent="0.25">
      <c r="A1026" t="s">
        <v>551</v>
      </c>
      <c r="B1026" s="6">
        <v>46487</v>
      </c>
      <c r="C1026" t="s">
        <v>13</v>
      </c>
      <c r="D1026" t="s">
        <v>6</v>
      </c>
      <c r="K1026">
        <v>1</v>
      </c>
      <c r="L1026" t="s">
        <v>35</v>
      </c>
      <c r="Q1026" t="str">
        <f>IF(Team_Level[[#This Row],[Result]]="","",COUNTIFS(Team_Level[Team],Team_Level[[#This Row],[Team]],Team_Level[Date],"&gt;="&amp;Team_Level[[#This Row],[Date]],Team_Level[Result],"&lt;&gt;"))</f>
        <v/>
      </c>
      <c r="R1026" t="str">
        <f>Team_Level[[#This Row],[Team]]&amp;"-"&amp;Team_Level[[#This Row],[Recency Rank]]</f>
        <v>Notts County-</v>
      </c>
      <c r="S1026" t="str">
        <f>IF(Team_Level[[#This Row],[Result]]="","",COUNTIFS(Team_Level[Team],Team_Level[[#This Row],[Team]],Team_Level[Date],"&lt;="&amp;Team_Level[[#This Row],[Date]],Team_Level[Result],"&lt;&gt;"))</f>
        <v/>
      </c>
      <c r="T1026" t="str">
        <f>Team_Level[[#This Row],[Team]]&amp;"-"&amp;Team_Level[[#This Row],[Chrono Rank]]</f>
        <v>Notts County-</v>
      </c>
    </row>
    <row r="1027" spans="1:20" x14ac:dyDescent="0.25">
      <c r="A1027" t="s">
        <v>552</v>
      </c>
      <c r="B1027" s="6">
        <v>46487</v>
      </c>
      <c r="C1027" t="s">
        <v>33</v>
      </c>
      <c r="D1027" t="s">
        <v>10</v>
      </c>
      <c r="K1027">
        <v>1</v>
      </c>
      <c r="L1027" t="s">
        <v>35</v>
      </c>
      <c r="Q1027" t="str">
        <f>IF(Team_Level[[#This Row],[Result]]="","",COUNTIFS(Team_Level[Team],Team_Level[[#This Row],[Team]],Team_Level[Date],"&gt;="&amp;Team_Level[[#This Row],[Date]],Team_Level[Result],"&lt;&gt;"))</f>
        <v/>
      </c>
      <c r="R1027" t="str">
        <f>Team_Level[[#This Row],[Team]]&amp;"-"&amp;Team_Level[[#This Row],[Recency Rank]]</f>
        <v>Milton Keynes Dons-</v>
      </c>
      <c r="S1027" t="str">
        <f>IF(Team_Level[[#This Row],[Result]]="","",COUNTIFS(Team_Level[Team],Team_Level[[#This Row],[Team]],Team_Level[Date],"&lt;="&amp;Team_Level[[#This Row],[Date]],Team_Level[Result],"&lt;&gt;"))</f>
        <v/>
      </c>
      <c r="T1027" t="str">
        <f>Team_Level[[#This Row],[Team]]&amp;"-"&amp;Team_Level[[#This Row],[Chrono Rank]]</f>
        <v>Milton Keynes Dons-</v>
      </c>
    </row>
    <row r="1028" spans="1:20" x14ac:dyDescent="0.25">
      <c r="A1028" t="s">
        <v>553</v>
      </c>
      <c r="B1028" s="6">
        <v>46487</v>
      </c>
      <c r="C1028" t="s">
        <v>14</v>
      </c>
      <c r="D1028" t="s">
        <v>16</v>
      </c>
      <c r="K1028">
        <v>1</v>
      </c>
      <c r="L1028" t="s">
        <v>35</v>
      </c>
      <c r="Q1028" t="str">
        <f>IF(Team_Level[[#This Row],[Result]]="","",COUNTIFS(Team_Level[Team],Team_Level[[#This Row],[Team]],Team_Level[Date],"&gt;="&amp;Team_Level[[#This Row],[Date]],Team_Level[Result],"&lt;&gt;"))</f>
        <v/>
      </c>
      <c r="R1028" t="str">
        <f>Team_Level[[#This Row],[Team]]&amp;"-"&amp;Team_Level[[#This Row],[Recency Rank]]</f>
        <v>Oxford United-</v>
      </c>
      <c r="S1028" t="str">
        <f>IF(Team_Level[[#This Row],[Result]]="","",COUNTIFS(Team_Level[Team],Team_Level[[#This Row],[Team]],Team_Level[Date],"&lt;="&amp;Team_Level[[#This Row],[Date]],Team_Level[Result],"&lt;&gt;"))</f>
        <v/>
      </c>
      <c r="T1028" t="str">
        <f>Team_Level[[#This Row],[Team]]&amp;"-"&amp;Team_Level[[#This Row],[Chrono Rank]]</f>
        <v>Oxford United-</v>
      </c>
    </row>
    <row r="1029" spans="1:20" x14ac:dyDescent="0.25">
      <c r="A1029" t="s">
        <v>554</v>
      </c>
      <c r="B1029" s="6">
        <v>46487</v>
      </c>
      <c r="C1029" t="s">
        <v>5</v>
      </c>
      <c r="D1029" t="s">
        <v>17</v>
      </c>
      <c r="K1029">
        <v>1</v>
      </c>
      <c r="L1029" t="s">
        <v>35</v>
      </c>
      <c r="Q1029" t="str">
        <f>IF(Team_Level[[#This Row],[Result]]="","",COUNTIFS(Team_Level[Team],Team_Level[[#This Row],[Team]],Team_Level[Date],"&gt;="&amp;Team_Level[[#This Row],[Date]],Team_Level[Result],"&lt;&gt;"))</f>
        <v/>
      </c>
      <c r="R1029" t="str">
        <f>Team_Level[[#This Row],[Team]]&amp;"-"&amp;Team_Level[[#This Row],[Recency Rank]]</f>
        <v>Burton Albion-</v>
      </c>
      <c r="S1029" t="str">
        <f>IF(Team_Level[[#This Row],[Result]]="","",COUNTIFS(Team_Level[Team],Team_Level[[#This Row],[Team]],Team_Level[Date],"&lt;="&amp;Team_Level[[#This Row],[Date]],Team_Level[Result],"&lt;&gt;"))</f>
        <v/>
      </c>
      <c r="T1029" t="str">
        <f>Team_Level[[#This Row],[Team]]&amp;"-"&amp;Team_Level[[#This Row],[Chrono Rank]]</f>
        <v>Burton Albion-</v>
      </c>
    </row>
    <row r="1030" spans="1:20" x14ac:dyDescent="0.25">
      <c r="A1030" t="s">
        <v>555</v>
      </c>
      <c r="B1030" s="6">
        <v>46487</v>
      </c>
      <c r="C1030" t="s">
        <v>9</v>
      </c>
      <c r="D1030" t="s">
        <v>18</v>
      </c>
      <c r="K1030">
        <v>1</v>
      </c>
      <c r="L1030" t="s">
        <v>35</v>
      </c>
      <c r="Q1030" t="str">
        <f>IF(Team_Level[[#This Row],[Result]]="","",COUNTIFS(Team_Level[Team],Team_Level[[#This Row],[Team]],Team_Level[Date],"&gt;="&amp;Team_Level[[#This Row],[Date]],Team_Level[Result],"&lt;&gt;"))</f>
        <v/>
      </c>
      <c r="R1030" t="str">
        <f>Team_Level[[#This Row],[Team]]&amp;"-"&amp;Team_Level[[#This Row],[Recency Rank]]</f>
        <v>Leicester City-</v>
      </c>
      <c r="S1030" t="str">
        <f>IF(Team_Level[[#This Row],[Result]]="","",COUNTIFS(Team_Level[Team],Team_Level[[#This Row],[Team]],Team_Level[Date],"&lt;="&amp;Team_Level[[#This Row],[Date]],Team_Level[Result],"&lt;&gt;"))</f>
        <v/>
      </c>
      <c r="T1030" t="str">
        <f>Team_Level[[#This Row],[Team]]&amp;"-"&amp;Team_Level[[#This Row],[Chrono Rank]]</f>
        <v>Leicester City-</v>
      </c>
    </row>
    <row r="1031" spans="1:20" x14ac:dyDescent="0.25">
      <c r="A1031" t="s">
        <v>556</v>
      </c>
      <c r="B1031" s="6">
        <v>46487</v>
      </c>
      <c r="C1031" t="s">
        <v>19</v>
      </c>
      <c r="D1031" t="s">
        <v>20</v>
      </c>
      <c r="K1031">
        <v>1</v>
      </c>
      <c r="L1031" t="s">
        <v>35</v>
      </c>
      <c r="Q1031" t="str">
        <f>IF(Team_Level[[#This Row],[Result]]="","",COUNTIFS(Team_Level[Team],Team_Level[[#This Row],[Team]],Team_Level[Date],"&gt;="&amp;Team_Level[[#This Row],[Date]],Team_Level[Result],"&lt;&gt;"))</f>
        <v/>
      </c>
      <c r="R1031" t="str">
        <f>Team_Level[[#This Row],[Team]]&amp;"-"&amp;Team_Level[[#This Row],[Recency Rank]]</f>
        <v>Stevenage-</v>
      </c>
      <c r="S1031" t="str">
        <f>IF(Team_Level[[#This Row],[Result]]="","",COUNTIFS(Team_Level[Team],Team_Level[[#This Row],[Team]],Team_Level[Date],"&lt;="&amp;Team_Level[[#This Row],[Date]],Team_Level[Result],"&lt;&gt;"))</f>
        <v/>
      </c>
      <c r="T1031" t="str">
        <f>Team_Level[[#This Row],[Team]]&amp;"-"&amp;Team_Level[[#This Row],[Chrono Rank]]</f>
        <v>Stevenage-</v>
      </c>
    </row>
    <row r="1032" spans="1:20" x14ac:dyDescent="0.25">
      <c r="A1032" t="s">
        <v>557</v>
      </c>
      <c r="B1032" s="6">
        <v>46487</v>
      </c>
      <c r="C1032" t="s">
        <v>7</v>
      </c>
      <c r="D1032" t="s">
        <v>21</v>
      </c>
      <c r="K1032">
        <v>1</v>
      </c>
      <c r="L1032" t="s">
        <v>35</v>
      </c>
      <c r="Q1032" t="str">
        <f>IF(Team_Level[[#This Row],[Result]]="","",COUNTIFS(Team_Level[Team],Team_Level[[#This Row],[Team]],Team_Level[Date],"&gt;="&amp;Team_Level[[#This Row],[Date]],Team_Level[Result],"&lt;&gt;"))</f>
        <v/>
      </c>
      <c r="R1032" t="str">
        <f>Team_Level[[#This Row],[Team]]&amp;"-"&amp;Team_Level[[#This Row],[Recency Rank]]</f>
        <v>Doncaster Rovers-</v>
      </c>
      <c r="S1032" t="str">
        <f>IF(Team_Level[[#This Row],[Result]]="","",COUNTIFS(Team_Level[Team],Team_Level[[#This Row],[Team]],Team_Level[Date],"&lt;="&amp;Team_Level[[#This Row],[Date]],Team_Level[Result],"&lt;&gt;"))</f>
        <v/>
      </c>
      <c r="T1032" t="str">
        <f>Team_Level[[#This Row],[Team]]&amp;"-"&amp;Team_Level[[#This Row],[Chrono Rank]]</f>
        <v>Doncaster Rovers-</v>
      </c>
    </row>
    <row r="1033" spans="1:20" x14ac:dyDescent="0.25">
      <c r="A1033" t="s">
        <v>558</v>
      </c>
      <c r="B1033" s="6">
        <v>46487</v>
      </c>
      <c r="C1033" t="s">
        <v>12</v>
      </c>
      <c r="D1033" t="s">
        <v>22</v>
      </c>
      <c r="K1033">
        <v>1</v>
      </c>
      <c r="L1033" t="s">
        <v>35</v>
      </c>
      <c r="Q1033" t="str">
        <f>IF(Team_Level[[#This Row],[Result]]="","",COUNTIFS(Team_Level[Team],Team_Level[[#This Row],[Team]],Team_Level[Date],"&gt;="&amp;Team_Level[[#This Row],[Date]],Team_Level[Result],"&lt;&gt;"))</f>
        <v/>
      </c>
      <c r="R1033" t="str">
        <f>Team_Level[[#This Row],[Team]]&amp;"-"&amp;Team_Level[[#This Row],[Recency Rank]]</f>
        <v>Mansfield Town-</v>
      </c>
      <c r="S1033" t="str">
        <f>IF(Team_Level[[#This Row],[Result]]="","",COUNTIFS(Team_Level[Team],Team_Level[[#This Row],[Team]],Team_Level[Date],"&lt;="&amp;Team_Level[[#This Row],[Date]],Team_Level[Result],"&lt;&gt;"))</f>
        <v/>
      </c>
      <c r="T1033" t="str">
        <f>Team_Level[[#This Row],[Team]]&amp;"-"&amp;Team_Level[[#This Row],[Chrono Rank]]</f>
        <v>Mansfield Town-</v>
      </c>
    </row>
    <row r="1034" spans="1:20" x14ac:dyDescent="0.25">
      <c r="A1034" t="s">
        <v>559</v>
      </c>
      <c r="B1034" s="6">
        <v>46490</v>
      </c>
      <c r="C1034" t="s">
        <v>6</v>
      </c>
      <c r="D1034" t="s">
        <v>0</v>
      </c>
      <c r="K1034">
        <v>1</v>
      </c>
      <c r="L1034" t="s">
        <v>35</v>
      </c>
      <c r="Q1034" t="str">
        <f>IF(Team_Level[[#This Row],[Result]]="","",COUNTIFS(Team_Level[Team],Team_Level[[#This Row],[Team]],Team_Level[Date],"&gt;="&amp;Team_Level[[#This Row],[Date]],Team_Level[Result],"&lt;&gt;"))</f>
        <v/>
      </c>
      <c r="R1034" t="str">
        <f>Team_Level[[#This Row],[Team]]&amp;"-"&amp;Team_Level[[#This Row],[Recency Rank]]</f>
        <v>Cambridge United-</v>
      </c>
      <c r="S1034" t="str">
        <f>IF(Team_Level[[#This Row],[Result]]="","",COUNTIFS(Team_Level[Team],Team_Level[[#This Row],[Team]],Team_Level[Date],"&lt;="&amp;Team_Level[[#This Row],[Date]],Team_Level[Result],"&lt;&gt;"))</f>
        <v/>
      </c>
      <c r="T1034" t="str">
        <f>Team_Level[[#This Row],[Team]]&amp;"-"&amp;Team_Level[[#This Row],[Chrono Rank]]</f>
        <v>Cambridge United-</v>
      </c>
    </row>
    <row r="1035" spans="1:20" x14ac:dyDescent="0.25">
      <c r="A1035" t="s">
        <v>560</v>
      </c>
      <c r="B1035" s="6">
        <v>46490</v>
      </c>
      <c r="C1035" t="s">
        <v>3</v>
      </c>
      <c r="D1035" t="s">
        <v>1</v>
      </c>
      <c r="K1035">
        <v>1</v>
      </c>
      <c r="L1035" t="s">
        <v>35</v>
      </c>
      <c r="Q1035" t="str">
        <f>IF(Team_Level[[#This Row],[Result]]="","",COUNTIFS(Team_Level[Team],Team_Level[[#This Row],[Team]],Team_Level[Date],"&gt;="&amp;Team_Level[[#This Row],[Date]],Team_Level[Result],"&lt;&gt;"))</f>
        <v/>
      </c>
      <c r="R1035" t="str">
        <f>Team_Level[[#This Row],[Team]]&amp;"-"&amp;Team_Level[[#This Row],[Recency Rank]]</f>
        <v>Bradford City-</v>
      </c>
      <c r="S1035" t="str">
        <f>IF(Team_Level[[#This Row],[Result]]="","",COUNTIFS(Team_Level[Team],Team_Level[[#This Row],[Team]],Team_Level[Date],"&lt;="&amp;Team_Level[[#This Row],[Date]],Team_Level[Result],"&lt;&gt;"))</f>
        <v/>
      </c>
      <c r="T1035" t="str">
        <f>Team_Level[[#This Row],[Team]]&amp;"-"&amp;Team_Level[[#This Row],[Chrono Rank]]</f>
        <v>Bradford City-</v>
      </c>
    </row>
    <row r="1036" spans="1:20" x14ac:dyDescent="0.25">
      <c r="A1036" t="s">
        <v>561</v>
      </c>
      <c r="B1036" s="6">
        <v>46490</v>
      </c>
      <c r="C1036" t="s">
        <v>13</v>
      </c>
      <c r="D1036" t="s">
        <v>2</v>
      </c>
      <c r="K1036">
        <v>1</v>
      </c>
      <c r="L1036" t="s">
        <v>35</v>
      </c>
      <c r="Q1036" t="str">
        <f>IF(Team_Level[[#This Row],[Result]]="","",COUNTIFS(Team_Level[Team],Team_Level[[#This Row],[Team]],Team_Level[Date],"&gt;="&amp;Team_Level[[#This Row],[Date]],Team_Level[Result],"&lt;&gt;"))</f>
        <v/>
      </c>
      <c r="R1036" t="str">
        <f>Team_Level[[#This Row],[Team]]&amp;"-"&amp;Team_Level[[#This Row],[Recency Rank]]</f>
        <v>Notts County-</v>
      </c>
      <c r="S1036" t="str">
        <f>IF(Team_Level[[#This Row],[Result]]="","",COUNTIFS(Team_Level[Team],Team_Level[[#This Row],[Team]],Team_Level[Date],"&lt;="&amp;Team_Level[[#This Row],[Date]],Team_Level[Result],"&lt;&gt;"))</f>
        <v/>
      </c>
      <c r="T1036" t="str">
        <f>Team_Level[[#This Row],[Team]]&amp;"-"&amp;Team_Level[[#This Row],[Chrono Rank]]</f>
        <v>Notts County-</v>
      </c>
    </row>
    <row r="1037" spans="1:20" x14ac:dyDescent="0.25">
      <c r="A1037" t="s">
        <v>562</v>
      </c>
      <c r="B1037" s="6">
        <v>46490</v>
      </c>
      <c r="C1037" t="s">
        <v>33</v>
      </c>
      <c r="D1037" t="s">
        <v>4</v>
      </c>
      <c r="K1037">
        <v>1</v>
      </c>
      <c r="L1037" t="s">
        <v>35</v>
      </c>
      <c r="Q1037" t="str">
        <f>IF(Team_Level[[#This Row],[Result]]="","",COUNTIFS(Team_Level[Team],Team_Level[[#This Row],[Team]],Team_Level[Date],"&gt;="&amp;Team_Level[[#This Row],[Date]],Team_Level[Result],"&lt;&gt;"))</f>
        <v/>
      </c>
      <c r="R1037" t="str">
        <f>Team_Level[[#This Row],[Team]]&amp;"-"&amp;Team_Level[[#This Row],[Recency Rank]]</f>
        <v>Milton Keynes Dons-</v>
      </c>
      <c r="S1037" t="str">
        <f>IF(Team_Level[[#This Row],[Result]]="","",COUNTIFS(Team_Level[Team],Team_Level[[#This Row],[Team]],Team_Level[Date],"&lt;="&amp;Team_Level[[#This Row],[Date]],Team_Level[Result],"&lt;&gt;"))</f>
        <v/>
      </c>
      <c r="T1037" t="str">
        <f>Team_Level[[#This Row],[Team]]&amp;"-"&amp;Team_Level[[#This Row],[Chrono Rank]]</f>
        <v>Milton Keynes Dons-</v>
      </c>
    </row>
    <row r="1038" spans="1:20" x14ac:dyDescent="0.25">
      <c r="A1038" t="s">
        <v>563</v>
      </c>
      <c r="B1038" s="6">
        <v>46490</v>
      </c>
      <c r="C1038" t="s">
        <v>16</v>
      </c>
      <c r="D1038" t="s">
        <v>5</v>
      </c>
      <c r="K1038">
        <v>1</v>
      </c>
      <c r="L1038" t="s">
        <v>35</v>
      </c>
      <c r="Q1038" t="str">
        <f>IF(Team_Level[[#This Row],[Result]]="","",COUNTIFS(Team_Level[Team],Team_Level[[#This Row],[Team]],Team_Level[Date],"&gt;="&amp;Team_Level[[#This Row],[Date]],Team_Level[Result],"&lt;&gt;"))</f>
        <v/>
      </c>
      <c r="R1038" t="str">
        <f>Team_Level[[#This Row],[Team]]&amp;"-"&amp;Team_Level[[#This Row],[Recency Rank]]</f>
        <v>Plymouth Argyle-</v>
      </c>
      <c r="S1038" t="str">
        <f>IF(Team_Level[[#This Row],[Result]]="","",COUNTIFS(Team_Level[Team],Team_Level[[#This Row],[Team]],Team_Level[Date],"&lt;="&amp;Team_Level[[#This Row],[Date]],Team_Level[Result],"&lt;&gt;"))</f>
        <v/>
      </c>
      <c r="T1038" t="str">
        <f>Team_Level[[#This Row],[Team]]&amp;"-"&amp;Team_Level[[#This Row],[Chrono Rank]]</f>
        <v>Plymouth Argyle-</v>
      </c>
    </row>
    <row r="1039" spans="1:20" x14ac:dyDescent="0.25">
      <c r="A1039" t="s">
        <v>564</v>
      </c>
      <c r="B1039" s="6">
        <v>46490</v>
      </c>
      <c r="C1039" t="s">
        <v>12</v>
      </c>
      <c r="D1039" t="s">
        <v>10</v>
      </c>
      <c r="K1039">
        <v>1</v>
      </c>
      <c r="L1039" t="s">
        <v>35</v>
      </c>
      <c r="Q1039" t="str">
        <f>IF(Team_Level[[#This Row],[Result]]="","",COUNTIFS(Team_Level[Team],Team_Level[[#This Row],[Team]],Team_Level[Date],"&gt;="&amp;Team_Level[[#This Row],[Date]],Team_Level[Result],"&lt;&gt;"))</f>
        <v/>
      </c>
      <c r="R1039" t="str">
        <f>Team_Level[[#This Row],[Team]]&amp;"-"&amp;Team_Level[[#This Row],[Recency Rank]]</f>
        <v>Mansfield Town-</v>
      </c>
      <c r="S1039" t="str">
        <f>IF(Team_Level[[#This Row],[Result]]="","",COUNTIFS(Team_Level[Team],Team_Level[[#This Row],[Team]],Team_Level[Date],"&lt;="&amp;Team_Level[[#This Row],[Date]],Team_Level[Result],"&lt;&gt;"))</f>
        <v/>
      </c>
      <c r="T1039" t="str">
        <f>Team_Level[[#This Row],[Team]]&amp;"-"&amp;Team_Level[[#This Row],[Chrono Rank]]</f>
        <v>Mansfield Town-</v>
      </c>
    </row>
    <row r="1040" spans="1:20" x14ac:dyDescent="0.25">
      <c r="A1040" t="s">
        <v>565</v>
      </c>
      <c r="B1040" s="6">
        <v>46490</v>
      </c>
      <c r="C1040" t="s">
        <v>8</v>
      </c>
      <c r="D1040" t="s">
        <v>11</v>
      </c>
      <c r="K1040">
        <v>1</v>
      </c>
      <c r="L1040" t="s">
        <v>35</v>
      </c>
      <c r="Q1040" t="str">
        <f>IF(Team_Level[[#This Row],[Result]]="","",COUNTIFS(Team_Level[Team],Team_Level[[#This Row],[Team]],Team_Level[Date],"&gt;="&amp;Team_Level[[#This Row],[Date]],Team_Level[Result],"&lt;&gt;"))</f>
        <v/>
      </c>
      <c r="R1040" t="str">
        <f>Team_Level[[#This Row],[Team]]&amp;"-"&amp;Team_Level[[#This Row],[Recency Rank]]</f>
        <v>Huddersfield Town-</v>
      </c>
      <c r="S1040" t="str">
        <f>IF(Team_Level[[#This Row],[Result]]="","",COUNTIFS(Team_Level[Team],Team_Level[[#This Row],[Team]],Team_Level[Date],"&lt;="&amp;Team_Level[[#This Row],[Date]],Team_Level[Result],"&lt;&gt;"))</f>
        <v/>
      </c>
      <c r="T1040" t="str">
        <f>Team_Level[[#This Row],[Team]]&amp;"-"&amp;Team_Level[[#This Row],[Chrono Rank]]</f>
        <v>Huddersfield Town-</v>
      </c>
    </row>
    <row r="1041" spans="1:20" x14ac:dyDescent="0.25">
      <c r="A1041" t="s">
        <v>566</v>
      </c>
      <c r="B1041" s="6">
        <v>46490</v>
      </c>
      <c r="C1041" t="s">
        <v>7</v>
      </c>
      <c r="D1041" t="s">
        <v>14</v>
      </c>
      <c r="K1041">
        <v>1</v>
      </c>
      <c r="L1041" t="s">
        <v>35</v>
      </c>
      <c r="Q1041" t="str">
        <f>IF(Team_Level[[#This Row],[Result]]="","",COUNTIFS(Team_Level[Team],Team_Level[[#This Row],[Team]],Team_Level[Date],"&gt;="&amp;Team_Level[[#This Row],[Date]],Team_Level[Result],"&lt;&gt;"))</f>
        <v/>
      </c>
      <c r="R1041" t="str">
        <f>Team_Level[[#This Row],[Team]]&amp;"-"&amp;Team_Level[[#This Row],[Recency Rank]]</f>
        <v>Doncaster Rovers-</v>
      </c>
      <c r="S1041" t="str">
        <f>IF(Team_Level[[#This Row],[Result]]="","",COUNTIFS(Team_Level[Team],Team_Level[[#This Row],[Team]],Team_Level[Date],"&lt;="&amp;Team_Level[[#This Row],[Date]],Team_Level[Result],"&lt;&gt;"))</f>
        <v/>
      </c>
      <c r="T1041" t="str">
        <f>Team_Level[[#This Row],[Team]]&amp;"-"&amp;Team_Level[[#This Row],[Chrono Rank]]</f>
        <v>Doncaster Rovers-</v>
      </c>
    </row>
    <row r="1042" spans="1:20" x14ac:dyDescent="0.25">
      <c r="A1042" t="s">
        <v>567</v>
      </c>
      <c r="B1042" s="6">
        <v>46490</v>
      </c>
      <c r="C1042" t="s">
        <v>20</v>
      </c>
      <c r="D1042" t="s">
        <v>15</v>
      </c>
      <c r="K1042">
        <v>1</v>
      </c>
      <c r="L1042" t="s">
        <v>35</v>
      </c>
      <c r="Q1042" t="str">
        <f>IF(Team_Level[[#This Row],[Result]]="","",COUNTIFS(Team_Level[Team],Team_Level[[#This Row],[Team]],Team_Level[Date],"&gt;="&amp;Team_Level[[#This Row],[Date]],Team_Level[Result],"&lt;&gt;"))</f>
        <v/>
      </c>
      <c r="R1042" t="str">
        <f>Team_Level[[#This Row],[Team]]&amp;"-"&amp;Team_Level[[#This Row],[Recency Rank]]</f>
        <v>Stockport County-</v>
      </c>
      <c r="S1042" t="str">
        <f>IF(Team_Level[[#This Row],[Result]]="","",COUNTIFS(Team_Level[Team],Team_Level[[#This Row],[Team]],Team_Level[Date],"&lt;="&amp;Team_Level[[#This Row],[Date]],Team_Level[Result],"&lt;&gt;"))</f>
        <v/>
      </c>
      <c r="T1042" t="str">
        <f>Team_Level[[#This Row],[Team]]&amp;"-"&amp;Team_Level[[#This Row],[Chrono Rank]]</f>
        <v>Stockport County-</v>
      </c>
    </row>
    <row r="1043" spans="1:20" x14ac:dyDescent="0.25">
      <c r="A1043" t="s">
        <v>568</v>
      </c>
      <c r="B1043" s="6">
        <v>46490</v>
      </c>
      <c r="C1043" t="s">
        <v>22</v>
      </c>
      <c r="D1043" t="s">
        <v>17</v>
      </c>
      <c r="K1043">
        <v>1</v>
      </c>
      <c r="L1043" t="s">
        <v>35</v>
      </c>
      <c r="Q1043" t="str">
        <f>IF(Team_Level[[#This Row],[Result]]="","",COUNTIFS(Team_Level[Team],Team_Level[[#This Row],[Team]],Team_Level[Date],"&gt;="&amp;Team_Level[[#This Row],[Date]],Team_Level[Result],"&lt;&gt;"))</f>
        <v/>
      </c>
      <c r="R1043" t="str">
        <f>Team_Level[[#This Row],[Team]]&amp;"-"&amp;Team_Level[[#This Row],[Recency Rank]]</f>
        <v>Wycombe Wanderers-</v>
      </c>
      <c r="S1043" t="str">
        <f>IF(Team_Level[[#This Row],[Result]]="","",COUNTIFS(Team_Level[Team],Team_Level[[#This Row],[Team]],Team_Level[Date],"&lt;="&amp;Team_Level[[#This Row],[Date]],Team_Level[Result],"&lt;&gt;"))</f>
        <v/>
      </c>
      <c r="T1043" t="str">
        <f>Team_Level[[#This Row],[Team]]&amp;"-"&amp;Team_Level[[#This Row],[Chrono Rank]]</f>
        <v>Wycombe Wanderers-</v>
      </c>
    </row>
    <row r="1044" spans="1:20" x14ac:dyDescent="0.25">
      <c r="A1044" t="s">
        <v>569</v>
      </c>
      <c r="B1044" s="6">
        <v>46490</v>
      </c>
      <c r="C1044" t="s">
        <v>19</v>
      </c>
      <c r="D1044" t="s">
        <v>18</v>
      </c>
      <c r="K1044">
        <v>1</v>
      </c>
      <c r="L1044" t="s">
        <v>35</v>
      </c>
      <c r="Q1044" t="str">
        <f>IF(Team_Level[[#This Row],[Result]]="","",COUNTIFS(Team_Level[Team],Team_Level[[#This Row],[Team]],Team_Level[Date],"&gt;="&amp;Team_Level[[#This Row],[Date]],Team_Level[Result],"&lt;&gt;"))</f>
        <v/>
      </c>
      <c r="R1044" t="str">
        <f>Team_Level[[#This Row],[Team]]&amp;"-"&amp;Team_Level[[#This Row],[Recency Rank]]</f>
        <v>Stevenage-</v>
      </c>
      <c r="S1044" t="str">
        <f>IF(Team_Level[[#This Row],[Result]]="","",COUNTIFS(Team_Level[Team],Team_Level[[#This Row],[Team]],Team_Level[Date],"&lt;="&amp;Team_Level[[#This Row],[Date]],Team_Level[Result],"&lt;&gt;"))</f>
        <v/>
      </c>
      <c r="T1044" t="str">
        <f>Team_Level[[#This Row],[Team]]&amp;"-"&amp;Team_Level[[#This Row],[Chrono Rank]]</f>
        <v>Stevenage-</v>
      </c>
    </row>
    <row r="1045" spans="1:20" x14ac:dyDescent="0.25">
      <c r="A1045" t="s">
        <v>570</v>
      </c>
      <c r="B1045" s="6">
        <v>46490</v>
      </c>
      <c r="C1045" t="s">
        <v>9</v>
      </c>
      <c r="D1045" t="s">
        <v>21</v>
      </c>
      <c r="K1045">
        <v>1</v>
      </c>
      <c r="L1045" t="s">
        <v>35</v>
      </c>
      <c r="Q1045" t="str">
        <f>IF(Team_Level[[#This Row],[Result]]="","",COUNTIFS(Team_Level[Team],Team_Level[[#This Row],[Team]],Team_Level[Date],"&gt;="&amp;Team_Level[[#This Row],[Date]],Team_Level[Result],"&lt;&gt;"))</f>
        <v/>
      </c>
      <c r="R1045" t="str">
        <f>Team_Level[[#This Row],[Team]]&amp;"-"&amp;Team_Level[[#This Row],[Recency Rank]]</f>
        <v>Leicester City-</v>
      </c>
      <c r="S1045" t="str">
        <f>IF(Team_Level[[#This Row],[Result]]="","",COUNTIFS(Team_Level[Team],Team_Level[[#This Row],[Team]],Team_Level[Date],"&lt;="&amp;Team_Level[[#This Row],[Date]],Team_Level[Result],"&lt;&gt;"))</f>
        <v/>
      </c>
      <c r="T1045" t="str">
        <f>Team_Level[[#This Row],[Team]]&amp;"-"&amp;Team_Level[[#This Row],[Chrono Rank]]</f>
        <v>Leicester City-</v>
      </c>
    </row>
    <row r="1046" spans="1:20" x14ac:dyDescent="0.25">
      <c r="A1046" t="s">
        <v>571</v>
      </c>
      <c r="B1046" s="6">
        <v>46494</v>
      </c>
      <c r="C1046" t="s">
        <v>11</v>
      </c>
      <c r="D1046" t="s">
        <v>3</v>
      </c>
      <c r="K1046">
        <v>1</v>
      </c>
      <c r="L1046" t="s">
        <v>35</v>
      </c>
      <c r="Q1046" t="str">
        <f>IF(Team_Level[[#This Row],[Result]]="","",COUNTIFS(Team_Level[Team],Team_Level[[#This Row],[Team]],Team_Level[Date],"&gt;="&amp;Team_Level[[#This Row],[Date]],Team_Level[Result],"&lt;&gt;"))</f>
        <v/>
      </c>
      <c r="R1046" t="str">
        <f>Team_Level[[#This Row],[Team]]&amp;"-"&amp;Team_Level[[#This Row],[Recency Rank]]</f>
        <v>Luton Town-</v>
      </c>
      <c r="S1046" t="str">
        <f>IF(Team_Level[[#This Row],[Result]]="","",COUNTIFS(Team_Level[Team],Team_Level[[#This Row],[Team]],Team_Level[Date],"&lt;="&amp;Team_Level[[#This Row],[Date]],Team_Level[Result],"&lt;&gt;"))</f>
        <v/>
      </c>
      <c r="T1046" t="str">
        <f>Team_Level[[#This Row],[Team]]&amp;"-"&amp;Team_Level[[#This Row],[Chrono Rank]]</f>
        <v>Luton Town-</v>
      </c>
    </row>
    <row r="1047" spans="1:20" x14ac:dyDescent="0.25">
      <c r="A1047" t="s">
        <v>572</v>
      </c>
      <c r="B1047" s="6">
        <v>46494</v>
      </c>
      <c r="C1047" t="s">
        <v>14</v>
      </c>
      <c r="D1047" t="s">
        <v>6</v>
      </c>
      <c r="K1047">
        <v>1</v>
      </c>
      <c r="L1047" t="s">
        <v>35</v>
      </c>
      <c r="Q1047" t="str">
        <f>IF(Team_Level[[#This Row],[Result]]="","",COUNTIFS(Team_Level[Team],Team_Level[[#This Row],[Team]],Team_Level[Date],"&gt;="&amp;Team_Level[[#This Row],[Date]],Team_Level[Result],"&lt;&gt;"))</f>
        <v/>
      </c>
      <c r="R1047" t="str">
        <f>Team_Level[[#This Row],[Team]]&amp;"-"&amp;Team_Level[[#This Row],[Recency Rank]]</f>
        <v>Oxford United-</v>
      </c>
      <c r="S1047" t="str">
        <f>IF(Team_Level[[#This Row],[Result]]="","",COUNTIFS(Team_Level[Team],Team_Level[[#This Row],[Team]],Team_Level[Date],"&lt;="&amp;Team_Level[[#This Row],[Date]],Team_Level[Result],"&lt;&gt;"))</f>
        <v/>
      </c>
      <c r="T1047" t="str">
        <f>Team_Level[[#This Row],[Team]]&amp;"-"&amp;Team_Level[[#This Row],[Chrono Rank]]</f>
        <v>Oxford United-</v>
      </c>
    </row>
    <row r="1048" spans="1:20" x14ac:dyDescent="0.25">
      <c r="A1048" t="s">
        <v>573</v>
      </c>
      <c r="B1048" s="6">
        <v>46494</v>
      </c>
      <c r="C1048" t="s">
        <v>15</v>
      </c>
      <c r="D1048" t="s">
        <v>7</v>
      </c>
      <c r="K1048">
        <v>1</v>
      </c>
      <c r="L1048" t="s">
        <v>35</v>
      </c>
      <c r="Q1048" t="str">
        <f>IF(Team_Level[[#This Row],[Result]]="","",COUNTIFS(Team_Level[Team],Team_Level[[#This Row],[Team]],Team_Level[Date],"&gt;="&amp;Team_Level[[#This Row],[Date]],Team_Level[Result],"&lt;&gt;"))</f>
        <v/>
      </c>
      <c r="R1048" t="str">
        <f>Team_Level[[#This Row],[Team]]&amp;"-"&amp;Team_Level[[#This Row],[Recency Rank]]</f>
        <v>Peterborough United-</v>
      </c>
      <c r="S1048" t="str">
        <f>IF(Team_Level[[#This Row],[Result]]="","",COUNTIFS(Team_Level[Team],Team_Level[[#This Row],[Team]],Team_Level[Date],"&lt;="&amp;Team_Level[[#This Row],[Date]],Team_Level[Result],"&lt;&gt;"))</f>
        <v/>
      </c>
      <c r="T1048" t="str">
        <f>Team_Level[[#This Row],[Team]]&amp;"-"&amp;Team_Level[[#This Row],[Chrono Rank]]</f>
        <v>Peterborough United-</v>
      </c>
    </row>
    <row r="1049" spans="1:20" x14ac:dyDescent="0.25">
      <c r="A1049" t="s">
        <v>574</v>
      </c>
      <c r="B1049" s="6">
        <v>46494</v>
      </c>
      <c r="C1049" t="s">
        <v>4</v>
      </c>
      <c r="D1049" t="s">
        <v>8</v>
      </c>
      <c r="K1049">
        <v>1</v>
      </c>
      <c r="L1049" t="s">
        <v>35</v>
      </c>
      <c r="Q1049" t="str">
        <f>IF(Team_Level[[#This Row],[Result]]="","",COUNTIFS(Team_Level[Team],Team_Level[[#This Row],[Team]],Team_Level[Date],"&gt;="&amp;Team_Level[[#This Row],[Date]],Team_Level[Result],"&lt;&gt;"))</f>
        <v/>
      </c>
      <c r="R1049" t="str">
        <f>Team_Level[[#This Row],[Team]]&amp;"-"&amp;Team_Level[[#This Row],[Recency Rank]]</f>
        <v>Bromley-</v>
      </c>
      <c r="S1049" t="str">
        <f>IF(Team_Level[[#This Row],[Result]]="","",COUNTIFS(Team_Level[Team],Team_Level[[#This Row],[Team]],Team_Level[Date],"&lt;="&amp;Team_Level[[#This Row],[Date]],Team_Level[Result],"&lt;&gt;"))</f>
        <v/>
      </c>
      <c r="T1049" t="str">
        <f>Team_Level[[#This Row],[Team]]&amp;"-"&amp;Team_Level[[#This Row],[Chrono Rank]]</f>
        <v>Bromley-</v>
      </c>
    </row>
    <row r="1050" spans="1:20" x14ac:dyDescent="0.25">
      <c r="A1050" t="s">
        <v>575</v>
      </c>
      <c r="B1050" s="6">
        <v>46494</v>
      </c>
      <c r="C1050" t="s">
        <v>1</v>
      </c>
      <c r="D1050" t="s">
        <v>9</v>
      </c>
      <c r="K1050">
        <v>1</v>
      </c>
      <c r="L1050" t="s">
        <v>35</v>
      </c>
      <c r="Q1050" t="str">
        <f>IF(Team_Level[[#This Row],[Result]]="","",COUNTIFS(Team_Level[Team],Team_Level[[#This Row],[Team]],Team_Level[Date],"&gt;="&amp;Team_Level[[#This Row],[Date]],Team_Level[Result],"&lt;&gt;"))</f>
        <v/>
      </c>
      <c r="R1050" t="str">
        <f>Team_Level[[#This Row],[Team]]&amp;"-"&amp;Team_Level[[#This Row],[Recency Rank]]</f>
        <v>Barnsley-</v>
      </c>
      <c r="S1050" t="str">
        <f>IF(Team_Level[[#This Row],[Result]]="","",COUNTIFS(Team_Level[Team],Team_Level[[#This Row],[Team]],Team_Level[Date],"&lt;="&amp;Team_Level[[#This Row],[Date]],Team_Level[Result],"&lt;&gt;"))</f>
        <v/>
      </c>
      <c r="T1050" t="str">
        <f>Team_Level[[#This Row],[Team]]&amp;"-"&amp;Team_Level[[#This Row],[Chrono Rank]]</f>
        <v>Barnsley-</v>
      </c>
    </row>
    <row r="1051" spans="1:20" x14ac:dyDescent="0.25">
      <c r="A1051" t="s">
        <v>576</v>
      </c>
      <c r="B1051" s="6">
        <v>46494</v>
      </c>
      <c r="C1051" t="s">
        <v>5</v>
      </c>
      <c r="D1051" t="s">
        <v>12</v>
      </c>
      <c r="K1051">
        <v>1</v>
      </c>
      <c r="L1051" t="s">
        <v>35</v>
      </c>
      <c r="Q1051" t="str">
        <f>IF(Team_Level[[#This Row],[Result]]="","",COUNTIFS(Team_Level[Team],Team_Level[[#This Row],[Team]],Team_Level[Date],"&gt;="&amp;Team_Level[[#This Row],[Date]],Team_Level[Result],"&lt;&gt;"))</f>
        <v/>
      </c>
      <c r="R1051" t="str">
        <f>Team_Level[[#This Row],[Team]]&amp;"-"&amp;Team_Level[[#This Row],[Recency Rank]]</f>
        <v>Burton Albion-</v>
      </c>
      <c r="S1051" t="str">
        <f>IF(Team_Level[[#This Row],[Result]]="","",COUNTIFS(Team_Level[Team],Team_Level[[#This Row],[Team]],Team_Level[Date],"&lt;="&amp;Team_Level[[#This Row],[Date]],Team_Level[Result],"&lt;&gt;"))</f>
        <v/>
      </c>
      <c r="T1051" t="str">
        <f>Team_Level[[#This Row],[Team]]&amp;"-"&amp;Team_Level[[#This Row],[Chrono Rank]]</f>
        <v>Burton Albion-</v>
      </c>
    </row>
    <row r="1052" spans="1:20" x14ac:dyDescent="0.25">
      <c r="A1052" t="s">
        <v>577</v>
      </c>
      <c r="B1052" s="6">
        <v>46494</v>
      </c>
      <c r="C1052" t="s">
        <v>0</v>
      </c>
      <c r="D1052" t="s">
        <v>33</v>
      </c>
      <c r="K1052">
        <v>1</v>
      </c>
      <c r="L1052" t="s">
        <v>35</v>
      </c>
      <c r="Q1052" t="str">
        <f>IF(Team_Level[[#This Row],[Result]]="","",COUNTIFS(Team_Level[Team],Team_Level[[#This Row],[Team]],Team_Level[Date],"&gt;="&amp;Team_Level[[#This Row],[Date]],Team_Level[Result],"&lt;&gt;"))</f>
        <v/>
      </c>
      <c r="R1052" t="str">
        <f>Team_Level[[#This Row],[Team]]&amp;"-"&amp;Team_Level[[#This Row],[Recency Rank]]</f>
        <v>AFC Wimbledon-</v>
      </c>
      <c r="S1052" t="str">
        <f>IF(Team_Level[[#This Row],[Result]]="","",COUNTIFS(Team_Level[Team],Team_Level[[#This Row],[Team]],Team_Level[Date],"&lt;="&amp;Team_Level[[#This Row],[Date]],Team_Level[Result],"&lt;&gt;"))</f>
        <v/>
      </c>
      <c r="T1052" t="str">
        <f>Team_Level[[#This Row],[Team]]&amp;"-"&amp;Team_Level[[#This Row],[Chrono Rank]]</f>
        <v>AFC Wimbledon-</v>
      </c>
    </row>
    <row r="1053" spans="1:20" x14ac:dyDescent="0.25">
      <c r="A1053" t="s">
        <v>578</v>
      </c>
      <c r="B1053" s="6">
        <v>46494</v>
      </c>
      <c r="C1053" t="s">
        <v>17</v>
      </c>
      <c r="D1053" t="s">
        <v>13</v>
      </c>
      <c r="K1053">
        <v>1</v>
      </c>
      <c r="L1053" t="s">
        <v>35</v>
      </c>
      <c r="Q1053" t="str">
        <f>IF(Team_Level[[#This Row],[Result]]="","",COUNTIFS(Team_Level[Team],Team_Level[[#This Row],[Team]],Team_Level[Date],"&gt;="&amp;Team_Level[[#This Row],[Date]],Team_Level[Result],"&lt;&gt;"))</f>
        <v/>
      </c>
      <c r="R1053" t="str">
        <f>Team_Level[[#This Row],[Team]]&amp;"-"&amp;Team_Level[[#This Row],[Recency Rank]]</f>
        <v>Reading-</v>
      </c>
      <c r="S1053" t="str">
        <f>IF(Team_Level[[#This Row],[Result]]="","",COUNTIFS(Team_Level[Team],Team_Level[[#This Row],[Team]],Team_Level[Date],"&lt;="&amp;Team_Level[[#This Row],[Date]],Team_Level[Result],"&lt;&gt;"))</f>
        <v/>
      </c>
      <c r="T1053" t="str">
        <f>Team_Level[[#This Row],[Team]]&amp;"-"&amp;Team_Level[[#This Row],[Chrono Rank]]</f>
        <v>Reading-</v>
      </c>
    </row>
    <row r="1054" spans="1:20" x14ac:dyDescent="0.25">
      <c r="A1054" t="s">
        <v>579</v>
      </c>
      <c r="B1054" s="6">
        <v>46494</v>
      </c>
      <c r="C1054" t="s">
        <v>2</v>
      </c>
      <c r="D1054" t="s">
        <v>16</v>
      </c>
      <c r="K1054">
        <v>1</v>
      </c>
      <c r="L1054" t="s">
        <v>35</v>
      </c>
      <c r="Q1054" t="str">
        <f>IF(Team_Level[[#This Row],[Result]]="","",COUNTIFS(Team_Level[Team],Team_Level[[#This Row],[Team]],Team_Level[Date],"&gt;="&amp;Team_Level[[#This Row],[Date]],Team_Level[Result],"&lt;&gt;"))</f>
        <v/>
      </c>
      <c r="R1054" t="str">
        <f>Team_Level[[#This Row],[Team]]&amp;"-"&amp;Team_Level[[#This Row],[Recency Rank]]</f>
        <v>Blackpool-</v>
      </c>
      <c r="S1054" t="str">
        <f>IF(Team_Level[[#This Row],[Result]]="","",COUNTIFS(Team_Level[Team],Team_Level[[#This Row],[Team]],Team_Level[Date],"&lt;="&amp;Team_Level[[#This Row],[Date]],Team_Level[Result],"&lt;&gt;"))</f>
        <v/>
      </c>
      <c r="T1054" t="str">
        <f>Team_Level[[#This Row],[Team]]&amp;"-"&amp;Team_Level[[#This Row],[Chrono Rank]]</f>
        <v>Blackpool-</v>
      </c>
    </row>
    <row r="1055" spans="1:20" x14ac:dyDescent="0.25">
      <c r="A1055" t="s">
        <v>580</v>
      </c>
      <c r="B1055" s="6">
        <v>46494</v>
      </c>
      <c r="C1055" t="s">
        <v>10</v>
      </c>
      <c r="D1055" t="s">
        <v>19</v>
      </c>
      <c r="K1055">
        <v>1</v>
      </c>
      <c r="L1055" t="s">
        <v>35</v>
      </c>
      <c r="Q1055" t="str">
        <f>IF(Team_Level[[#This Row],[Result]]="","",COUNTIFS(Team_Level[Team],Team_Level[[#This Row],[Team]],Team_Level[Date],"&gt;="&amp;Team_Level[[#This Row],[Date]],Team_Level[Result],"&lt;&gt;"))</f>
        <v/>
      </c>
      <c r="R1055" t="str">
        <f>Team_Level[[#This Row],[Team]]&amp;"-"&amp;Team_Level[[#This Row],[Recency Rank]]</f>
        <v>Leyton Orient-</v>
      </c>
      <c r="S1055" t="str">
        <f>IF(Team_Level[[#This Row],[Result]]="","",COUNTIFS(Team_Level[Team],Team_Level[[#This Row],[Team]],Team_Level[Date],"&lt;="&amp;Team_Level[[#This Row],[Date]],Team_Level[Result],"&lt;&gt;"))</f>
        <v/>
      </c>
      <c r="T1055" t="str">
        <f>Team_Level[[#This Row],[Team]]&amp;"-"&amp;Team_Level[[#This Row],[Chrono Rank]]</f>
        <v>Leyton Orient-</v>
      </c>
    </row>
    <row r="1056" spans="1:20" x14ac:dyDescent="0.25">
      <c r="A1056" t="s">
        <v>581</v>
      </c>
      <c r="B1056" s="6">
        <v>46494</v>
      </c>
      <c r="C1056" t="s">
        <v>18</v>
      </c>
      <c r="D1056" t="s">
        <v>20</v>
      </c>
      <c r="K1056">
        <v>1</v>
      </c>
      <c r="L1056" t="s">
        <v>35</v>
      </c>
      <c r="Q1056" t="str">
        <f>IF(Team_Level[[#This Row],[Result]]="","",COUNTIFS(Team_Level[Team],Team_Level[[#This Row],[Team]],Team_Level[Date],"&gt;="&amp;Team_Level[[#This Row],[Date]],Team_Level[Result],"&lt;&gt;"))</f>
        <v/>
      </c>
      <c r="R1056" t="str">
        <f>Team_Level[[#This Row],[Team]]&amp;"-"&amp;Team_Level[[#This Row],[Recency Rank]]</f>
        <v>Sheffield Wednesday-</v>
      </c>
      <c r="S1056" t="str">
        <f>IF(Team_Level[[#This Row],[Result]]="","",COUNTIFS(Team_Level[Team],Team_Level[[#This Row],[Team]],Team_Level[Date],"&lt;="&amp;Team_Level[[#This Row],[Date]],Team_Level[Result],"&lt;&gt;"))</f>
        <v/>
      </c>
      <c r="T1056" t="str">
        <f>Team_Level[[#This Row],[Team]]&amp;"-"&amp;Team_Level[[#This Row],[Chrono Rank]]</f>
        <v>Sheffield Wednesday-</v>
      </c>
    </row>
    <row r="1057" spans="1:20" x14ac:dyDescent="0.25">
      <c r="A1057" t="s">
        <v>582</v>
      </c>
      <c r="B1057" s="6">
        <v>46494</v>
      </c>
      <c r="C1057" t="s">
        <v>21</v>
      </c>
      <c r="D1057" t="s">
        <v>22</v>
      </c>
      <c r="K1057">
        <v>1</v>
      </c>
      <c r="L1057" t="s">
        <v>35</v>
      </c>
      <c r="Q1057" t="str">
        <f>IF(Team_Level[[#This Row],[Result]]="","",COUNTIFS(Team_Level[Team],Team_Level[[#This Row],[Team]],Team_Level[Date],"&gt;="&amp;Team_Level[[#This Row],[Date]],Team_Level[Result],"&lt;&gt;"))</f>
        <v/>
      </c>
      <c r="R1057" t="str">
        <f>Team_Level[[#This Row],[Team]]&amp;"-"&amp;Team_Level[[#This Row],[Recency Rank]]</f>
        <v>Wigan Athletic-</v>
      </c>
      <c r="S1057" t="str">
        <f>IF(Team_Level[[#This Row],[Result]]="","",COUNTIFS(Team_Level[Team],Team_Level[[#This Row],[Team]],Team_Level[Date],"&lt;="&amp;Team_Level[[#This Row],[Date]],Team_Level[Result],"&lt;&gt;"))</f>
        <v/>
      </c>
      <c r="T1057" t="str">
        <f>Team_Level[[#This Row],[Team]]&amp;"-"&amp;Team_Level[[#This Row],[Chrono Rank]]</f>
        <v>Wigan Athletic-</v>
      </c>
    </row>
    <row r="1058" spans="1:20" x14ac:dyDescent="0.25">
      <c r="A1058" t="s">
        <v>583</v>
      </c>
      <c r="B1058" s="6">
        <v>46501</v>
      </c>
      <c r="C1058" t="s">
        <v>16</v>
      </c>
      <c r="D1058" t="s">
        <v>0</v>
      </c>
      <c r="K1058">
        <v>1</v>
      </c>
      <c r="L1058" t="s">
        <v>35</v>
      </c>
      <c r="Q1058" t="str">
        <f>IF(Team_Level[[#This Row],[Result]]="","",COUNTIFS(Team_Level[Team],Team_Level[[#This Row],[Team]],Team_Level[Date],"&gt;="&amp;Team_Level[[#This Row],[Date]],Team_Level[Result],"&lt;&gt;"))</f>
        <v/>
      </c>
      <c r="R1058" t="str">
        <f>Team_Level[[#This Row],[Team]]&amp;"-"&amp;Team_Level[[#This Row],[Recency Rank]]</f>
        <v>Plymouth Argyle-</v>
      </c>
      <c r="S1058" t="str">
        <f>IF(Team_Level[[#This Row],[Result]]="","",COUNTIFS(Team_Level[Team],Team_Level[[#This Row],[Team]],Team_Level[Date],"&lt;="&amp;Team_Level[[#This Row],[Date]],Team_Level[Result],"&lt;&gt;"))</f>
        <v/>
      </c>
      <c r="T1058" t="str">
        <f>Team_Level[[#This Row],[Team]]&amp;"-"&amp;Team_Level[[#This Row],[Chrono Rank]]</f>
        <v>Plymouth Argyle-</v>
      </c>
    </row>
    <row r="1059" spans="1:20" x14ac:dyDescent="0.25">
      <c r="A1059" t="s">
        <v>584</v>
      </c>
      <c r="B1059" s="6">
        <v>46501</v>
      </c>
      <c r="C1059" t="s">
        <v>20</v>
      </c>
      <c r="D1059" t="s">
        <v>1</v>
      </c>
      <c r="K1059">
        <v>1</v>
      </c>
      <c r="L1059" t="s">
        <v>35</v>
      </c>
      <c r="Q1059" t="str">
        <f>IF(Team_Level[[#This Row],[Result]]="","",COUNTIFS(Team_Level[Team],Team_Level[[#This Row],[Team]],Team_Level[Date],"&gt;="&amp;Team_Level[[#This Row],[Date]],Team_Level[Result],"&lt;&gt;"))</f>
        <v/>
      </c>
      <c r="R1059" t="str">
        <f>Team_Level[[#This Row],[Team]]&amp;"-"&amp;Team_Level[[#This Row],[Recency Rank]]</f>
        <v>Stockport County-</v>
      </c>
      <c r="S1059" t="str">
        <f>IF(Team_Level[[#This Row],[Result]]="","",COUNTIFS(Team_Level[Team],Team_Level[[#This Row],[Team]],Team_Level[Date],"&lt;="&amp;Team_Level[[#This Row],[Date]],Team_Level[Result],"&lt;&gt;"))</f>
        <v/>
      </c>
      <c r="T1059" t="str">
        <f>Team_Level[[#This Row],[Team]]&amp;"-"&amp;Team_Level[[#This Row],[Chrono Rank]]</f>
        <v>Stockport County-</v>
      </c>
    </row>
    <row r="1060" spans="1:20" x14ac:dyDescent="0.25">
      <c r="A1060" t="s">
        <v>585</v>
      </c>
      <c r="B1060" s="6">
        <v>46501</v>
      </c>
      <c r="C1060" t="s">
        <v>6</v>
      </c>
      <c r="D1060" t="s">
        <v>2</v>
      </c>
      <c r="K1060">
        <v>1</v>
      </c>
      <c r="L1060" t="s">
        <v>35</v>
      </c>
      <c r="Q1060" t="str">
        <f>IF(Team_Level[[#This Row],[Result]]="","",COUNTIFS(Team_Level[Team],Team_Level[[#This Row],[Team]],Team_Level[Date],"&gt;="&amp;Team_Level[[#This Row],[Date]],Team_Level[Result],"&lt;&gt;"))</f>
        <v/>
      </c>
      <c r="R1060" t="str">
        <f>Team_Level[[#This Row],[Team]]&amp;"-"&amp;Team_Level[[#This Row],[Recency Rank]]</f>
        <v>Cambridge United-</v>
      </c>
      <c r="S1060" t="str">
        <f>IF(Team_Level[[#This Row],[Result]]="","",COUNTIFS(Team_Level[Team],Team_Level[[#This Row],[Team]],Team_Level[Date],"&lt;="&amp;Team_Level[[#This Row],[Date]],Team_Level[Result],"&lt;&gt;"))</f>
        <v/>
      </c>
      <c r="T1060" t="str">
        <f>Team_Level[[#This Row],[Team]]&amp;"-"&amp;Team_Level[[#This Row],[Chrono Rank]]</f>
        <v>Cambridge United-</v>
      </c>
    </row>
    <row r="1061" spans="1:20" x14ac:dyDescent="0.25">
      <c r="A1061" t="s">
        <v>586</v>
      </c>
      <c r="B1061" s="6">
        <v>46501</v>
      </c>
      <c r="C1061" t="s">
        <v>12</v>
      </c>
      <c r="D1061" t="s">
        <v>4</v>
      </c>
      <c r="K1061">
        <v>1</v>
      </c>
      <c r="L1061" t="s">
        <v>35</v>
      </c>
      <c r="Q1061" t="str">
        <f>IF(Team_Level[[#This Row],[Result]]="","",COUNTIFS(Team_Level[Team],Team_Level[[#This Row],[Team]],Team_Level[Date],"&gt;="&amp;Team_Level[[#This Row],[Date]],Team_Level[Result],"&lt;&gt;"))</f>
        <v/>
      </c>
      <c r="R1061" t="str">
        <f>Team_Level[[#This Row],[Team]]&amp;"-"&amp;Team_Level[[#This Row],[Recency Rank]]</f>
        <v>Mansfield Town-</v>
      </c>
      <c r="S1061" t="str">
        <f>IF(Team_Level[[#This Row],[Result]]="","",COUNTIFS(Team_Level[Team],Team_Level[[#This Row],[Team]],Team_Level[Date],"&lt;="&amp;Team_Level[[#This Row],[Date]],Team_Level[Result],"&lt;&gt;"))</f>
        <v/>
      </c>
      <c r="T1061" t="str">
        <f>Team_Level[[#This Row],[Team]]&amp;"-"&amp;Team_Level[[#This Row],[Chrono Rank]]</f>
        <v>Mansfield Town-</v>
      </c>
    </row>
    <row r="1062" spans="1:20" x14ac:dyDescent="0.25">
      <c r="A1062" t="s">
        <v>587</v>
      </c>
      <c r="B1062" s="6">
        <v>46501</v>
      </c>
      <c r="C1062" t="s">
        <v>7</v>
      </c>
      <c r="D1062" t="s">
        <v>5</v>
      </c>
      <c r="K1062">
        <v>1</v>
      </c>
      <c r="L1062" t="s">
        <v>35</v>
      </c>
      <c r="Q1062" t="str">
        <f>IF(Team_Level[[#This Row],[Result]]="","",COUNTIFS(Team_Level[Team],Team_Level[[#This Row],[Team]],Team_Level[Date],"&gt;="&amp;Team_Level[[#This Row],[Date]],Team_Level[Result],"&lt;&gt;"))</f>
        <v/>
      </c>
      <c r="R1062" t="str">
        <f>Team_Level[[#This Row],[Team]]&amp;"-"&amp;Team_Level[[#This Row],[Recency Rank]]</f>
        <v>Doncaster Rovers-</v>
      </c>
      <c r="S1062" t="str">
        <f>IF(Team_Level[[#This Row],[Result]]="","",COUNTIFS(Team_Level[Team],Team_Level[[#This Row],[Team]],Team_Level[Date],"&lt;="&amp;Team_Level[[#This Row],[Date]],Team_Level[Result],"&lt;&gt;"))</f>
        <v/>
      </c>
      <c r="T1062" t="str">
        <f>Team_Level[[#This Row],[Team]]&amp;"-"&amp;Team_Level[[#This Row],[Chrono Rank]]</f>
        <v>Doncaster Rovers-</v>
      </c>
    </row>
    <row r="1063" spans="1:20" x14ac:dyDescent="0.25">
      <c r="A1063" t="s">
        <v>588</v>
      </c>
      <c r="B1063" s="6">
        <v>46501</v>
      </c>
      <c r="C1063" t="s">
        <v>3</v>
      </c>
      <c r="D1063" t="s">
        <v>10</v>
      </c>
      <c r="K1063">
        <v>1</v>
      </c>
      <c r="L1063" t="s">
        <v>35</v>
      </c>
      <c r="Q1063" t="str">
        <f>IF(Team_Level[[#This Row],[Result]]="","",COUNTIFS(Team_Level[Team],Team_Level[[#This Row],[Team]],Team_Level[Date],"&gt;="&amp;Team_Level[[#This Row],[Date]],Team_Level[Result],"&lt;&gt;"))</f>
        <v/>
      </c>
      <c r="R1063" t="str">
        <f>Team_Level[[#This Row],[Team]]&amp;"-"&amp;Team_Level[[#This Row],[Recency Rank]]</f>
        <v>Bradford City-</v>
      </c>
      <c r="S1063" t="str">
        <f>IF(Team_Level[[#This Row],[Result]]="","",COUNTIFS(Team_Level[Team],Team_Level[[#This Row],[Team]],Team_Level[Date],"&lt;="&amp;Team_Level[[#This Row],[Date]],Team_Level[Result],"&lt;&gt;"))</f>
        <v/>
      </c>
      <c r="T1063" t="str">
        <f>Team_Level[[#This Row],[Team]]&amp;"-"&amp;Team_Level[[#This Row],[Chrono Rank]]</f>
        <v>Bradford City-</v>
      </c>
    </row>
    <row r="1064" spans="1:20" x14ac:dyDescent="0.25">
      <c r="A1064" t="s">
        <v>589</v>
      </c>
      <c r="B1064" s="6">
        <v>46501</v>
      </c>
      <c r="C1064" t="s">
        <v>22</v>
      </c>
      <c r="D1064" t="s">
        <v>11</v>
      </c>
      <c r="K1064">
        <v>1</v>
      </c>
      <c r="L1064" t="s">
        <v>35</v>
      </c>
      <c r="Q1064" t="str">
        <f>IF(Team_Level[[#This Row],[Result]]="","",COUNTIFS(Team_Level[Team],Team_Level[[#This Row],[Team]],Team_Level[Date],"&gt;="&amp;Team_Level[[#This Row],[Date]],Team_Level[Result],"&lt;&gt;"))</f>
        <v/>
      </c>
      <c r="R1064" t="str">
        <f>Team_Level[[#This Row],[Team]]&amp;"-"&amp;Team_Level[[#This Row],[Recency Rank]]</f>
        <v>Wycombe Wanderers-</v>
      </c>
      <c r="S1064" t="str">
        <f>IF(Team_Level[[#This Row],[Result]]="","",COUNTIFS(Team_Level[Team],Team_Level[[#This Row],[Team]],Team_Level[Date],"&lt;="&amp;Team_Level[[#This Row],[Date]],Team_Level[Result],"&lt;&gt;"))</f>
        <v/>
      </c>
      <c r="T1064" t="str">
        <f>Team_Level[[#This Row],[Team]]&amp;"-"&amp;Team_Level[[#This Row],[Chrono Rank]]</f>
        <v>Wycombe Wanderers-</v>
      </c>
    </row>
    <row r="1065" spans="1:20" x14ac:dyDescent="0.25">
      <c r="A1065" t="s">
        <v>590</v>
      </c>
      <c r="B1065" s="6">
        <v>46501</v>
      </c>
      <c r="C1065" t="s">
        <v>13</v>
      </c>
      <c r="D1065" t="s">
        <v>14</v>
      </c>
      <c r="K1065">
        <v>1</v>
      </c>
      <c r="L1065" t="s">
        <v>35</v>
      </c>
      <c r="Q1065" t="str">
        <f>IF(Team_Level[[#This Row],[Result]]="","",COUNTIFS(Team_Level[Team],Team_Level[[#This Row],[Team]],Team_Level[Date],"&gt;="&amp;Team_Level[[#This Row],[Date]],Team_Level[Result],"&lt;&gt;"))</f>
        <v/>
      </c>
      <c r="R1065" t="str">
        <f>Team_Level[[#This Row],[Team]]&amp;"-"&amp;Team_Level[[#This Row],[Recency Rank]]</f>
        <v>Notts County-</v>
      </c>
      <c r="S1065" t="str">
        <f>IF(Team_Level[[#This Row],[Result]]="","",COUNTIFS(Team_Level[Team],Team_Level[[#This Row],[Team]],Team_Level[Date],"&lt;="&amp;Team_Level[[#This Row],[Date]],Team_Level[Result],"&lt;&gt;"))</f>
        <v/>
      </c>
      <c r="T1065" t="str">
        <f>Team_Level[[#This Row],[Team]]&amp;"-"&amp;Team_Level[[#This Row],[Chrono Rank]]</f>
        <v>Notts County-</v>
      </c>
    </row>
    <row r="1066" spans="1:20" x14ac:dyDescent="0.25">
      <c r="A1066" t="s">
        <v>591</v>
      </c>
      <c r="B1066" s="6">
        <v>46501</v>
      </c>
      <c r="C1066" t="s">
        <v>9</v>
      </c>
      <c r="D1066" t="s">
        <v>15</v>
      </c>
      <c r="K1066">
        <v>1</v>
      </c>
      <c r="L1066" t="s">
        <v>35</v>
      </c>
      <c r="Q1066" t="str">
        <f>IF(Team_Level[[#This Row],[Result]]="","",COUNTIFS(Team_Level[Team],Team_Level[[#This Row],[Team]],Team_Level[Date],"&gt;="&amp;Team_Level[[#This Row],[Date]],Team_Level[Result],"&lt;&gt;"))</f>
        <v/>
      </c>
      <c r="R1066" t="str">
        <f>Team_Level[[#This Row],[Team]]&amp;"-"&amp;Team_Level[[#This Row],[Recency Rank]]</f>
        <v>Leicester City-</v>
      </c>
      <c r="S1066" t="str">
        <f>IF(Team_Level[[#This Row],[Result]]="","",COUNTIFS(Team_Level[Team],Team_Level[[#This Row],[Team]],Team_Level[Date],"&lt;="&amp;Team_Level[[#This Row],[Date]],Team_Level[Result],"&lt;&gt;"))</f>
        <v/>
      </c>
      <c r="T1066" t="str">
        <f>Team_Level[[#This Row],[Team]]&amp;"-"&amp;Team_Level[[#This Row],[Chrono Rank]]</f>
        <v>Leicester City-</v>
      </c>
    </row>
    <row r="1067" spans="1:20" x14ac:dyDescent="0.25">
      <c r="A1067" t="s">
        <v>592</v>
      </c>
      <c r="B1067" s="6">
        <v>46501</v>
      </c>
      <c r="C1067" t="s">
        <v>8</v>
      </c>
      <c r="D1067" t="s">
        <v>17</v>
      </c>
      <c r="K1067">
        <v>1</v>
      </c>
      <c r="L1067" t="s">
        <v>35</v>
      </c>
      <c r="Q1067" t="str">
        <f>IF(Team_Level[[#This Row],[Result]]="","",COUNTIFS(Team_Level[Team],Team_Level[[#This Row],[Team]],Team_Level[Date],"&gt;="&amp;Team_Level[[#This Row],[Date]],Team_Level[Result],"&lt;&gt;"))</f>
        <v/>
      </c>
      <c r="R1067" t="str">
        <f>Team_Level[[#This Row],[Team]]&amp;"-"&amp;Team_Level[[#This Row],[Recency Rank]]</f>
        <v>Huddersfield Town-</v>
      </c>
      <c r="S1067" t="str">
        <f>IF(Team_Level[[#This Row],[Result]]="","",COUNTIFS(Team_Level[Team],Team_Level[[#This Row],[Team]],Team_Level[Date],"&lt;="&amp;Team_Level[[#This Row],[Date]],Team_Level[Result],"&lt;&gt;"))</f>
        <v/>
      </c>
      <c r="T1067" t="str">
        <f>Team_Level[[#This Row],[Team]]&amp;"-"&amp;Team_Level[[#This Row],[Chrono Rank]]</f>
        <v>Huddersfield Town-</v>
      </c>
    </row>
    <row r="1068" spans="1:20" x14ac:dyDescent="0.25">
      <c r="A1068" t="s">
        <v>593</v>
      </c>
      <c r="B1068" s="6">
        <v>46501</v>
      </c>
      <c r="C1068" t="s">
        <v>33</v>
      </c>
      <c r="D1068" t="s">
        <v>18</v>
      </c>
      <c r="K1068">
        <v>1</v>
      </c>
      <c r="L1068" t="s">
        <v>35</v>
      </c>
      <c r="Q1068" t="str">
        <f>IF(Team_Level[[#This Row],[Result]]="","",COUNTIFS(Team_Level[Team],Team_Level[[#This Row],[Team]],Team_Level[Date],"&gt;="&amp;Team_Level[[#This Row],[Date]],Team_Level[Result],"&lt;&gt;"))</f>
        <v/>
      </c>
      <c r="R1068" t="str">
        <f>Team_Level[[#This Row],[Team]]&amp;"-"&amp;Team_Level[[#This Row],[Recency Rank]]</f>
        <v>Milton Keynes Dons-</v>
      </c>
      <c r="S1068" t="str">
        <f>IF(Team_Level[[#This Row],[Result]]="","",COUNTIFS(Team_Level[Team],Team_Level[[#This Row],[Team]],Team_Level[Date],"&lt;="&amp;Team_Level[[#This Row],[Date]],Team_Level[Result],"&lt;&gt;"))</f>
        <v/>
      </c>
      <c r="T1068" t="str">
        <f>Team_Level[[#This Row],[Team]]&amp;"-"&amp;Team_Level[[#This Row],[Chrono Rank]]</f>
        <v>Milton Keynes Dons-</v>
      </c>
    </row>
    <row r="1069" spans="1:20" x14ac:dyDescent="0.25">
      <c r="A1069" t="s">
        <v>594</v>
      </c>
      <c r="B1069" s="6">
        <v>46501</v>
      </c>
      <c r="C1069" t="s">
        <v>19</v>
      </c>
      <c r="D1069" t="s">
        <v>21</v>
      </c>
      <c r="K1069">
        <v>1</v>
      </c>
      <c r="L1069" t="s">
        <v>35</v>
      </c>
      <c r="Q1069" t="str">
        <f>IF(Team_Level[[#This Row],[Result]]="","",COUNTIFS(Team_Level[Team],Team_Level[[#This Row],[Team]],Team_Level[Date],"&gt;="&amp;Team_Level[[#This Row],[Date]],Team_Level[Result],"&lt;&gt;"))</f>
        <v/>
      </c>
      <c r="R1069" t="str">
        <f>Team_Level[[#This Row],[Team]]&amp;"-"&amp;Team_Level[[#This Row],[Recency Rank]]</f>
        <v>Stevenage-</v>
      </c>
      <c r="S1069" t="str">
        <f>IF(Team_Level[[#This Row],[Result]]="","",COUNTIFS(Team_Level[Team],Team_Level[[#This Row],[Team]],Team_Level[Date],"&lt;="&amp;Team_Level[[#This Row],[Date]],Team_Level[Result],"&lt;&gt;"))</f>
        <v/>
      </c>
      <c r="T1069" t="str">
        <f>Team_Level[[#This Row],[Team]]&amp;"-"&amp;Team_Level[[#This Row],[Chrono Rank]]</f>
        <v>Stevenage-</v>
      </c>
    </row>
    <row r="1070" spans="1:20" x14ac:dyDescent="0.25">
      <c r="A1070" t="s">
        <v>595</v>
      </c>
      <c r="B1070" s="6">
        <v>46504</v>
      </c>
      <c r="C1070" t="s">
        <v>17</v>
      </c>
      <c r="D1070" t="s">
        <v>3</v>
      </c>
      <c r="K1070">
        <v>1</v>
      </c>
      <c r="L1070" t="s">
        <v>35</v>
      </c>
      <c r="Q1070" t="str">
        <f>IF(Team_Level[[#This Row],[Result]]="","",COUNTIFS(Team_Level[Team],Team_Level[[#This Row],[Team]],Team_Level[Date],"&gt;="&amp;Team_Level[[#This Row],[Date]],Team_Level[Result],"&lt;&gt;"))</f>
        <v/>
      </c>
      <c r="R1070" t="str">
        <f>Team_Level[[#This Row],[Team]]&amp;"-"&amp;Team_Level[[#This Row],[Recency Rank]]</f>
        <v>Reading-</v>
      </c>
      <c r="S1070" t="str">
        <f>IF(Team_Level[[#This Row],[Result]]="","",COUNTIFS(Team_Level[Team],Team_Level[[#This Row],[Team]],Team_Level[Date],"&lt;="&amp;Team_Level[[#This Row],[Date]],Team_Level[Result],"&lt;&gt;"))</f>
        <v/>
      </c>
      <c r="T1070" t="str">
        <f>Team_Level[[#This Row],[Team]]&amp;"-"&amp;Team_Level[[#This Row],[Chrono Rank]]</f>
        <v>Reading-</v>
      </c>
    </row>
    <row r="1071" spans="1:20" x14ac:dyDescent="0.25">
      <c r="A1071" t="s">
        <v>596</v>
      </c>
      <c r="B1071" s="6">
        <v>46504</v>
      </c>
      <c r="C1071" t="s">
        <v>18</v>
      </c>
      <c r="D1071" t="s">
        <v>6</v>
      </c>
      <c r="K1071">
        <v>1</v>
      </c>
      <c r="L1071" t="s">
        <v>35</v>
      </c>
      <c r="Q1071" t="str">
        <f>IF(Team_Level[[#This Row],[Result]]="","",COUNTIFS(Team_Level[Team],Team_Level[[#This Row],[Team]],Team_Level[Date],"&gt;="&amp;Team_Level[[#This Row],[Date]],Team_Level[Result],"&lt;&gt;"))</f>
        <v/>
      </c>
      <c r="R1071" t="str">
        <f>Team_Level[[#This Row],[Team]]&amp;"-"&amp;Team_Level[[#This Row],[Recency Rank]]</f>
        <v>Sheffield Wednesday-</v>
      </c>
      <c r="S1071" t="str">
        <f>IF(Team_Level[[#This Row],[Result]]="","",COUNTIFS(Team_Level[Team],Team_Level[[#This Row],[Team]],Team_Level[Date],"&lt;="&amp;Team_Level[[#This Row],[Date]],Team_Level[Result],"&lt;&gt;"))</f>
        <v/>
      </c>
      <c r="T1071" t="str">
        <f>Team_Level[[#This Row],[Team]]&amp;"-"&amp;Team_Level[[#This Row],[Chrono Rank]]</f>
        <v>Sheffield Wednesday-</v>
      </c>
    </row>
    <row r="1072" spans="1:20" x14ac:dyDescent="0.25">
      <c r="A1072" t="s">
        <v>597</v>
      </c>
      <c r="B1072" s="6">
        <v>46504</v>
      </c>
      <c r="C1072" t="s">
        <v>11</v>
      </c>
      <c r="D1072" t="s">
        <v>7</v>
      </c>
      <c r="K1072">
        <v>1</v>
      </c>
      <c r="L1072" t="s">
        <v>35</v>
      </c>
      <c r="Q1072" t="str">
        <f>IF(Team_Level[[#This Row],[Result]]="","",COUNTIFS(Team_Level[Team],Team_Level[[#This Row],[Team]],Team_Level[Date],"&gt;="&amp;Team_Level[[#This Row],[Date]],Team_Level[Result],"&lt;&gt;"))</f>
        <v/>
      </c>
      <c r="R1072" t="str">
        <f>Team_Level[[#This Row],[Team]]&amp;"-"&amp;Team_Level[[#This Row],[Recency Rank]]</f>
        <v>Luton Town-</v>
      </c>
      <c r="S1072" t="str">
        <f>IF(Team_Level[[#This Row],[Result]]="","",COUNTIFS(Team_Level[Team],Team_Level[[#This Row],[Team]],Team_Level[Date],"&lt;="&amp;Team_Level[[#This Row],[Date]],Team_Level[Result],"&lt;&gt;"))</f>
        <v/>
      </c>
      <c r="T1072" t="str">
        <f>Team_Level[[#This Row],[Team]]&amp;"-"&amp;Team_Level[[#This Row],[Chrono Rank]]</f>
        <v>Luton Town-</v>
      </c>
    </row>
    <row r="1073" spans="1:20" x14ac:dyDescent="0.25">
      <c r="A1073" t="s">
        <v>598</v>
      </c>
      <c r="B1073" s="6">
        <v>46504</v>
      </c>
      <c r="C1073" t="s">
        <v>5</v>
      </c>
      <c r="D1073" t="s">
        <v>8</v>
      </c>
      <c r="K1073">
        <v>1</v>
      </c>
      <c r="L1073" t="s">
        <v>35</v>
      </c>
      <c r="Q1073" t="str">
        <f>IF(Team_Level[[#This Row],[Result]]="","",COUNTIFS(Team_Level[Team],Team_Level[[#This Row],[Team]],Team_Level[Date],"&gt;="&amp;Team_Level[[#This Row],[Date]],Team_Level[Result],"&lt;&gt;"))</f>
        <v/>
      </c>
      <c r="R1073" t="str">
        <f>Team_Level[[#This Row],[Team]]&amp;"-"&amp;Team_Level[[#This Row],[Recency Rank]]</f>
        <v>Burton Albion-</v>
      </c>
      <c r="S1073" t="str">
        <f>IF(Team_Level[[#This Row],[Result]]="","",COUNTIFS(Team_Level[Team],Team_Level[[#This Row],[Team]],Team_Level[Date],"&lt;="&amp;Team_Level[[#This Row],[Date]],Team_Level[Result],"&lt;&gt;"))</f>
        <v/>
      </c>
      <c r="T1073" t="str">
        <f>Team_Level[[#This Row],[Team]]&amp;"-"&amp;Team_Level[[#This Row],[Chrono Rank]]</f>
        <v>Burton Albion-</v>
      </c>
    </row>
    <row r="1074" spans="1:20" x14ac:dyDescent="0.25">
      <c r="A1074" t="s">
        <v>599</v>
      </c>
      <c r="B1074" s="6">
        <v>46504</v>
      </c>
      <c r="C1074" t="s">
        <v>2</v>
      </c>
      <c r="D1074" t="s">
        <v>9</v>
      </c>
      <c r="K1074">
        <v>1</v>
      </c>
      <c r="L1074" t="s">
        <v>35</v>
      </c>
      <c r="Q1074" t="str">
        <f>IF(Team_Level[[#This Row],[Result]]="","",COUNTIFS(Team_Level[Team],Team_Level[[#This Row],[Team]],Team_Level[Date],"&gt;="&amp;Team_Level[[#This Row],[Date]],Team_Level[Result],"&lt;&gt;"))</f>
        <v/>
      </c>
      <c r="R1074" t="str">
        <f>Team_Level[[#This Row],[Team]]&amp;"-"&amp;Team_Level[[#This Row],[Recency Rank]]</f>
        <v>Blackpool-</v>
      </c>
      <c r="S1074" t="str">
        <f>IF(Team_Level[[#This Row],[Result]]="","",COUNTIFS(Team_Level[Team],Team_Level[[#This Row],[Team]],Team_Level[Date],"&lt;="&amp;Team_Level[[#This Row],[Date]],Team_Level[Result],"&lt;&gt;"))</f>
        <v/>
      </c>
      <c r="T1074" t="str">
        <f>Team_Level[[#This Row],[Team]]&amp;"-"&amp;Team_Level[[#This Row],[Chrono Rank]]</f>
        <v>Blackpool-</v>
      </c>
    </row>
    <row r="1075" spans="1:20" x14ac:dyDescent="0.25">
      <c r="A1075" t="s">
        <v>600</v>
      </c>
      <c r="B1075" s="6">
        <v>46504</v>
      </c>
      <c r="C1075" t="s">
        <v>21</v>
      </c>
      <c r="D1075" t="s">
        <v>12</v>
      </c>
      <c r="K1075">
        <v>1</v>
      </c>
      <c r="L1075" t="s">
        <v>35</v>
      </c>
      <c r="Q1075" t="str">
        <f>IF(Team_Level[[#This Row],[Result]]="","",COUNTIFS(Team_Level[Team],Team_Level[[#This Row],[Team]],Team_Level[Date],"&gt;="&amp;Team_Level[[#This Row],[Date]],Team_Level[Result],"&lt;&gt;"))</f>
        <v/>
      </c>
      <c r="R1075" t="str">
        <f>Team_Level[[#This Row],[Team]]&amp;"-"&amp;Team_Level[[#This Row],[Recency Rank]]</f>
        <v>Wigan Athletic-</v>
      </c>
      <c r="S1075" t="str">
        <f>IF(Team_Level[[#This Row],[Result]]="","",COUNTIFS(Team_Level[Team],Team_Level[[#This Row],[Team]],Team_Level[Date],"&lt;="&amp;Team_Level[[#This Row],[Date]],Team_Level[Result],"&lt;&gt;"))</f>
        <v/>
      </c>
      <c r="T1075" t="str">
        <f>Team_Level[[#This Row],[Team]]&amp;"-"&amp;Team_Level[[#This Row],[Chrono Rank]]</f>
        <v>Wigan Athletic-</v>
      </c>
    </row>
    <row r="1076" spans="1:20" x14ac:dyDescent="0.25">
      <c r="A1076" t="s">
        <v>601</v>
      </c>
      <c r="B1076" s="6">
        <v>46504</v>
      </c>
      <c r="C1076" t="s">
        <v>1</v>
      </c>
      <c r="D1076" t="s">
        <v>33</v>
      </c>
      <c r="K1076">
        <v>1</v>
      </c>
      <c r="L1076" t="s">
        <v>35</v>
      </c>
      <c r="Q1076" t="str">
        <f>IF(Team_Level[[#This Row],[Result]]="","",COUNTIFS(Team_Level[Team],Team_Level[[#This Row],[Team]],Team_Level[Date],"&gt;="&amp;Team_Level[[#This Row],[Date]],Team_Level[Result],"&lt;&gt;"))</f>
        <v/>
      </c>
      <c r="R1076" t="str">
        <f>Team_Level[[#This Row],[Team]]&amp;"-"&amp;Team_Level[[#This Row],[Recency Rank]]</f>
        <v>Barnsley-</v>
      </c>
      <c r="S1076" t="str">
        <f>IF(Team_Level[[#This Row],[Result]]="","",COUNTIFS(Team_Level[Team],Team_Level[[#This Row],[Team]],Team_Level[Date],"&lt;="&amp;Team_Level[[#This Row],[Date]],Team_Level[Result],"&lt;&gt;"))</f>
        <v/>
      </c>
      <c r="T1076" t="str">
        <f>Team_Level[[#This Row],[Team]]&amp;"-"&amp;Team_Level[[#This Row],[Chrono Rank]]</f>
        <v>Barnsley-</v>
      </c>
    </row>
    <row r="1077" spans="1:20" x14ac:dyDescent="0.25">
      <c r="A1077" t="s">
        <v>602</v>
      </c>
      <c r="B1077" s="6">
        <v>46504</v>
      </c>
      <c r="C1077" t="s">
        <v>15</v>
      </c>
      <c r="D1077" t="s">
        <v>13</v>
      </c>
      <c r="K1077">
        <v>1</v>
      </c>
      <c r="L1077" t="s">
        <v>35</v>
      </c>
      <c r="Q1077" t="str">
        <f>IF(Team_Level[[#This Row],[Result]]="","",COUNTIFS(Team_Level[Team],Team_Level[[#This Row],[Team]],Team_Level[Date],"&gt;="&amp;Team_Level[[#This Row],[Date]],Team_Level[Result],"&lt;&gt;"))</f>
        <v/>
      </c>
      <c r="R1077" t="str">
        <f>Team_Level[[#This Row],[Team]]&amp;"-"&amp;Team_Level[[#This Row],[Recency Rank]]</f>
        <v>Peterborough United-</v>
      </c>
      <c r="S1077" t="str">
        <f>IF(Team_Level[[#This Row],[Result]]="","",COUNTIFS(Team_Level[Team],Team_Level[[#This Row],[Team]],Team_Level[Date],"&lt;="&amp;Team_Level[[#This Row],[Date]],Team_Level[Result],"&lt;&gt;"))</f>
        <v/>
      </c>
      <c r="T1077" t="str">
        <f>Team_Level[[#This Row],[Team]]&amp;"-"&amp;Team_Level[[#This Row],[Chrono Rank]]</f>
        <v>Peterborough United-</v>
      </c>
    </row>
    <row r="1078" spans="1:20" x14ac:dyDescent="0.25">
      <c r="A1078" t="s">
        <v>603</v>
      </c>
      <c r="B1078" s="6">
        <v>46504</v>
      </c>
      <c r="C1078" t="s">
        <v>10</v>
      </c>
      <c r="D1078" t="s">
        <v>16</v>
      </c>
      <c r="K1078">
        <v>1</v>
      </c>
      <c r="L1078" t="s">
        <v>35</v>
      </c>
      <c r="Q1078" t="str">
        <f>IF(Team_Level[[#This Row],[Result]]="","",COUNTIFS(Team_Level[Team],Team_Level[[#This Row],[Team]],Team_Level[Date],"&gt;="&amp;Team_Level[[#This Row],[Date]],Team_Level[Result],"&lt;&gt;"))</f>
        <v/>
      </c>
      <c r="R1078" t="str">
        <f>Team_Level[[#This Row],[Team]]&amp;"-"&amp;Team_Level[[#This Row],[Recency Rank]]</f>
        <v>Leyton Orient-</v>
      </c>
      <c r="S1078" t="str">
        <f>IF(Team_Level[[#This Row],[Result]]="","",COUNTIFS(Team_Level[Team],Team_Level[[#This Row],[Team]],Team_Level[Date],"&lt;="&amp;Team_Level[[#This Row],[Date]],Team_Level[Result],"&lt;&gt;"))</f>
        <v/>
      </c>
      <c r="T1078" t="str">
        <f>Team_Level[[#This Row],[Team]]&amp;"-"&amp;Team_Level[[#This Row],[Chrono Rank]]</f>
        <v>Leyton Orient-</v>
      </c>
    </row>
    <row r="1079" spans="1:20" x14ac:dyDescent="0.25">
      <c r="A1079" t="s">
        <v>604</v>
      </c>
      <c r="B1079" s="6">
        <v>46504</v>
      </c>
      <c r="C1079" t="s">
        <v>0</v>
      </c>
      <c r="D1079" t="s">
        <v>19</v>
      </c>
      <c r="K1079">
        <v>1</v>
      </c>
      <c r="L1079" t="s">
        <v>35</v>
      </c>
      <c r="Q1079" t="str">
        <f>IF(Team_Level[[#This Row],[Result]]="","",COUNTIFS(Team_Level[Team],Team_Level[[#This Row],[Team]],Team_Level[Date],"&gt;="&amp;Team_Level[[#This Row],[Date]],Team_Level[Result],"&lt;&gt;"))</f>
        <v/>
      </c>
      <c r="R1079" t="str">
        <f>Team_Level[[#This Row],[Team]]&amp;"-"&amp;Team_Level[[#This Row],[Recency Rank]]</f>
        <v>AFC Wimbledon-</v>
      </c>
      <c r="S1079" t="str">
        <f>IF(Team_Level[[#This Row],[Result]]="","",COUNTIFS(Team_Level[Team],Team_Level[[#This Row],[Team]],Team_Level[Date],"&lt;="&amp;Team_Level[[#This Row],[Date]],Team_Level[Result],"&lt;&gt;"))</f>
        <v/>
      </c>
      <c r="T1079" t="str">
        <f>Team_Level[[#This Row],[Team]]&amp;"-"&amp;Team_Level[[#This Row],[Chrono Rank]]</f>
        <v>AFC Wimbledon-</v>
      </c>
    </row>
    <row r="1080" spans="1:20" x14ac:dyDescent="0.25">
      <c r="A1080" t="s">
        <v>605</v>
      </c>
      <c r="B1080" s="6">
        <v>46504</v>
      </c>
      <c r="C1080" t="s">
        <v>14</v>
      </c>
      <c r="D1080" t="s">
        <v>20</v>
      </c>
      <c r="K1080">
        <v>1</v>
      </c>
      <c r="L1080" t="s">
        <v>35</v>
      </c>
      <c r="Q1080" t="str">
        <f>IF(Team_Level[[#This Row],[Result]]="","",COUNTIFS(Team_Level[Team],Team_Level[[#This Row],[Team]],Team_Level[Date],"&gt;="&amp;Team_Level[[#This Row],[Date]],Team_Level[Result],"&lt;&gt;"))</f>
        <v/>
      </c>
      <c r="R1080" t="str">
        <f>Team_Level[[#This Row],[Team]]&amp;"-"&amp;Team_Level[[#This Row],[Recency Rank]]</f>
        <v>Oxford United-</v>
      </c>
      <c r="S1080" t="str">
        <f>IF(Team_Level[[#This Row],[Result]]="","",COUNTIFS(Team_Level[Team],Team_Level[[#This Row],[Team]],Team_Level[Date],"&lt;="&amp;Team_Level[[#This Row],[Date]],Team_Level[Result],"&lt;&gt;"))</f>
        <v/>
      </c>
      <c r="T1080" t="str">
        <f>Team_Level[[#This Row],[Team]]&amp;"-"&amp;Team_Level[[#This Row],[Chrono Rank]]</f>
        <v>Oxford United-</v>
      </c>
    </row>
    <row r="1081" spans="1:20" x14ac:dyDescent="0.25">
      <c r="A1081" t="s">
        <v>606</v>
      </c>
      <c r="B1081" s="6">
        <v>46504</v>
      </c>
      <c r="C1081" t="s">
        <v>4</v>
      </c>
      <c r="D1081" t="s">
        <v>22</v>
      </c>
      <c r="K1081">
        <v>1</v>
      </c>
      <c r="L1081" t="s">
        <v>35</v>
      </c>
      <c r="Q1081" t="str">
        <f>IF(Team_Level[[#This Row],[Result]]="","",COUNTIFS(Team_Level[Team],Team_Level[[#This Row],[Team]],Team_Level[Date],"&gt;="&amp;Team_Level[[#This Row],[Date]],Team_Level[Result],"&lt;&gt;"))</f>
        <v/>
      </c>
      <c r="R1081" t="str">
        <f>Team_Level[[#This Row],[Team]]&amp;"-"&amp;Team_Level[[#This Row],[Recency Rank]]</f>
        <v>Bromley-</v>
      </c>
      <c r="S1081" t="str">
        <f>IF(Team_Level[[#This Row],[Result]]="","",COUNTIFS(Team_Level[Team],Team_Level[[#This Row],[Team]],Team_Level[Date],"&lt;="&amp;Team_Level[[#This Row],[Date]],Team_Level[Result],"&lt;&gt;"))</f>
        <v/>
      </c>
      <c r="T1081" t="str">
        <f>Team_Level[[#This Row],[Team]]&amp;"-"&amp;Team_Level[[#This Row],[Chrono Rank]]</f>
        <v>Bromley-</v>
      </c>
    </row>
    <row r="1082" spans="1:20" x14ac:dyDescent="0.25">
      <c r="A1082" t="s">
        <v>607</v>
      </c>
      <c r="B1082" s="6">
        <v>46508</v>
      </c>
      <c r="C1082" t="s">
        <v>0</v>
      </c>
      <c r="D1082" t="s">
        <v>1</v>
      </c>
      <c r="K1082">
        <v>1</v>
      </c>
      <c r="L1082" t="s">
        <v>35</v>
      </c>
      <c r="Q1082" t="str">
        <f>IF(Team_Level[[#This Row],[Result]]="","",COUNTIFS(Team_Level[Team],Team_Level[[#This Row],[Team]],Team_Level[Date],"&gt;="&amp;Team_Level[[#This Row],[Date]],Team_Level[Result],"&lt;&gt;"))</f>
        <v/>
      </c>
      <c r="R1082" t="str">
        <f>Team_Level[[#This Row],[Team]]&amp;"-"&amp;Team_Level[[#This Row],[Recency Rank]]</f>
        <v>AFC Wimbledon-</v>
      </c>
      <c r="S1082" t="str">
        <f>IF(Team_Level[[#This Row],[Result]]="","",COUNTIFS(Team_Level[Team],Team_Level[[#This Row],[Team]],Team_Level[Date],"&lt;="&amp;Team_Level[[#This Row],[Date]],Team_Level[Result],"&lt;&gt;"))</f>
        <v/>
      </c>
      <c r="T1082" t="str">
        <f>Team_Level[[#This Row],[Team]]&amp;"-"&amp;Team_Level[[#This Row],[Chrono Rank]]</f>
        <v>AFC Wimbledon-</v>
      </c>
    </row>
    <row r="1083" spans="1:20" x14ac:dyDescent="0.25">
      <c r="A1083" t="s">
        <v>608</v>
      </c>
      <c r="B1083" s="6">
        <v>46508</v>
      </c>
      <c r="C1083" t="s">
        <v>19</v>
      </c>
      <c r="D1083" t="s">
        <v>2</v>
      </c>
      <c r="K1083">
        <v>1</v>
      </c>
      <c r="L1083" t="s">
        <v>35</v>
      </c>
      <c r="Q1083" t="str">
        <f>IF(Team_Level[[#This Row],[Result]]="","",COUNTIFS(Team_Level[Team],Team_Level[[#This Row],[Team]],Team_Level[Date],"&gt;="&amp;Team_Level[[#This Row],[Date]],Team_Level[Result],"&lt;&gt;"))</f>
        <v/>
      </c>
      <c r="R1083" t="str">
        <f>Team_Level[[#This Row],[Team]]&amp;"-"&amp;Team_Level[[#This Row],[Recency Rank]]</f>
        <v>Stevenage-</v>
      </c>
      <c r="S1083" t="str">
        <f>IF(Team_Level[[#This Row],[Result]]="","",COUNTIFS(Team_Level[Team],Team_Level[[#This Row],[Team]],Team_Level[Date],"&lt;="&amp;Team_Level[[#This Row],[Date]],Team_Level[Result],"&lt;&gt;"))</f>
        <v/>
      </c>
      <c r="T1083" t="str">
        <f>Team_Level[[#This Row],[Team]]&amp;"-"&amp;Team_Level[[#This Row],[Chrono Rank]]</f>
        <v>Stevenage-</v>
      </c>
    </row>
    <row r="1084" spans="1:20" x14ac:dyDescent="0.25">
      <c r="A1084" t="s">
        <v>609</v>
      </c>
      <c r="B1084" s="6">
        <v>46508</v>
      </c>
      <c r="C1084" t="s">
        <v>22</v>
      </c>
      <c r="D1084" t="s">
        <v>3</v>
      </c>
      <c r="K1084">
        <v>1</v>
      </c>
      <c r="L1084" t="s">
        <v>35</v>
      </c>
      <c r="Q1084" t="str">
        <f>IF(Team_Level[[#This Row],[Result]]="","",COUNTIFS(Team_Level[Team],Team_Level[[#This Row],[Team]],Team_Level[Date],"&gt;="&amp;Team_Level[[#This Row],[Date]],Team_Level[Result],"&lt;&gt;"))</f>
        <v/>
      </c>
      <c r="R1084" t="str">
        <f>Team_Level[[#This Row],[Team]]&amp;"-"&amp;Team_Level[[#This Row],[Recency Rank]]</f>
        <v>Wycombe Wanderers-</v>
      </c>
      <c r="S1084" t="str">
        <f>IF(Team_Level[[#This Row],[Result]]="","",COUNTIFS(Team_Level[Team],Team_Level[[#This Row],[Team]],Team_Level[Date],"&lt;="&amp;Team_Level[[#This Row],[Date]],Team_Level[Result],"&lt;&gt;"))</f>
        <v/>
      </c>
      <c r="T1084" t="str">
        <f>Team_Level[[#This Row],[Team]]&amp;"-"&amp;Team_Level[[#This Row],[Chrono Rank]]</f>
        <v>Wycombe Wanderers-</v>
      </c>
    </row>
    <row r="1085" spans="1:20" x14ac:dyDescent="0.25">
      <c r="A1085" t="s">
        <v>610</v>
      </c>
      <c r="B1085" s="6">
        <v>46508</v>
      </c>
      <c r="C1085" t="s">
        <v>4</v>
      </c>
      <c r="D1085" t="s">
        <v>5</v>
      </c>
      <c r="K1085">
        <v>1</v>
      </c>
      <c r="L1085" t="s">
        <v>35</v>
      </c>
      <c r="Q1085" t="str">
        <f>IF(Team_Level[[#This Row],[Result]]="","",COUNTIFS(Team_Level[Team],Team_Level[[#This Row],[Team]],Team_Level[Date],"&gt;="&amp;Team_Level[[#This Row],[Date]],Team_Level[Result],"&lt;&gt;"))</f>
        <v/>
      </c>
      <c r="R1085" t="str">
        <f>Team_Level[[#This Row],[Team]]&amp;"-"&amp;Team_Level[[#This Row],[Recency Rank]]</f>
        <v>Bromley-</v>
      </c>
      <c r="S1085" t="str">
        <f>IF(Team_Level[[#This Row],[Result]]="","",COUNTIFS(Team_Level[Team],Team_Level[[#This Row],[Team]],Team_Level[Date],"&lt;="&amp;Team_Level[[#This Row],[Date]],Team_Level[Result],"&lt;&gt;"))</f>
        <v/>
      </c>
      <c r="T1085" t="str">
        <f>Team_Level[[#This Row],[Team]]&amp;"-"&amp;Team_Level[[#This Row],[Chrono Rank]]</f>
        <v>Bromley-</v>
      </c>
    </row>
    <row r="1086" spans="1:20" x14ac:dyDescent="0.25">
      <c r="A1086" t="s">
        <v>611</v>
      </c>
      <c r="B1086" s="6">
        <v>46508</v>
      </c>
      <c r="C1086" t="s">
        <v>11</v>
      </c>
      <c r="D1086" t="s">
        <v>6</v>
      </c>
      <c r="K1086">
        <v>1</v>
      </c>
      <c r="L1086" t="s">
        <v>35</v>
      </c>
      <c r="Q1086" t="str">
        <f>IF(Team_Level[[#This Row],[Result]]="","",COUNTIFS(Team_Level[Team],Team_Level[[#This Row],[Team]],Team_Level[Date],"&gt;="&amp;Team_Level[[#This Row],[Date]],Team_Level[Result],"&lt;&gt;"))</f>
        <v/>
      </c>
      <c r="R1086" t="str">
        <f>Team_Level[[#This Row],[Team]]&amp;"-"&amp;Team_Level[[#This Row],[Recency Rank]]</f>
        <v>Luton Town-</v>
      </c>
      <c r="S1086" t="str">
        <f>IF(Team_Level[[#This Row],[Result]]="","",COUNTIFS(Team_Level[Team],Team_Level[[#This Row],[Team]],Team_Level[Date],"&lt;="&amp;Team_Level[[#This Row],[Date]],Team_Level[Result],"&lt;&gt;"))</f>
        <v/>
      </c>
      <c r="T1086" t="str">
        <f>Team_Level[[#This Row],[Team]]&amp;"-"&amp;Team_Level[[#This Row],[Chrono Rank]]</f>
        <v>Luton Town-</v>
      </c>
    </row>
    <row r="1087" spans="1:20" x14ac:dyDescent="0.25">
      <c r="A1087" t="s">
        <v>612</v>
      </c>
      <c r="B1087" s="6">
        <v>46508</v>
      </c>
      <c r="C1087" t="s">
        <v>7</v>
      </c>
      <c r="D1087" t="s">
        <v>8</v>
      </c>
      <c r="K1087">
        <v>1</v>
      </c>
      <c r="L1087" t="s">
        <v>35</v>
      </c>
      <c r="Q1087" t="str">
        <f>IF(Team_Level[[#This Row],[Result]]="","",COUNTIFS(Team_Level[Team],Team_Level[[#This Row],[Team]],Team_Level[Date],"&gt;="&amp;Team_Level[[#This Row],[Date]],Team_Level[Result],"&lt;&gt;"))</f>
        <v/>
      </c>
      <c r="R1087" t="str">
        <f>Team_Level[[#This Row],[Team]]&amp;"-"&amp;Team_Level[[#This Row],[Recency Rank]]</f>
        <v>Doncaster Rovers-</v>
      </c>
      <c r="S1087" t="str">
        <f>IF(Team_Level[[#This Row],[Result]]="","",COUNTIFS(Team_Level[Team],Team_Level[[#This Row],[Team]],Team_Level[Date],"&lt;="&amp;Team_Level[[#This Row],[Date]],Team_Level[Result],"&lt;&gt;"))</f>
        <v/>
      </c>
      <c r="T1087" t="str">
        <f>Team_Level[[#This Row],[Team]]&amp;"-"&amp;Team_Level[[#This Row],[Chrono Rank]]</f>
        <v>Doncaster Rovers-</v>
      </c>
    </row>
    <row r="1088" spans="1:20" x14ac:dyDescent="0.25">
      <c r="A1088" t="s">
        <v>613</v>
      </c>
      <c r="B1088" s="6">
        <v>46508</v>
      </c>
      <c r="C1088" t="s">
        <v>20</v>
      </c>
      <c r="D1088" t="s">
        <v>10</v>
      </c>
      <c r="K1088">
        <v>1</v>
      </c>
      <c r="L1088" t="s">
        <v>35</v>
      </c>
      <c r="Q1088" t="str">
        <f>IF(Team_Level[[#This Row],[Result]]="","",COUNTIFS(Team_Level[Team],Team_Level[[#This Row],[Team]],Team_Level[Date],"&gt;="&amp;Team_Level[[#This Row],[Date]],Team_Level[Result],"&lt;&gt;"))</f>
        <v/>
      </c>
      <c r="R1088" t="str">
        <f>Team_Level[[#This Row],[Team]]&amp;"-"&amp;Team_Level[[#This Row],[Recency Rank]]</f>
        <v>Stockport County-</v>
      </c>
      <c r="S1088" t="str">
        <f>IF(Team_Level[[#This Row],[Result]]="","",COUNTIFS(Team_Level[Team],Team_Level[[#This Row],[Team]],Team_Level[Date],"&lt;="&amp;Team_Level[[#This Row],[Date]],Team_Level[Result],"&lt;&gt;"))</f>
        <v/>
      </c>
      <c r="T1088" t="str">
        <f>Team_Level[[#This Row],[Team]]&amp;"-"&amp;Team_Level[[#This Row],[Chrono Rank]]</f>
        <v>Stockport County-</v>
      </c>
    </row>
    <row r="1089" spans="1:20" x14ac:dyDescent="0.25">
      <c r="A1089" t="s">
        <v>614</v>
      </c>
      <c r="B1089" s="6">
        <v>46508</v>
      </c>
      <c r="C1089" t="s">
        <v>9</v>
      </c>
      <c r="D1089" t="s">
        <v>12</v>
      </c>
      <c r="K1089">
        <v>1</v>
      </c>
      <c r="L1089" t="s">
        <v>35</v>
      </c>
      <c r="Q1089" t="str">
        <f>IF(Team_Level[[#This Row],[Result]]="","",COUNTIFS(Team_Level[Team],Team_Level[[#This Row],[Team]],Team_Level[Date],"&gt;="&amp;Team_Level[[#This Row],[Date]],Team_Level[Result],"&lt;&gt;"))</f>
        <v/>
      </c>
      <c r="R1089" t="str">
        <f>Team_Level[[#This Row],[Team]]&amp;"-"&amp;Team_Level[[#This Row],[Recency Rank]]</f>
        <v>Leicester City-</v>
      </c>
      <c r="S1089" t="str">
        <f>IF(Team_Level[[#This Row],[Result]]="","",COUNTIFS(Team_Level[Team],Team_Level[[#This Row],[Team]],Team_Level[Date],"&lt;="&amp;Team_Level[[#This Row],[Date]],Team_Level[Result],"&lt;&gt;"))</f>
        <v/>
      </c>
      <c r="T1089" t="str">
        <f>Team_Level[[#This Row],[Team]]&amp;"-"&amp;Team_Level[[#This Row],[Chrono Rank]]</f>
        <v>Leicester City-</v>
      </c>
    </row>
    <row r="1090" spans="1:20" x14ac:dyDescent="0.25">
      <c r="A1090" t="s">
        <v>615</v>
      </c>
      <c r="B1090" s="6">
        <v>46508</v>
      </c>
      <c r="C1090" t="s">
        <v>33</v>
      </c>
      <c r="D1090" t="s">
        <v>13</v>
      </c>
      <c r="K1090">
        <v>1</v>
      </c>
      <c r="L1090" t="s">
        <v>35</v>
      </c>
      <c r="Q1090" t="str">
        <f>IF(Team_Level[[#This Row],[Result]]="","",COUNTIFS(Team_Level[Team],Team_Level[[#This Row],[Team]],Team_Level[Date],"&gt;="&amp;Team_Level[[#This Row],[Date]],Team_Level[Result],"&lt;&gt;"))</f>
        <v/>
      </c>
      <c r="R1090" t="str">
        <f>Team_Level[[#This Row],[Team]]&amp;"-"&amp;Team_Level[[#This Row],[Recency Rank]]</f>
        <v>Milton Keynes Dons-</v>
      </c>
      <c r="S1090" t="str">
        <f>IF(Team_Level[[#This Row],[Result]]="","",COUNTIFS(Team_Level[Team],Team_Level[[#This Row],[Team]],Team_Level[Date],"&lt;="&amp;Team_Level[[#This Row],[Date]],Team_Level[Result],"&lt;&gt;"))</f>
        <v/>
      </c>
      <c r="T1090" t="str">
        <f>Team_Level[[#This Row],[Team]]&amp;"-"&amp;Team_Level[[#This Row],[Chrono Rank]]</f>
        <v>Milton Keynes Dons-</v>
      </c>
    </row>
    <row r="1091" spans="1:20" x14ac:dyDescent="0.25">
      <c r="A1091" t="s">
        <v>616</v>
      </c>
      <c r="B1091" s="6">
        <v>46508</v>
      </c>
      <c r="C1091" t="s">
        <v>15</v>
      </c>
      <c r="D1091" t="s">
        <v>14</v>
      </c>
      <c r="K1091">
        <v>1</v>
      </c>
      <c r="L1091" t="s">
        <v>35</v>
      </c>
      <c r="Q1091" t="str">
        <f>IF(Team_Level[[#This Row],[Result]]="","",COUNTIFS(Team_Level[Team],Team_Level[[#This Row],[Team]],Team_Level[Date],"&gt;="&amp;Team_Level[[#This Row],[Date]],Team_Level[Result],"&lt;&gt;"))</f>
        <v/>
      </c>
      <c r="R1091" t="str">
        <f>Team_Level[[#This Row],[Team]]&amp;"-"&amp;Team_Level[[#This Row],[Recency Rank]]</f>
        <v>Peterborough United-</v>
      </c>
      <c r="S1091" t="str">
        <f>IF(Team_Level[[#This Row],[Result]]="","",COUNTIFS(Team_Level[Team],Team_Level[[#This Row],[Team]],Team_Level[Date],"&lt;="&amp;Team_Level[[#This Row],[Date]],Team_Level[Result],"&lt;&gt;"))</f>
        <v/>
      </c>
      <c r="T1091" t="str">
        <f>Team_Level[[#This Row],[Team]]&amp;"-"&amp;Team_Level[[#This Row],[Chrono Rank]]</f>
        <v>Peterborough United-</v>
      </c>
    </row>
    <row r="1092" spans="1:20" x14ac:dyDescent="0.25">
      <c r="A1092" t="s">
        <v>617</v>
      </c>
      <c r="B1092" s="6">
        <v>46508</v>
      </c>
      <c r="C1092" t="s">
        <v>21</v>
      </c>
      <c r="D1092" t="s">
        <v>16</v>
      </c>
      <c r="K1092">
        <v>1</v>
      </c>
      <c r="L1092" t="s">
        <v>35</v>
      </c>
      <c r="Q1092" t="str">
        <f>IF(Team_Level[[#This Row],[Result]]="","",COUNTIFS(Team_Level[Team],Team_Level[[#This Row],[Team]],Team_Level[Date],"&gt;="&amp;Team_Level[[#This Row],[Date]],Team_Level[Result],"&lt;&gt;"))</f>
        <v/>
      </c>
      <c r="R1092" t="str">
        <f>Team_Level[[#This Row],[Team]]&amp;"-"&amp;Team_Level[[#This Row],[Recency Rank]]</f>
        <v>Wigan Athletic-</v>
      </c>
      <c r="S1092" t="str">
        <f>IF(Team_Level[[#This Row],[Result]]="","",COUNTIFS(Team_Level[Team],Team_Level[[#This Row],[Team]],Team_Level[Date],"&lt;="&amp;Team_Level[[#This Row],[Date]],Team_Level[Result],"&lt;&gt;"))</f>
        <v/>
      </c>
      <c r="T1092" t="str">
        <f>Team_Level[[#This Row],[Team]]&amp;"-"&amp;Team_Level[[#This Row],[Chrono Rank]]</f>
        <v>Wigan Athletic-</v>
      </c>
    </row>
    <row r="1093" spans="1:20" x14ac:dyDescent="0.25">
      <c r="A1093" t="s">
        <v>618</v>
      </c>
      <c r="B1093" s="6">
        <v>46508</v>
      </c>
      <c r="C1093" t="s">
        <v>18</v>
      </c>
      <c r="D1093" t="s">
        <v>17</v>
      </c>
      <c r="K1093">
        <v>1</v>
      </c>
      <c r="L1093" t="s">
        <v>35</v>
      </c>
      <c r="Q1093" t="str">
        <f>IF(Team_Level[[#This Row],[Result]]="","",COUNTIFS(Team_Level[Team],Team_Level[[#This Row],[Team]],Team_Level[Date],"&gt;="&amp;Team_Level[[#This Row],[Date]],Team_Level[Result],"&lt;&gt;"))</f>
        <v/>
      </c>
      <c r="R1093" t="str">
        <f>Team_Level[[#This Row],[Team]]&amp;"-"&amp;Team_Level[[#This Row],[Recency Rank]]</f>
        <v>Sheffield Wednesday-</v>
      </c>
      <c r="S1093" t="str">
        <f>IF(Team_Level[[#This Row],[Result]]="","",COUNTIFS(Team_Level[Team],Team_Level[[#This Row],[Team]],Team_Level[Date],"&lt;="&amp;Team_Level[[#This Row],[Date]],Team_Level[Result],"&lt;&gt;"))</f>
        <v/>
      </c>
      <c r="T1093" t="str">
        <f>Team_Level[[#This Row],[Team]]&amp;"-"&amp;Team_Level[[#This Row],[Chrono Rank]]</f>
        <v>Sheffield Wednesday-</v>
      </c>
    </row>
    <row r="1094" spans="1:20" x14ac:dyDescent="0.25">
      <c r="A1094" t="s">
        <v>619</v>
      </c>
      <c r="B1094" s="6">
        <v>46515</v>
      </c>
      <c r="C1094" t="s">
        <v>13</v>
      </c>
      <c r="D1094" t="s">
        <v>0</v>
      </c>
      <c r="K1094">
        <v>1</v>
      </c>
      <c r="L1094" t="s">
        <v>35</v>
      </c>
      <c r="Q1094" t="str">
        <f>IF(Team_Level[[#This Row],[Result]]="","",COUNTIFS(Team_Level[Team],Team_Level[[#This Row],[Team]],Team_Level[Date],"&gt;="&amp;Team_Level[[#This Row],[Date]],Team_Level[Result],"&lt;&gt;"))</f>
        <v/>
      </c>
      <c r="R1094" t="str">
        <f>Team_Level[[#This Row],[Team]]&amp;"-"&amp;Team_Level[[#This Row],[Recency Rank]]</f>
        <v>Notts County-</v>
      </c>
      <c r="S1094" t="str">
        <f>IF(Team_Level[[#This Row],[Result]]="","",COUNTIFS(Team_Level[Team],Team_Level[[#This Row],[Team]],Team_Level[Date],"&lt;="&amp;Team_Level[[#This Row],[Date]],Team_Level[Result],"&lt;&gt;"))</f>
        <v/>
      </c>
      <c r="T1094" t="str">
        <f>Team_Level[[#This Row],[Team]]&amp;"-"&amp;Team_Level[[#This Row],[Chrono Rank]]</f>
        <v>Notts County-</v>
      </c>
    </row>
    <row r="1095" spans="1:20" x14ac:dyDescent="0.25">
      <c r="A1095" t="s">
        <v>620</v>
      </c>
      <c r="B1095" s="6">
        <v>46515</v>
      </c>
      <c r="C1095" t="s">
        <v>16</v>
      </c>
      <c r="D1095" t="s">
        <v>4</v>
      </c>
      <c r="K1095">
        <v>1</v>
      </c>
      <c r="L1095" t="s">
        <v>35</v>
      </c>
      <c r="Q1095" t="str">
        <f>IF(Team_Level[[#This Row],[Result]]="","",COUNTIFS(Team_Level[Team],Team_Level[[#This Row],[Team]],Team_Level[Date],"&gt;="&amp;Team_Level[[#This Row],[Date]],Team_Level[Result],"&lt;&gt;"))</f>
        <v/>
      </c>
      <c r="R1095" t="str">
        <f>Team_Level[[#This Row],[Team]]&amp;"-"&amp;Team_Level[[#This Row],[Recency Rank]]</f>
        <v>Plymouth Argyle-</v>
      </c>
      <c r="S1095" t="str">
        <f>IF(Team_Level[[#This Row],[Result]]="","",COUNTIFS(Team_Level[Team],Team_Level[[#This Row],[Team]],Team_Level[Date],"&lt;="&amp;Team_Level[[#This Row],[Date]],Team_Level[Result],"&lt;&gt;"))</f>
        <v/>
      </c>
      <c r="T1095" t="str">
        <f>Team_Level[[#This Row],[Team]]&amp;"-"&amp;Team_Level[[#This Row],[Chrono Rank]]</f>
        <v>Plymouth Argyle-</v>
      </c>
    </row>
    <row r="1096" spans="1:20" x14ac:dyDescent="0.25">
      <c r="A1096" t="s">
        <v>621</v>
      </c>
      <c r="B1096" s="6">
        <v>46515</v>
      </c>
      <c r="C1096" t="s">
        <v>17</v>
      </c>
      <c r="D1096" t="s">
        <v>7</v>
      </c>
      <c r="K1096">
        <v>1</v>
      </c>
      <c r="L1096" t="s">
        <v>35</v>
      </c>
      <c r="Q1096" t="str">
        <f>IF(Team_Level[[#This Row],[Result]]="","",COUNTIFS(Team_Level[Team],Team_Level[[#This Row],[Team]],Team_Level[Date],"&gt;="&amp;Team_Level[[#This Row],[Date]],Team_Level[Result],"&lt;&gt;"))</f>
        <v/>
      </c>
      <c r="R1096" t="str">
        <f>Team_Level[[#This Row],[Team]]&amp;"-"&amp;Team_Level[[#This Row],[Recency Rank]]</f>
        <v>Reading-</v>
      </c>
      <c r="S1096" t="str">
        <f>IF(Team_Level[[#This Row],[Result]]="","",COUNTIFS(Team_Level[Team],Team_Level[[#This Row],[Team]],Team_Level[Date],"&lt;="&amp;Team_Level[[#This Row],[Date]],Team_Level[Result],"&lt;&gt;"))</f>
        <v/>
      </c>
      <c r="T1096" t="str">
        <f>Team_Level[[#This Row],[Team]]&amp;"-"&amp;Team_Level[[#This Row],[Chrono Rank]]</f>
        <v>Reading-</v>
      </c>
    </row>
    <row r="1097" spans="1:20" x14ac:dyDescent="0.25">
      <c r="A1097" t="s">
        <v>622</v>
      </c>
      <c r="B1097" s="6">
        <v>46515</v>
      </c>
      <c r="C1097" t="s">
        <v>6</v>
      </c>
      <c r="D1097" t="s">
        <v>9</v>
      </c>
      <c r="K1097">
        <v>1</v>
      </c>
      <c r="L1097" t="s">
        <v>35</v>
      </c>
      <c r="Q1097" t="str">
        <f>IF(Team_Level[[#This Row],[Result]]="","",COUNTIFS(Team_Level[Team],Team_Level[[#This Row],[Team]],Team_Level[Date],"&gt;="&amp;Team_Level[[#This Row],[Date]],Team_Level[Result],"&lt;&gt;"))</f>
        <v/>
      </c>
      <c r="R1097" t="str">
        <f>Team_Level[[#This Row],[Team]]&amp;"-"&amp;Team_Level[[#This Row],[Recency Rank]]</f>
        <v>Cambridge United-</v>
      </c>
      <c r="S1097" t="str">
        <f>IF(Team_Level[[#This Row],[Result]]="","",COUNTIFS(Team_Level[Team],Team_Level[[#This Row],[Team]],Team_Level[Date],"&lt;="&amp;Team_Level[[#This Row],[Date]],Team_Level[Result],"&lt;&gt;"))</f>
        <v/>
      </c>
      <c r="T1097" t="str">
        <f>Team_Level[[#This Row],[Team]]&amp;"-"&amp;Team_Level[[#This Row],[Chrono Rank]]</f>
        <v>Cambridge United-</v>
      </c>
    </row>
    <row r="1098" spans="1:20" x14ac:dyDescent="0.25">
      <c r="A1098" t="s">
        <v>623</v>
      </c>
      <c r="B1098" s="6">
        <v>46515</v>
      </c>
      <c r="C1098" t="s">
        <v>2</v>
      </c>
      <c r="D1098" t="s">
        <v>11</v>
      </c>
      <c r="K1098">
        <v>1</v>
      </c>
      <c r="L1098" t="s">
        <v>35</v>
      </c>
      <c r="Q1098" t="str">
        <f>IF(Team_Level[[#This Row],[Result]]="","",COUNTIFS(Team_Level[Team],Team_Level[[#This Row],[Team]],Team_Level[Date],"&gt;="&amp;Team_Level[[#This Row],[Date]],Team_Level[Result],"&lt;&gt;"))</f>
        <v/>
      </c>
      <c r="R1098" t="str">
        <f>Team_Level[[#This Row],[Team]]&amp;"-"&amp;Team_Level[[#This Row],[Recency Rank]]</f>
        <v>Blackpool-</v>
      </c>
      <c r="S1098" t="str">
        <f>IF(Team_Level[[#This Row],[Result]]="","",COUNTIFS(Team_Level[Team],Team_Level[[#This Row],[Team]],Team_Level[Date],"&lt;="&amp;Team_Level[[#This Row],[Date]],Team_Level[Result],"&lt;&gt;"))</f>
        <v/>
      </c>
      <c r="T1098" t="str">
        <f>Team_Level[[#This Row],[Team]]&amp;"-"&amp;Team_Level[[#This Row],[Chrono Rank]]</f>
        <v>Blackpool-</v>
      </c>
    </row>
    <row r="1099" spans="1:20" x14ac:dyDescent="0.25">
      <c r="A1099" t="s">
        <v>624</v>
      </c>
      <c r="B1099" s="6">
        <v>46515</v>
      </c>
      <c r="C1099" t="s">
        <v>3</v>
      </c>
      <c r="D1099" t="s">
        <v>33</v>
      </c>
      <c r="K1099">
        <v>1</v>
      </c>
      <c r="L1099" t="s">
        <v>35</v>
      </c>
      <c r="Q1099" t="str">
        <f>IF(Team_Level[[#This Row],[Result]]="","",COUNTIFS(Team_Level[Team],Team_Level[[#This Row],[Team]],Team_Level[Date],"&gt;="&amp;Team_Level[[#This Row],[Date]],Team_Level[Result],"&lt;&gt;"))</f>
        <v/>
      </c>
      <c r="R1099" t="str">
        <f>Team_Level[[#This Row],[Team]]&amp;"-"&amp;Team_Level[[#This Row],[Recency Rank]]</f>
        <v>Bradford City-</v>
      </c>
      <c r="S1099" t="str">
        <f>IF(Team_Level[[#This Row],[Result]]="","",COUNTIFS(Team_Level[Team],Team_Level[[#This Row],[Team]],Team_Level[Date],"&lt;="&amp;Team_Level[[#This Row],[Date]],Team_Level[Result],"&lt;&gt;"))</f>
        <v/>
      </c>
      <c r="T1099" t="str">
        <f>Team_Level[[#This Row],[Team]]&amp;"-"&amp;Team_Level[[#This Row],[Chrono Rank]]</f>
        <v>Bradford City-</v>
      </c>
    </row>
    <row r="1100" spans="1:20" x14ac:dyDescent="0.25">
      <c r="A1100" t="s">
        <v>625</v>
      </c>
      <c r="B1100" s="6">
        <v>46515</v>
      </c>
      <c r="C1100" t="s">
        <v>10</v>
      </c>
      <c r="D1100" t="s">
        <v>15</v>
      </c>
      <c r="K1100">
        <v>1</v>
      </c>
      <c r="L1100" t="s">
        <v>35</v>
      </c>
      <c r="Q1100" t="str">
        <f>IF(Team_Level[[#This Row],[Result]]="","",COUNTIFS(Team_Level[Team],Team_Level[[#This Row],[Team]],Team_Level[Date],"&gt;="&amp;Team_Level[[#This Row],[Date]],Team_Level[Result],"&lt;&gt;"))</f>
        <v/>
      </c>
      <c r="R1100" t="str">
        <f>Team_Level[[#This Row],[Team]]&amp;"-"&amp;Team_Level[[#This Row],[Recency Rank]]</f>
        <v>Leyton Orient-</v>
      </c>
      <c r="S1100" t="str">
        <f>IF(Team_Level[[#This Row],[Result]]="","",COUNTIFS(Team_Level[Team],Team_Level[[#This Row],[Team]],Team_Level[Date],"&lt;="&amp;Team_Level[[#This Row],[Date]],Team_Level[Result],"&lt;&gt;"))</f>
        <v/>
      </c>
      <c r="T1100" t="str">
        <f>Team_Level[[#This Row],[Team]]&amp;"-"&amp;Team_Level[[#This Row],[Chrono Rank]]</f>
        <v>Leyton Orient-</v>
      </c>
    </row>
    <row r="1101" spans="1:20" x14ac:dyDescent="0.25">
      <c r="A1101" t="s">
        <v>626</v>
      </c>
      <c r="B1101" s="6">
        <v>46515</v>
      </c>
      <c r="C1101" t="s">
        <v>14</v>
      </c>
      <c r="D1101" t="s">
        <v>18</v>
      </c>
      <c r="K1101">
        <v>1</v>
      </c>
      <c r="L1101" t="s">
        <v>35</v>
      </c>
      <c r="Q1101" t="str">
        <f>IF(Team_Level[[#This Row],[Result]]="","",COUNTIFS(Team_Level[Team],Team_Level[[#This Row],[Team]],Team_Level[Date],"&gt;="&amp;Team_Level[[#This Row],[Date]],Team_Level[Result],"&lt;&gt;"))</f>
        <v/>
      </c>
      <c r="R1101" t="str">
        <f>Team_Level[[#This Row],[Team]]&amp;"-"&amp;Team_Level[[#This Row],[Recency Rank]]</f>
        <v>Oxford United-</v>
      </c>
      <c r="S1101" t="str">
        <f>IF(Team_Level[[#This Row],[Result]]="","",COUNTIFS(Team_Level[Team],Team_Level[[#This Row],[Team]],Team_Level[Date],"&lt;="&amp;Team_Level[[#This Row],[Date]],Team_Level[Result],"&lt;&gt;"))</f>
        <v/>
      </c>
      <c r="T1101" t="str">
        <f>Team_Level[[#This Row],[Team]]&amp;"-"&amp;Team_Level[[#This Row],[Chrono Rank]]</f>
        <v>Oxford United-</v>
      </c>
    </row>
    <row r="1102" spans="1:20" x14ac:dyDescent="0.25">
      <c r="A1102" t="s">
        <v>627</v>
      </c>
      <c r="B1102" s="6">
        <v>46515</v>
      </c>
      <c r="C1102" t="s">
        <v>8</v>
      </c>
      <c r="D1102" t="s">
        <v>19</v>
      </c>
      <c r="K1102">
        <v>1</v>
      </c>
      <c r="L1102" t="s">
        <v>35</v>
      </c>
      <c r="Q1102" t="str">
        <f>IF(Team_Level[[#This Row],[Result]]="","",COUNTIFS(Team_Level[Team],Team_Level[[#This Row],[Team]],Team_Level[Date],"&gt;="&amp;Team_Level[[#This Row],[Date]],Team_Level[Result],"&lt;&gt;"))</f>
        <v/>
      </c>
      <c r="R1102" t="str">
        <f>Team_Level[[#This Row],[Team]]&amp;"-"&amp;Team_Level[[#This Row],[Recency Rank]]</f>
        <v>Huddersfield Town-</v>
      </c>
      <c r="S1102" t="str">
        <f>IF(Team_Level[[#This Row],[Result]]="","",COUNTIFS(Team_Level[Team],Team_Level[[#This Row],[Team]],Team_Level[Date],"&lt;="&amp;Team_Level[[#This Row],[Date]],Team_Level[Result],"&lt;&gt;"))</f>
        <v/>
      </c>
      <c r="T1102" t="str">
        <f>Team_Level[[#This Row],[Team]]&amp;"-"&amp;Team_Level[[#This Row],[Chrono Rank]]</f>
        <v>Huddersfield Town-</v>
      </c>
    </row>
    <row r="1103" spans="1:20" x14ac:dyDescent="0.25">
      <c r="A1103" t="s">
        <v>628</v>
      </c>
      <c r="B1103" s="6">
        <v>46515</v>
      </c>
      <c r="C1103" t="s">
        <v>12</v>
      </c>
      <c r="D1103" t="s">
        <v>20</v>
      </c>
      <c r="K1103">
        <v>1</v>
      </c>
      <c r="L1103" t="s">
        <v>35</v>
      </c>
      <c r="Q1103" t="str">
        <f>IF(Team_Level[[#This Row],[Result]]="","",COUNTIFS(Team_Level[Team],Team_Level[[#This Row],[Team]],Team_Level[Date],"&gt;="&amp;Team_Level[[#This Row],[Date]],Team_Level[Result],"&lt;&gt;"))</f>
        <v/>
      </c>
      <c r="R1103" t="str">
        <f>Team_Level[[#This Row],[Team]]&amp;"-"&amp;Team_Level[[#This Row],[Recency Rank]]</f>
        <v>Mansfield Town-</v>
      </c>
      <c r="S1103" t="str">
        <f>IF(Team_Level[[#This Row],[Result]]="","",COUNTIFS(Team_Level[Team],Team_Level[[#This Row],[Team]],Team_Level[Date],"&lt;="&amp;Team_Level[[#This Row],[Date]],Team_Level[Result],"&lt;&gt;"))</f>
        <v/>
      </c>
      <c r="T1103" t="str">
        <f>Team_Level[[#This Row],[Team]]&amp;"-"&amp;Team_Level[[#This Row],[Chrono Rank]]</f>
        <v>Mansfield Town-</v>
      </c>
    </row>
    <row r="1104" spans="1:20" x14ac:dyDescent="0.25">
      <c r="A1104" t="s">
        <v>629</v>
      </c>
      <c r="B1104" s="6">
        <v>46515</v>
      </c>
      <c r="C1104" t="s">
        <v>5</v>
      </c>
      <c r="D1104" t="s">
        <v>21</v>
      </c>
      <c r="K1104">
        <v>1</v>
      </c>
      <c r="L1104" t="s">
        <v>35</v>
      </c>
      <c r="Q1104" t="str">
        <f>IF(Team_Level[[#This Row],[Result]]="","",COUNTIFS(Team_Level[Team],Team_Level[[#This Row],[Team]],Team_Level[Date],"&gt;="&amp;Team_Level[[#This Row],[Date]],Team_Level[Result],"&lt;&gt;"))</f>
        <v/>
      </c>
      <c r="R1104" t="str">
        <f>Team_Level[[#This Row],[Team]]&amp;"-"&amp;Team_Level[[#This Row],[Recency Rank]]</f>
        <v>Burton Albion-</v>
      </c>
      <c r="S1104" t="str">
        <f>IF(Team_Level[[#This Row],[Result]]="","",COUNTIFS(Team_Level[Team],Team_Level[[#This Row],[Team]],Team_Level[Date],"&lt;="&amp;Team_Level[[#This Row],[Date]],Team_Level[Result],"&lt;&gt;"))</f>
        <v/>
      </c>
      <c r="T1104" t="str">
        <f>Team_Level[[#This Row],[Team]]&amp;"-"&amp;Team_Level[[#This Row],[Chrono Rank]]</f>
        <v>Burton Albion-</v>
      </c>
    </row>
    <row r="1105" spans="1:20" x14ac:dyDescent="0.25">
      <c r="A1105" t="s">
        <v>630</v>
      </c>
      <c r="B1105" s="6">
        <v>46515</v>
      </c>
      <c r="C1105" t="s">
        <v>1</v>
      </c>
      <c r="D1105" t="s">
        <v>22</v>
      </c>
      <c r="K1105">
        <v>1</v>
      </c>
      <c r="L1105" t="s">
        <v>35</v>
      </c>
      <c r="Q1105" t="str">
        <f>IF(Team_Level[[#This Row],[Result]]="","",COUNTIFS(Team_Level[Team],Team_Level[[#This Row],[Team]],Team_Level[Date],"&gt;="&amp;Team_Level[[#This Row],[Date]],Team_Level[Result],"&lt;&gt;"))</f>
        <v/>
      </c>
      <c r="R1105" t="str">
        <f>Team_Level[[#This Row],[Team]]&amp;"-"&amp;Team_Level[[#This Row],[Recency Rank]]</f>
        <v>Barnsley-</v>
      </c>
      <c r="S1105" t="str">
        <f>IF(Team_Level[[#This Row],[Result]]="","",COUNTIFS(Team_Level[Team],Team_Level[[#This Row],[Team]],Team_Level[Date],"&lt;="&amp;Team_Level[[#This Row],[Date]],Team_Level[Result],"&lt;&gt;"))</f>
        <v/>
      </c>
      <c r="T1105" t="str">
        <f>Team_Level[[#This Row],[Team]]&amp;"-"&amp;Team_Level[[#This Row],[Chrono Rank]]</f>
        <v>Barnsley-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F354-ECE5-4689-8DDD-FA0C143525F7}">
  <dimension ref="A1:P56"/>
  <sheetViews>
    <sheetView topLeftCell="A25" workbookViewId="0">
      <selection activeCell="P2" sqref="P2"/>
    </sheetView>
  </sheetViews>
  <sheetFormatPr defaultRowHeight="15" x14ac:dyDescent="0.25"/>
  <cols>
    <col min="1" max="1" width="20.28515625" bestFit="1" customWidth="1"/>
    <col min="2" max="2" width="9.28515625" bestFit="1" customWidth="1"/>
    <col min="3" max="3" width="7" bestFit="1" customWidth="1"/>
    <col min="4" max="4" width="13.140625" bestFit="1" customWidth="1"/>
    <col min="5" max="5" width="10.42578125" bestFit="1" customWidth="1"/>
    <col min="6" max="6" width="12.7109375" bestFit="1" customWidth="1"/>
    <col min="7" max="7" width="13.85546875" bestFit="1" customWidth="1"/>
    <col min="8" max="8" width="20.42578125" bestFit="1" customWidth="1"/>
    <col min="9" max="10" width="14.140625" bestFit="1" customWidth="1"/>
    <col min="13" max="13" width="20.28515625" bestFit="1" customWidth="1"/>
    <col min="14" max="14" width="7" bestFit="1" customWidth="1"/>
    <col min="15" max="15" width="10.42578125" bestFit="1" customWidth="1"/>
    <col min="16" max="16" width="12" bestFit="1" customWidth="1"/>
  </cols>
  <sheetData>
    <row r="1" spans="1:16" x14ac:dyDescent="0.25">
      <c r="A1" s="7" t="s">
        <v>55</v>
      </c>
      <c r="B1" t="s">
        <v>60</v>
      </c>
      <c r="C1" t="s">
        <v>58</v>
      </c>
      <c r="D1" t="s">
        <v>61</v>
      </c>
      <c r="E1" t="s">
        <v>59</v>
      </c>
      <c r="F1" t="s">
        <v>62</v>
      </c>
      <c r="G1" t="s">
        <v>63</v>
      </c>
      <c r="H1" t="s">
        <v>64</v>
      </c>
      <c r="I1" t="s">
        <v>66</v>
      </c>
      <c r="M1" s="7" t="s">
        <v>55</v>
      </c>
      <c r="N1" t="s">
        <v>58</v>
      </c>
      <c r="O1" t="s">
        <v>59</v>
      </c>
      <c r="P1" t="s">
        <v>62</v>
      </c>
    </row>
    <row r="2" spans="1:16" x14ac:dyDescent="0.25">
      <c r="A2" s="43" t="s">
        <v>0</v>
      </c>
      <c r="B2">
        <v>5</v>
      </c>
      <c r="C2">
        <v>4.93</v>
      </c>
      <c r="D2">
        <v>7</v>
      </c>
      <c r="E2">
        <v>9.4000000000000021</v>
      </c>
      <c r="F2">
        <v>-4.4700000000000015</v>
      </c>
      <c r="G2">
        <v>-2</v>
      </c>
      <c r="H2">
        <v>7.0000000000000062E-2</v>
      </c>
      <c r="I2">
        <v>6</v>
      </c>
      <c r="M2" s="43" t="s">
        <v>0</v>
      </c>
      <c r="N2">
        <v>4.93</v>
      </c>
      <c r="O2">
        <v>9.4000000000000021</v>
      </c>
      <c r="P2">
        <v>-4.4700000000000015</v>
      </c>
    </row>
    <row r="3" spans="1:16" x14ac:dyDescent="0.25">
      <c r="A3" s="43" t="s">
        <v>1</v>
      </c>
      <c r="B3">
        <v>6</v>
      </c>
      <c r="C3">
        <v>8.33</v>
      </c>
      <c r="D3">
        <v>11</v>
      </c>
      <c r="E3">
        <v>9.2900000000000009</v>
      </c>
      <c r="F3">
        <v>-0.95999999999999974</v>
      </c>
      <c r="G3">
        <v>-5</v>
      </c>
      <c r="H3">
        <v>-2.33</v>
      </c>
      <c r="I3">
        <v>6</v>
      </c>
      <c r="M3" s="43" t="s">
        <v>1</v>
      </c>
      <c r="N3">
        <v>8.33</v>
      </c>
      <c r="O3">
        <v>9.2900000000000009</v>
      </c>
      <c r="P3">
        <v>-0.95999999999999974</v>
      </c>
    </row>
    <row r="4" spans="1:16" x14ac:dyDescent="0.25">
      <c r="A4" s="43" t="s">
        <v>2</v>
      </c>
      <c r="B4">
        <v>11</v>
      </c>
      <c r="C4">
        <v>10.969999999999999</v>
      </c>
      <c r="D4">
        <v>9</v>
      </c>
      <c r="E4">
        <v>13.4</v>
      </c>
      <c r="F4">
        <v>-2.4300000000000006</v>
      </c>
      <c r="G4">
        <v>2</v>
      </c>
      <c r="H4">
        <v>3.0000000000000027E-2</v>
      </c>
      <c r="I4">
        <v>6</v>
      </c>
      <c r="M4" s="43" t="s">
        <v>2</v>
      </c>
      <c r="N4">
        <v>10.969999999999999</v>
      </c>
      <c r="O4">
        <v>13.4</v>
      </c>
      <c r="P4">
        <v>-2.4300000000000006</v>
      </c>
    </row>
    <row r="5" spans="1:16" x14ac:dyDescent="0.25">
      <c r="A5" s="43" t="s">
        <v>3</v>
      </c>
      <c r="B5">
        <v>6</v>
      </c>
      <c r="C5">
        <v>7.1700000000000008</v>
      </c>
      <c r="D5">
        <v>4</v>
      </c>
      <c r="E5">
        <v>5.1700000000000008</v>
      </c>
      <c r="F5">
        <v>2.0000000000000009</v>
      </c>
      <c r="G5">
        <v>2</v>
      </c>
      <c r="H5">
        <v>-1.1700000000000002</v>
      </c>
      <c r="I5">
        <v>6</v>
      </c>
      <c r="M5" s="43" t="s">
        <v>3</v>
      </c>
      <c r="N5">
        <v>7.1700000000000008</v>
      </c>
      <c r="O5">
        <v>5.1700000000000008</v>
      </c>
      <c r="P5">
        <v>2.0000000000000009</v>
      </c>
    </row>
    <row r="6" spans="1:16" x14ac:dyDescent="0.25">
      <c r="A6" s="43" t="s">
        <v>4</v>
      </c>
      <c r="B6">
        <v>6</v>
      </c>
      <c r="C6">
        <v>6.06</v>
      </c>
      <c r="D6">
        <v>17</v>
      </c>
      <c r="E6">
        <v>10.76</v>
      </c>
      <c r="F6">
        <v>-4.7</v>
      </c>
      <c r="G6">
        <v>-11</v>
      </c>
      <c r="H6">
        <v>-5.9999999999999831E-2</v>
      </c>
      <c r="I6">
        <v>6</v>
      </c>
      <c r="M6" s="43" t="s">
        <v>4</v>
      </c>
      <c r="N6">
        <v>6.06</v>
      </c>
      <c r="O6">
        <v>10.76</v>
      </c>
      <c r="P6">
        <v>-4.7</v>
      </c>
    </row>
    <row r="7" spans="1:16" x14ac:dyDescent="0.25">
      <c r="A7" s="43" t="s">
        <v>5</v>
      </c>
      <c r="B7">
        <v>10</v>
      </c>
      <c r="C7">
        <v>5.57</v>
      </c>
      <c r="D7">
        <v>10</v>
      </c>
      <c r="E7">
        <v>7.67</v>
      </c>
      <c r="F7">
        <v>-2.0999999999999996</v>
      </c>
      <c r="G7">
        <v>0</v>
      </c>
      <c r="H7">
        <v>4.43</v>
      </c>
      <c r="I7">
        <v>6</v>
      </c>
      <c r="M7" s="43" t="s">
        <v>5</v>
      </c>
      <c r="N7">
        <v>5.57</v>
      </c>
      <c r="O7">
        <v>7.67</v>
      </c>
      <c r="P7">
        <v>-2.0999999999999996</v>
      </c>
    </row>
    <row r="8" spans="1:16" x14ac:dyDescent="0.25">
      <c r="A8" s="43" t="s">
        <v>6</v>
      </c>
      <c r="B8">
        <v>11</v>
      </c>
      <c r="C8">
        <v>5.830000000000001</v>
      </c>
      <c r="D8">
        <v>9</v>
      </c>
      <c r="E8">
        <v>10.39</v>
      </c>
      <c r="F8">
        <v>-4.5600000000000005</v>
      </c>
      <c r="G8">
        <v>2</v>
      </c>
      <c r="H8">
        <v>5.17</v>
      </c>
      <c r="I8">
        <v>6</v>
      </c>
      <c r="M8" s="43" t="s">
        <v>6</v>
      </c>
      <c r="N8">
        <v>5.830000000000001</v>
      </c>
      <c r="O8">
        <v>10.39</v>
      </c>
      <c r="P8">
        <v>-4.5600000000000005</v>
      </c>
    </row>
    <row r="9" spans="1:16" x14ac:dyDescent="0.25">
      <c r="A9" s="43" t="s">
        <v>7</v>
      </c>
      <c r="B9">
        <v>6</v>
      </c>
      <c r="C9">
        <v>9.39</v>
      </c>
      <c r="D9">
        <v>9</v>
      </c>
      <c r="E9">
        <v>6.6899999999999995</v>
      </c>
      <c r="F9">
        <v>2.7000000000000006</v>
      </c>
      <c r="G9">
        <v>-3</v>
      </c>
      <c r="H9">
        <v>-3.3900000000000006</v>
      </c>
      <c r="I9">
        <v>6</v>
      </c>
      <c r="M9" s="43" t="s">
        <v>7</v>
      </c>
      <c r="N9">
        <v>9.39</v>
      </c>
      <c r="O9">
        <v>6.6899999999999995</v>
      </c>
      <c r="P9">
        <v>2.7000000000000006</v>
      </c>
    </row>
    <row r="10" spans="1:16" x14ac:dyDescent="0.25">
      <c r="A10" s="43" t="s">
        <v>8</v>
      </c>
      <c r="B10">
        <v>10</v>
      </c>
      <c r="C10">
        <v>11.04</v>
      </c>
      <c r="D10">
        <v>4</v>
      </c>
      <c r="E10">
        <v>6.25</v>
      </c>
      <c r="F10">
        <v>4.79</v>
      </c>
      <c r="G10">
        <v>6</v>
      </c>
      <c r="H10">
        <v>-1.0399999999999998</v>
      </c>
      <c r="I10">
        <v>6</v>
      </c>
      <c r="M10" s="43" t="s">
        <v>8</v>
      </c>
      <c r="N10">
        <v>11.04</v>
      </c>
      <c r="O10">
        <v>6.25</v>
      </c>
      <c r="P10">
        <v>4.79</v>
      </c>
    </row>
    <row r="11" spans="1:16" x14ac:dyDescent="0.25">
      <c r="A11" s="43" t="s">
        <v>9</v>
      </c>
      <c r="B11">
        <v>8</v>
      </c>
      <c r="C11">
        <v>7.580000000000001</v>
      </c>
      <c r="D11">
        <v>10</v>
      </c>
      <c r="E11">
        <v>9.2899999999999991</v>
      </c>
      <c r="F11">
        <v>-1.71</v>
      </c>
      <c r="G11">
        <v>-2</v>
      </c>
      <c r="H11">
        <v>0.41999999999999993</v>
      </c>
      <c r="I11">
        <v>6</v>
      </c>
      <c r="M11" s="43" t="s">
        <v>9</v>
      </c>
      <c r="N11">
        <v>7.580000000000001</v>
      </c>
      <c r="O11">
        <v>9.2899999999999991</v>
      </c>
      <c r="P11">
        <v>-1.71</v>
      </c>
    </row>
    <row r="12" spans="1:16" x14ac:dyDescent="0.25">
      <c r="A12" s="43" t="s">
        <v>10</v>
      </c>
      <c r="B12">
        <v>12</v>
      </c>
      <c r="C12">
        <v>6.74</v>
      </c>
      <c r="D12">
        <v>9</v>
      </c>
      <c r="E12">
        <v>10.43</v>
      </c>
      <c r="F12">
        <v>-3.6899999999999995</v>
      </c>
      <c r="G12">
        <v>3</v>
      </c>
      <c r="H12">
        <v>5.26</v>
      </c>
      <c r="I12">
        <v>6</v>
      </c>
      <c r="M12" s="43" t="s">
        <v>10</v>
      </c>
      <c r="N12">
        <v>6.74</v>
      </c>
      <c r="O12">
        <v>10.43</v>
      </c>
      <c r="P12">
        <v>-3.6899999999999995</v>
      </c>
    </row>
    <row r="13" spans="1:16" x14ac:dyDescent="0.25">
      <c r="A13" s="43" t="s">
        <v>11</v>
      </c>
      <c r="B13">
        <v>12</v>
      </c>
      <c r="C13">
        <v>9.35</v>
      </c>
      <c r="D13">
        <v>13</v>
      </c>
      <c r="E13">
        <v>6.4500000000000011</v>
      </c>
      <c r="F13">
        <v>2.9</v>
      </c>
      <c r="G13">
        <v>-1</v>
      </c>
      <c r="H13">
        <v>2.65</v>
      </c>
      <c r="I13">
        <v>6</v>
      </c>
      <c r="M13" s="43" t="s">
        <v>11</v>
      </c>
      <c r="N13">
        <v>9.35</v>
      </c>
      <c r="O13">
        <v>6.4500000000000011</v>
      </c>
      <c r="P13">
        <v>2.9</v>
      </c>
    </row>
    <row r="14" spans="1:16" x14ac:dyDescent="0.25">
      <c r="A14" s="43" t="s">
        <v>12</v>
      </c>
      <c r="B14">
        <v>8</v>
      </c>
      <c r="C14">
        <v>8.1999999999999993</v>
      </c>
      <c r="D14">
        <v>11</v>
      </c>
      <c r="E14">
        <v>8.5399999999999991</v>
      </c>
      <c r="F14">
        <v>-0.34000000000000041</v>
      </c>
      <c r="G14">
        <v>-3</v>
      </c>
      <c r="H14">
        <v>-0.20000000000000018</v>
      </c>
      <c r="I14">
        <v>6</v>
      </c>
      <c r="M14" s="43" t="s">
        <v>12</v>
      </c>
      <c r="N14">
        <v>8.1999999999999993</v>
      </c>
      <c r="O14">
        <v>8.5399999999999991</v>
      </c>
      <c r="P14">
        <v>-0.34000000000000041</v>
      </c>
    </row>
    <row r="15" spans="1:16" x14ac:dyDescent="0.25">
      <c r="A15" s="43" t="s">
        <v>33</v>
      </c>
      <c r="B15">
        <v>8</v>
      </c>
      <c r="C15">
        <v>8.57</v>
      </c>
      <c r="D15">
        <v>10</v>
      </c>
      <c r="E15">
        <v>10.42</v>
      </c>
      <c r="F15">
        <v>-1.8499999999999996</v>
      </c>
      <c r="G15">
        <v>-2</v>
      </c>
      <c r="H15">
        <v>-0.57000000000000006</v>
      </c>
      <c r="I15">
        <v>6</v>
      </c>
      <c r="M15" s="43" t="s">
        <v>33</v>
      </c>
      <c r="N15">
        <v>8.57</v>
      </c>
      <c r="O15">
        <v>10.42</v>
      </c>
      <c r="P15">
        <v>-1.8499999999999996</v>
      </c>
    </row>
    <row r="16" spans="1:16" x14ac:dyDescent="0.25">
      <c r="A16" s="43" t="s">
        <v>13</v>
      </c>
      <c r="B16">
        <v>7</v>
      </c>
      <c r="C16">
        <v>7.830000000000001</v>
      </c>
      <c r="D16">
        <v>7</v>
      </c>
      <c r="E16">
        <v>5.73</v>
      </c>
      <c r="F16">
        <v>2.1000000000000005</v>
      </c>
      <c r="G16">
        <v>0</v>
      </c>
      <c r="H16">
        <v>-0.83000000000000018</v>
      </c>
      <c r="I16">
        <v>6</v>
      </c>
      <c r="M16" s="43" t="s">
        <v>13</v>
      </c>
      <c r="N16">
        <v>7.830000000000001</v>
      </c>
      <c r="O16">
        <v>5.73</v>
      </c>
      <c r="P16">
        <v>2.1000000000000005</v>
      </c>
    </row>
    <row r="17" spans="1:16" x14ac:dyDescent="0.25">
      <c r="A17" s="43" t="s">
        <v>14</v>
      </c>
      <c r="B17">
        <v>12</v>
      </c>
      <c r="C17">
        <v>7.7200000000000006</v>
      </c>
      <c r="D17">
        <v>6</v>
      </c>
      <c r="E17">
        <v>8.49</v>
      </c>
      <c r="F17">
        <v>-0.77000000000000024</v>
      </c>
      <c r="G17">
        <v>6</v>
      </c>
      <c r="H17">
        <v>4.2799999999999994</v>
      </c>
      <c r="I17">
        <v>5</v>
      </c>
      <c r="M17" s="43" t="s">
        <v>14</v>
      </c>
      <c r="N17">
        <v>7.7200000000000006</v>
      </c>
      <c r="O17">
        <v>8.49</v>
      </c>
      <c r="P17">
        <v>-0.77000000000000024</v>
      </c>
    </row>
    <row r="18" spans="1:16" x14ac:dyDescent="0.25">
      <c r="A18" s="43" t="s">
        <v>15</v>
      </c>
      <c r="B18">
        <v>4</v>
      </c>
      <c r="C18">
        <v>8.3099999999999987</v>
      </c>
      <c r="D18">
        <v>10</v>
      </c>
      <c r="E18">
        <v>9.02</v>
      </c>
      <c r="F18">
        <v>-0.71</v>
      </c>
      <c r="G18">
        <v>-6</v>
      </c>
      <c r="H18">
        <v>-4.3099999999999996</v>
      </c>
      <c r="I18">
        <v>6</v>
      </c>
      <c r="M18" s="43" t="s">
        <v>15</v>
      </c>
      <c r="N18">
        <v>8.3099999999999987</v>
      </c>
      <c r="O18">
        <v>9.02</v>
      </c>
      <c r="P18">
        <v>-0.71</v>
      </c>
    </row>
    <row r="19" spans="1:16" x14ac:dyDescent="0.25">
      <c r="A19" s="43" t="s">
        <v>16</v>
      </c>
      <c r="B19">
        <v>10</v>
      </c>
      <c r="C19">
        <v>7.6099999999999994</v>
      </c>
      <c r="D19">
        <v>8</v>
      </c>
      <c r="E19">
        <v>9.4600000000000009</v>
      </c>
      <c r="F19">
        <v>-1.85</v>
      </c>
      <c r="G19">
        <v>2</v>
      </c>
      <c r="H19">
        <v>2.39</v>
      </c>
      <c r="I19">
        <v>6</v>
      </c>
      <c r="M19" s="43" t="s">
        <v>16</v>
      </c>
      <c r="N19">
        <v>7.6099999999999994</v>
      </c>
      <c r="O19">
        <v>9.4600000000000009</v>
      </c>
      <c r="P19">
        <v>-1.85</v>
      </c>
    </row>
    <row r="20" spans="1:16" x14ac:dyDescent="0.25">
      <c r="A20" s="43" t="s">
        <v>17</v>
      </c>
      <c r="B20">
        <v>12</v>
      </c>
      <c r="C20">
        <v>10.73</v>
      </c>
      <c r="D20">
        <v>7</v>
      </c>
      <c r="E20">
        <v>6.27</v>
      </c>
      <c r="F20">
        <v>4.4600000000000009</v>
      </c>
      <c r="G20">
        <v>5</v>
      </c>
      <c r="H20">
        <v>1.2699999999999998</v>
      </c>
      <c r="I20">
        <v>5</v>
      </c>
      <c r="M20" s="43" t="s">
        <v>17</v>
      </c>
      <c r="N20">
        <v>10.73</v>
      </c>
      <c r="O20">
        <v>6.27</v>
      </c>
      <c r="P20">
        <v>4.4600000000000009</v>
      </c>
    </row>
    <row r="21" spans="1:16" x14ac:dyDescent="0.25">
      <c r="A21" s="43" t="s">
        <v>18</v>
      </c>
      <c r="B21">
        <v>13</v>
      </c>
      <c r="C21">
        <v>13.59</v>
      </c>
      <c r="D21">
        <v>6</v>
      </c>
      <c r="E21">
        <v>8.0500000000000007</v>
      </c>
      <c r="F21">
        <v>5.5399999999999991</v>
      </c>
      <c r="G21">
        <v>7</v>
      </c>
      <c r="H21">
        <v>-0.58999999999999964</v>
      </c>
      <c r="I21">
        <v>6</v>
      </c>
      <c r="M21" s="43" t="s">
        <v>18</v>
      </c>
      <c r="N21">
        <v>13.59</v>
      </c>
      <c r="O21">
        <v>8.0500000000000007</v>
      </c>
      <c r="P21">
        <v>5.5399999999999991</v>
      </c>
    </row>
    <row r="22" spans="1:16" x14ac:dyDescent="0.25">
      <c r="A22" s="43" t="s">
        <v>19</v>
      </c>
      <c r="B22">
        <v>11</v>
      </c>
      <c r="C22">
        <v>5.88</v>
      </c>
      <c r="D22">
        <v>7</v>
      </c>
      <c r="E22">
        <v>6.58</v>
      </c>
      <c r="F22">
        <v>-0.70000000000000029</v>
      </c>
      <c r="G22">
        <v>4</v>
      </c>
      <c r="H22">
        <v>5.12</v>
      </c>
      <c r="I22">
        <v>6</v>
      </c>
      <c r="M22" s="43" t="s">
        <v>19</v>
      </c>
      <c r="N22">
        <v>5.88</v>
      </c>
      <c r="O22">
        <v>6.58</v>
      </c>
      <c r="P22">
        <v>-0.70000000000000029</v>
      </c>
    </row>
    <row r="23" spans="1:16" x14ac:dyDescent="0.25">
      <c r="A23" s="43" t="s">
        <v>20</v>
      </c>
      <c r="B23">
        <v>16</v>
      </c>
      <c r="C23">
        <v>11.97</v>
      </c>
      <c r="D23">
        <v>10</v>
      </c>
      <c r="E23">
        <v>6.99</v>
      </c>
      <c r="F23">
        <v>4.9800000000000004</v>
      </c>
      <c r="G23">
        <v>6</v>
      </c>
      <c r="H23">
        <v>4.03</v>
      </c>
      <c r="I23">
        <v>6</v>
      </c>
      <c r="M23" s="43" t="s">
        <v>20</v>
      </c>
      <c r="N23">
        <v>11.97</v>
      </c>
      <c r="O23">
        <v>6.99</v>
      </c>
      <c r="P23">
        <v>4.9800000000000004</v>
      </c>
    </row>
    <row r="24" spans="1:16" x14ac:dyDescent="0.25">
      <c r="A24" s="43" t="s">
        <v>21</v>
      </c>
      <c r="B24">
        <v>5</v>
      </c>
      <c r="C24">
        <v>11.79</v>
      </c>
      <c r="D24">
        <v>11</v>
      </c>
      <c r="E24">
        <v>8.0499999999999989</v>
      </c>
      <c r="F24">
        <v>3.7400000000000007</v>
      </c>
      <c r="G24">
        <v>-6</v>
      </c>
      <c r="H24">
        <v>-6.7900000000000009</v>
      </c>
      <c r="I24">
        <v>6</v>
      </c>
      <c r="M24" s="43" t="s">
        <v>21</v>
      </c>
      <c r="N24">
        <v>11.79</v>
      </c>
      <c r="O24">
        <v>8.0499999999999989</v>
      </c>
      <c r="P24">
        <v>3.7400000000000007</v>
      </c>
    </row>
    <row r="25" spans="1:16" x14ac:dyDescent="0.25">
      <c r="A25" s="43" t="s">
        <v>22</v>
      </c>
      <c r="B25">
        <v>10</v>
      </c>
      <c r="C25">
        <v>7.1899999999999995</v>
      </c>
      <c r="D25">
        <v>14</v>
      </c>
      <c r="E25">
        <v>9.5600000000000023</v>
      </c>
      <c r="F25">
        <v>-2.3700000000000006</v>
      </c>
      <c r="G25">
        <v>-4</v>
      </c>
      <c r="H25">
        <v>2.81</v>
      </c>
      <c r="I25">
        <v>6</v>
      </c>
      <c r="M25" s="43" t="s">
        <v>22</v>
      </c>
      <c r="N25">
        <v>7.1899999999999995</v>
      </c>
      <c r="O25">
        <v>9.5600000000000023</v>
      </c>
      <c r="P25">
        <v>-2.3700000000000006</v>
      </c>
    </row>
    <row r="26" spans="1:16" x14ac:dyDescent="0.25">
      <c r="A26" s="8" t="s">
        <v>57</v>
      </c>
      <c r="M26" s="8" t="s">
        <v>56</v>
      </c>
      <c r="N26">
        <v>202.34999999999997</v>
      </c>
      <c r="O26">
        <v>202.35000000000011</v>
      </c>
      <c r="P26">
        <v>0</v>
      </c>
    </row>
    <row r="27" spans="1:16" x14ac:dyDescent="0.25">
      <c r="A27" s="8" t="s">
        <v>56</v>
      </c>
      <c r="B27">
        <v>219</v>
      </c>
      <c r="C27">
        <v>202.35000000000002</v>
      </c>
      <c r="D27">
        <v>219</v>
      </c>
      <c r="E27">
        <v>202.35000000000002</v>
      </c>
      <c r="F27">
        <v>-1.8873791418627661E-15</v>
      </c>
      <c r="G27">
        <v>0</v>
      </c>
      <c r="H27">
        <v>16.649999999999999</v>
      </c>
      <c r="I27">
        <v>142</v>
      </c>
    </row>
    <row r="29" spans="1:16" ht="15.75" thickBot="1" x14ac:dyDescent="0.3"/>
    <row r="30" spans="1:16" ht="36.75" thickBot="1" x14ac:dyDescent="0.6">
      <c r="A30" s="10" t="s">
        <v>69</v>
      </c>
      <c r="B30" s="11"/>
      <c r="C30" s="11"/>
      <c r="D30" s="12"/>
      <c r="F30" s="10" t="s">
        <v>70</v>
      </c>
      <c r="G30" s="11"/>
      <c r="H30" s="11"/>
      <c r="I30" s="12"/>
    </row>
    <row r="31" spans="1:16" x14ac:dyDescent="0.25">
      <c r="A31" s="7" t="s">
        <v>55</v>
      </c>
      <c r="B31" t="s">
        <v>58</v>
      </c>
      <c r="C31" t="s">
        <v>60</v>
      </c>
      <c r="F31" s="7" t="s">
        <v>55</v>
      </c>
      <c r="G31" t="s">
        <v>59</v>
      </c>
      <c r="H31" t="s">
        <v>61</v>
      </c>
    </row>
    <row r="32" spans="1:16" x14ac:dyDescent="0.25">
      <c r="A32" s="43" t="s">
        <v>0</v>
      </c>
      <c r="B32">
        <v>4.93</v>
      </c>
      <c r="C32">
        <v>5</v>
      </c>
      <c r="F32" s="43" t="s">
        <v>0</v>
      </c>
      <c r="G32">
        <v>9.4000000000000021</v>
      </c>
      <c r="H32">
        <v>7</v>
      </c>
    </row>
    <row r="33" spans="1:8" x14ac:dyDescent="0.25">
      <c r="A33" s="43" t="s">
        <v>1</v>
      </c>
      <c r="B33">
        <v>8.33</v>
      </c>
      <c r="C33">
        <v>6</v>
      </c>
      <c r="F33" s="43" t="s">
        <v>1</v>
      </c>
      <c r="G33">
        <v>9.2900000000000009</v>
      </c>
      <c r="H33">
        <v>11</v>
      </c>
    </row>
    <row r="34" spans="1:8" x14ac:dyDescent="0.25">
      <c r="A34" s="43" t="s">
        <v>2</v>
      </c>
      <c r="B34">
        <v>10.969999999999999</v>
      </c>
      <c r="C34">
        <v>11</v>
      </c>
      <c r="F34" s="43" t="s">
        <v>2</v>
      </c>
      <c r="G34">
        <v>13.4</v>
      </c>
      <c r="H34">
        <v>9</v>
      </c>
    </row>
    <row r="35" spans="1:8" x14ac:dyDescent="0.25">
      <c r="A35" s="43" t="s">
        <v>3</v>
      </c>
      <c r="B35">
        <v>7.1700000000000008</v>
      </c>
      <c r="C35">
        <v>6</v>
      </c>
      <c r="F35" s="43" t="s">
        <v>3</v>
      </c>
      <c r="G35">
        <v>5.1700000000000008</v>
      </c>
      <c r="H35">
        <v>4</v>
      </c>
    </row>
    <row r="36" spans="1:8" x14ac:dyDescent="0.25">
      <c r="A36" s="43" t="s">
        <v>4</v>
      </c>
      <c r="B36">
        <v>6.06</v>
      </c>
      <c r="C36">
        <v>6</v>
      </c>
      <c r="F36" s="43" t="s">
        <v>4</v>
      </c>
      <c r="G36">
        <v>10.76</v>
      </c>
      <c r="H36">
        <v>17</v>
      </c>
    </row>
    <row r="37" spans="1:8" x14ac:dyDescent="0.25">
      <c r="A37" s="43" t="s">
        <v>5</v>
      </c>
      <c r="B37">
        <v>5.57</v>
      </c>
      <c r="C37">
        <v>10</v>
      </c>
      <c r="F37" s="43" t="s">
        <v>5</v>
      </c>
      <c r="G37">
        <v>7.67</v>
      </c>
      <c r="H37">
        <v>10</v>
      </c>
    </row>
    <row r="38" spans="1:8" x14ac:dyDescent="0.25">
      <c r="A38" s="43" t="s">
        <v>6</v>
      </c>
      <c r="B38">
        <v>5.830000000000001</v>
      </c>
      <c r="C38">
        <v>11</v>
      </c>
      <c r="F38" s="43" t="s">
        <v>6</v>
      </c>
      <c r="G38">
        <v>10.39</v>
      </c>
      <c r="H38">
        <v>9</v>
      </c>
    </row>
    <row r="39" spans="1:8" x14ac:dyDescent="0.25">
      <c r="A39" s="43" t="s">
        <v>7</v>
      </c>
      <c r="B39">
        <v>9.39</v>
      </c>
      <c r="C39">
        <v>6</v>
      </c>
      <c r="F39" s="43" t="s">
        <v>7</v>
      </c>
      <c r="G39">
        <v>6.6899999999999995</v>
      </c>
      <c r="H39">
        <v>9</v>
      </c>
    </row>
    <row r="40" spans="1:8" x14ac:dyDescent="0.25">
      <c r="A40" s="43" t="s">
        <v>8</v>
      </c>
      <c r="B40">
        <v>11.04</v>
      </c>
      <c r="C40">
        <v>10</v>
      </c>
      <c r="F40" s="43" t="s">
        <v>8</v>
      </c>
      <c r="G40">
        <v>6.25</v>
      </c>
      <c r="H40">
        <v>4</v>
      </c>
    </row>
    <row r="41" spans="1:8" x14ac:dyDescent="0.25">
      <c r="A41" s="43" t="s">
        <v>9</v>
      </c>
      <c r="B41">
        <v>7.580000000000001</v>
      </c>
      <c r="C41">
        <v>8</v>
      </c>
      <c r="F41" s="43" t="s">
        <v>9</v>
      </c>
      <c r="G41">
        <v>9.2899999999999991</v>
      </c>
      <c r="H41">
        <v>10</v>
      </c>
    </row>
    <row r="42" spans="1:8" x14ac:dyDescent="0.25">
      <c r="A42" s="43" t="s">
        <v>10</v>
      </c>
      <c r="B42">
        <v>6.74</v>
      </c>
      <c r="C42">
        <v>12</v>
      </c>
      <c r="F42" s="43" t="s">
        <v>10</v>
      </c>
      <c r="G42">
        <v>10.43</v>
      </c>
      <c r="H42">
        <v>9</v>
      </c>
    </row>
    <row r="43" spans="1:8" x14ac:dyDescent="0.25">
      <c r="A43" s="43" t="s">
        <v>11</v>
      </c>
      <c r="B43">
        <v>9.35</v>
      </c>
      <c r="C43">
        <v>12</v>
      </c>
      <c r="F43" s="43" t="s">
        <v>11</v>
      </c>
      <c r="G43">
        <v>6.4500000000000011</v>
      </c>
      <c r="H43">
        <v>13</v>
      </c>
    </row>
    <row r="44" spans="1:8" x14ac:dyDescent="0.25">
      <c r="A44" s="43" t="s">
        <v>12</v>
      </c>
      <c r="B44">
        <v>8.1999999999999993</v>
      </c>
      <c r="C44">
        <v>8</v>
      </c>
      <c r="F44" s="43" t="s">
        <v>12</v>
      </c>
      <c r="G44">
        <v>8.5399999999999991</v>
      </c>
      <c r="H44">
        <v>11</v>
      </c>
    </row>
    <row r="45" spans="1:8" x14ac:dyDescent="0.25">
      <c r="A45" s="43" t="s">
        <v>33</v>
      </c>
      <c r="B45">
        <v>8.57</v>
      </c>
      <c r="C45">
        <v>8</v>
      </c>
      <c r="F45" s="43" t="s">
        <v>33</v>
      </c>
      <c r="G45">
        <v>10.42</v>
      </c>
      <c r="H45">
        <v>10</v>
      </c>
    </row>
    <row r="46" spans="1:8" x14ac:dyDescent="0.25">
      <c r="A46" s="43" t="s">
        <v>13</v>
      </c>
      <c r="B46">
        <v>7.830000000000001</v>
      </c>
      <c r="C46">
        <v>7</v>
      </c>
      <c r="F46" s="43" t="s">
        <v>13</v>
      </c>
      <c r="G46">
        <v>5.73</v>
      </c>
      <c r="H46">
        <v>7</v>
      </c>
    </row>
    <row r="47" spans="1:8" x14ac:dyDescent="0.25">
      <c r="A47" s="43" t="s">
        <v>14</v>
      </c>
      <c r="B47">
        <v>7.7200000000000006</v>
      </c>
      <c r="C47">
        <v>12</v>
      </c>
      <c r="F47" s="43" t="s">
        <v>14</v>
      </c>
      <c r="G47">
        <v>8.49</v>
      </c>
      <c r="H47">
        <v>6</v>
      </c>
    </row>
    <row r="48" spans="1:8" x14ac:dyDescent="0.25">
      <c r="A48" s="43" t="s">
        <v>15</v>
      </c>
      <c r="B48">
        <v>8.3099999999999987</v>
      </c>
      <c r="C48">
        <v>4</v>
      </c>
      <c r="F48" s="43" t="s">
        <v>15</v>
      </c>
      <c r="G48">
        <v>9.02</v>
      </c>
      <c r="H48">
        <v>10</v>
      </c>
    </row>
    <row r="49" spans="1:8" x14ac:dyDescent="0.25">
      <c r="A49" s="43" t="s">
        <v>16</v>
      </c>
      <c r="B49">
        <v>7.6099999999999994</v>
      </c>
      <c r="C49">
        <v>10</v>
      </c>
      <c r="F49" s="43" t="s">
        <v>16</v>
      </c>
      <c r="G49">
        <v>9.4600000000000009</v>
      </c>
      <c r="H49">
        <v>8</v>
      </c>
    </row>
    <row r="50" spans="1:8" x14ac:dyDescent="0.25">
      <c r="A50" s="43" t="s">
        <v>17</v>
      </c>
      <c r="B50">
        <v>10.73</v>
      </c>
      <c r="C50">
        <v>12</v>
      </c>
      <c r="F50" s="43" t="s">
        <v>17</v>
      </c>
      <c r="G50">
        <v>6.27</v>
      </c>
      <c r="H50">
        <v>7</v>
      </c>
    </row>
    <row r="51" spans="1:8" x14ac:dyDescent="0.25">
      <c r="A51" s="43" t="s">
        <v>18</v>
      </c>
      <c r="B51">
        <v>13.59</v>
      </c>
      <c r="C51">
        <v>13</v>
      </c>
      <c r="F51" s="43" t="s">
        <v>18</v>
      </c>
      <c r="G51">
        <v>8.0500000000000007</v>
      </c>
      <c r="H51">
        <v>6</v>
      </c>
    </row>
    <row r="52" spans="1:8" x14ac:dyDescent="0.25">
      <c r="A52" s="43" t="s">
        <v>19</v>
      </c>
      <c r="B52">
        <v>5.88</v>
      </c>
      <c r="C52">
        <v>11</v>
      </c>
      <c r="F52" s="43" t="s">
        <v>19</v>
      </c>
      <c r="G52">
        <v>6.58</v>
      </c>
      <c r="H52">
        <v>7</v>
      </c>
    </row>
    <row r="53" spans="1:8" x14ac:dyDescent="0.25">
      <c r="A53" s="43" t="s">
        <v>20</v>
      </c>
      <c r="B53">
        <v>11.97</v>
      </c>
      <c r="C53">
        <v>16</v>
      </c>
      <c r="F53" s="43" t="s">
        <v>20</v>
      </c>
      <c r="G53">
        <v>6.99</v>
      </c>
      <c r="H53">
        <v>10</v>
      </c>
    </row>
    <row r="54" spans="1:8" x14ac:dyDescent="0.25">
      <c r="A54" s="43" t="s">
        <v>21</v>
      </c>
      <c r="B54">
        <v>11.79</v>
      </c>
      <c r="C54">
        <v>5</v>
      </c>
      <c r="F54" s="43" t="s">
        <v>21</v>
      </c>
      <c r="G54">
        <v>8.0499999999999989</v>
      </c>
      <c r="H54">
        <v>11</v>
      </c>
    </row>
    <row r="55" spans="1:8" x14ac:dyDescent="0.25">
      <c r="A55" s="43" t="s">
        <v>22</v>
      </c>
      <c r="B55">
        <v>7.1899999999999995</v>
      </c>
      <c r="C55">
        <v>10</v>
      </c>
      <c r="F55" s="43" t="s">
        <v>22</v>
      </c>
      <c r="G55">
        <v>9.5600000000000023</v>
      </c>
      <c r="H55">
        <v>14</v>
      </c>
    </row>
    <row r="56" spans="1:8" x14ac:dyDescent="0.25">
      <c r="A56" s="8" t="s">
        <v>56</v>
      </c>
      <c r="B56">
        <v>202.34999999999997</v>
      </c>
      <c r="C56">
        <v>219</v>
      </c>
      <c r="F56" s="8" t="s">
        <v>56</v>
      </c>
      <c r="G56">
        <v>202.35000000000011</v>
      </c>
      <c r="H56">
        <v>219</v>
      </c>
    </row>
  </sheetData>
  <conditionalFormatting pivot="1" sqref="P2:P25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N2:N25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O2:O25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C2:C2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E2:E25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B2:B25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D2:D25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F2:F25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G2:G25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H2:H25">
    <cfRule type="colorScale" priority="7">
      <colorScale>
        <cfvo type="min"/>
        <cfvo type="max"/>
        <color theme="4"/>
        <color rgb="FFFFEF9C"/>
      </colorScale>
    </cfRule>
  </conditionalFormatting>
  <conditionalFormatting pivot="1" sqref="B32:B5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C32:C5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G32:G55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H32:H5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1A6C-B9A2-49A4-A935-7E24BEEE1657}">
  <dimension ref="B2:AC48"/>
  <sheetViews>
    <sheetView showGridLines="0" zoomScaleNormal="100" workbookViewId="0">
      <selection activeCell="C6" sqref="C6"/>
    </sheetView>
  </sheetViews>
  <sheetFormatPr defaultRowHeight="15" x14ac:dyDescent="0.25"/>
  <cols>
    <col min="2" max="2" width="27.85546875" bestFit="1" customWidth="1"/>
    <col min="3" max="3" width="35.140625" bestFit="1" customWidth="1"/>
    <col min="4" max="4" width="14.28515625" bestFit="1" customWidth="1"/>
    <col min="5" max="5" width="13.140625" bestFit="1" customWidth="1"/>
    <col min="6" max="6" width="17.42578125" bestFit="1" customWidth="1"/>
    <col min="7" max="7" width="13.140625" bestFit="1" customWidth="1"/>
    <col min="8" max="8" width="13.85546875" bestFit="1" customWidth="1"/>
    <col min="9" max="9" width="17.85546875" bestFit="1" customWidth="1"/>
    <col min="10" max="10" width="18" bestFit="1" customWidth="1"/>
    <col min="11" max="11" width="20" bestFit="1" customWidth="1"/>
    <col min="12" max="12" width="9.140625" bestFit="1" customWidth="1"/>
    <col min="13" max="13" width="12.5703125" bestFit="1" customWidth="1"/>
    <col min="14" max="14" width="11.140625" bestFit="1" customWidth="1"/>
    <col min="15" max="15" width="10.85546875" bestFit="1" customWidth="1"/>
    <col min="16" max="16" width="10.42578125" bestFit="1" customWidth="1"/>
    <col min="17" max="17" width="20.42578125" bestFit="1" customWidth="1"/>
    <col min="18" max="18" width="11" bestFit="1" customWidth="1"/>
    <col min="19" max="19" width="15.140625" bestFit="1" customWidth="1"/>
    <col min="20" max="20" width="13.5703125" bestFit="1" customWidth="1"/>
    <col min="21" max="21" width="17.85546875" bestFit="1" customWidth="1"/>
    <col min="22" max="22" width="10.5703125" bestFit="1" customWidth="1"/>
    <col min="23" max="23" width="13.140625" bestFit="1" customWidth="1"/>
    <col min="24" max="24" width="16.7109375" hidden="1" customWidth="1"/>
    <col min="25" max="25" width="9.140625" bestFit="1" customWidth="1"/>
    <col min="26" max="26" width="9.42578125" bestFit="1" customWidth="1"/>
    <col min="27" max="27" width="11.140625" bestFit="1" customWidth="1"/>
    <col min="28" max="28" width="22.5703125" bestFit="1" customWidth="1"/>
    <col min="29" max="29" width="9.28515625" bestFit="1" customWidth="1"/>
  </cols>
  <sheetData>
    <row r="2" spans="2:29" ht="21" x14ac:dyDescent="0.35">
      <c r="B2" s="24" t="s">
        <v>67</v>
      </c>
      <c r="C2" s="25" t="s">
        <v>18</v>
      </c>
      <c r="K2" s="26" t="s">
        <v>71</v>
      </c>
      <c r="M2" s="27" t="s">
        <v>42</v>
      </c>
      <c r="N2" s="28" t="s">
        <v>23</v>
      </c>
      <c r="O2" s="29" t="s">
        <v>24</v>
      </c>
      <c r="P2" s="29" t="s">
        <v>42</v>
      </c>
      <c r="Q2" s="29" t="s">
        <v>43</v>
      </c>
      <c r="R2" s="29" t="s">
        <v>44</v>
      </c>
      <c r="S2" s="29" t="s">
        <v>45</v>
      </c>
      <c r="T2" s="29" t="s">
        <v>46</v>
      </c>
      <c r="U2" s="29" t="s">
        <v>47</v>
      </c>
      <c r="V2" s="29" t="s">
        <v>32</v>
      </c>
      <c r="W2" s="29" t="s">
        <v>37</v>
      </c>
      <c r="X2" t="s">
        <v>644</v>
      </c>
      <c r="Y2" s="29" t="s">
        <v>48</v>
      </c>
      <c r="Z2" s="29" t="s">
        <v>49</v>
      </c>
      <c r="AA2" s="29" t="s">
        <v>50</v>
      </c>
      <c r="AB2" s="29" t="s">
        <v>38</v>
      </c>
      <c r="AC2" s="30" t="s">
        <v>51</v>
      </c>
    </row>
    <row r="3" spans="2:29" ht="21" x14ac:dyDescent="0.35">
      <c r="B3" s="14"/>
      <c r="C3" s="15"/>
      <c r="J3" s="19" t="s">
        <v>74</v>
      </c>
      <c r="K3" s="18" t="str">
        <f>IFERROR(INDEX(Team_Level[Result], MATCH($C$2&amp;"-1", Team_Level[Match Key], 0)), "")</f>
        <v>Draw</v>
      </c>
      <c r="M3" s="27" t="str">
        <f>C2</f>
        <v>Sheffield Wednesday</v>
      </c>
      <c r="N3" s="22" t="s">
        <v>99</v>
      </c>
      <c r="O3" s="21">
        <v>46256</v>
      </c>
      <c r="P3" s="31" t="s">
        <v>19</v>
      </c>
      <c r="Q3" s="31" t="s">
        <v>14</v>
      </c>
      <c r="R3" s="31">
        <v>1.17</v>
      </c>
      <c r="S3" s="31">
        <v>1.36</v>
      </c>
      <c r="T3" s="31">
        <v>1</v>
      </c>
      <c r="U3" s="31">
        <v>2</v>
      </c>
      <c r="V3" s="31">
        <v>2.5300000000000002</v>
      </c>
      <c r="W3" s="31">
        <v>3</v>
      </c>
      <c r="X3">
        <v>1</v>
      </c>
      <c r="Y3" s="31" t="s">
        <v>34</v>
      </c>
      <c r="Z3" s="31">
        <v>-0.19000000000000017</v>
      </c>
      <c r="AA3" s="31">
        <v>-1</v>
      </c>
      <c r="AB3" s="31">
        <v>-0.16999999999999993</v>
      </c>
      <c r="AC3" s="32" t="s">
        <v>52</v>
      </c>
    </row>
    <row r="4" spans="2:29" ht="21" x14ac:dyDescent="0.35">
      <c r="B4" s="14" t="s">
        <v>65</v>
      </c>
      <c r="C4" s="15">
        <f>INDEX(Team_Hub!I:I, MATCH($C$2, Team_Hub!$A:$A, 0))</f>
        <v>6</v>
      </c>
      <c r="J4" s="19"/>
      <c r="K4" s="18" t="str">
        <f>IFERROR(INDEX(Team_Level[Result], MATCH($C$2&amp;"-2", Team_Level[Match Key], 0)), "")</f>
        <v>Win</v>
      </c>
      <c r="N4" s="22" t="s">
        <v>110</v>
      </c>
      <c r="O4" s="21">
        <v>46263</v>
      </c>
      <c r="P4" s="31" t="s">
        <v>19</v>
      </c>
      <c r="Q4" s="31" t="s">
        <v>7</v>
      </c>
      <c r="R4" s="31">
        <v>0.47</v>
      </c>
      <c r="S4" s="31">
        <v>0.65</v>
      </c>
      <c r="T4" s="31">
        <v>2</v>
      </c>
      <c r="U4" s="31">
        <v>2</v>
      </c>
      <c r="V4" s="31">
        <v>1.1200000000000001</v>
      </c>
      <c r="W4" s="31">
        <v>4</v>
      </c>
      <c r="X4">
        <v>1</v>
      </c>
      <c r="Y4" s="31" t="s">
        <v>34</v>
      </c>
      <c r="Z4" s="31">
        <v>-0.18000000000000005</v>
      </c>
      <c r="AA4" s="31">
        <v>0</v>
      </c>
      <c r="AB4" s="31">
        <v>1.53</v>
      </c>
      <c r="AC4" s="32" t="s">
        <v>53</v>
      </c>
    </row>
    <row r="5" spans="2:29" ht="21" x14ac:dyDescent="0.35">
      <c r="B5" s="14" t="s">
        <v>58</v>
      </c>
      <c r="C5" s="15">
        <f>INDEX(Team_Hub!C:C, MATCH($C$2, Team_Hub!$A:$A, 0))</f>
        <v>13.59</v>
      </c>
      <c r="J5" s="19"/>
      <c r="K5" s="18" t="str">
        <f>IFERROR(INDEX(Team_Level[Result], MATCH($C$2&amp;"-3", Team_Level[Match Key], 0)), "")</f>
        <v>Win</v>
      </c>
      <c r="N5" s="22" t="s">
        <v>139</v>
      </c>
      <c r="O5" s="21">
        <v>46275</v>
      </c>
      <c r="P5" s="31" t="s">
        <v>19</v>
      </c>
      <c r="Q5" s="31" t="s">
        <v>11</v>
      </c>
      <c r="R5" s="31">
        <v>1.31</v>
      </c>
      <c r="S5" s="31">
        <v>0.89</v>
      </c>
      <c r="T5" s="31">
        <v>2</v>
      </c>
      <c r="U5" s="31">
        <v>1</v>
      </c>
      <c r="V5" s="31">
        <v>2.2000000000000002</v>
      </c>
      <c r="W5" s="31">
        <v>3</v>
      </c>
      <c r="X5">
        <v>1</v>
      </c>
      <c r="Y5" s="31" t="s">
        <v>34</v>
      </c>
      <c r="Z5" s="31">
        <v>0.42000000000000004</v>
      </c>
      <c r="AA5" s="31">
        <v>1</v>
      </c>
      <c r="AB5" s="31">
        <v>0.69</v>
      </c>
      <c r="AC5" s="32" t="s">
        <v>54</v>
      </c>
    </row>
    <row r="6" spans="2:29" ht="21" x14ac:dyDescent="0.35">
      <c r="B6" s="14" t="s">
        <v>59</v>
      </c>
      <c r="C6" s="15">
        <f>INDEX(Team_Hub!E:E, MATCH($C$2, Team_Hub!$A:$A, 0))</f>
        <v>8.0500000000000007</v>
      </c>
      <c r="J6" s="20"/>
      <c r="K6" s="18" t="str">
        <f>IFERROR(INDEX(Team_Level[Result], MATCH($C$2&amp;"-4", Team_Level[Match Key], 0)), "")</f>
        <v>Win</v>
      </c>
      <c r="N6" s="22" t="s">
        <v>172</v>
      </c>
      <c r="O6" s="21">
        <v>46291</v>
      </c>
      <c r="P6" s="31" t="s">
        <v>19</v>
      </c>
      <c r="Q6" s="31" t="s">
        <v>18</v>
      </c>
      <c r="R6" s="31"/>
      <c r="S6" s="31"/>
      <c r="T6" s="31"/>
      <c r="U6" s="31"/>
      <c r="V6" s="31"/>
      <c r="W6" s="31"/>
      <c r="X6">
        <v>1</v>
      </c>
      <c r="Y6" s="31" t="s">
        <v>34</v>
      </c>
      <c r="Z6" s="31"/>
      <c r="AA6" s="31"/>
      <c r="AB6" s="31"/>
      <c r="AC6" s="32"/>
    </row>
    <row r="7" spans="2:29" ht="21" x14ac:dyDescent="0.35">
      <c r="B7" s="14" t="s">
        <v>49</v>
      </c>
      <c r="C7" s="15">
        <f>INDEX(Team_Hub!F:F, MATCH($C$2, Team_Hub!$A:$A, 0))</f>
        <v>5.5399999999999991</v>
      </c>
      <c r="J7" s="19" t="s">
        <v>75</v>
      </c>
      <c r="K7" s="18" t="str">
        <f>IFERROR(INDEX(Team_Level[Result], MATCH($C$2&amp;"-5", Team_Level[Match Key], 0)), "")</f>
        <v>Loss</v>
      </c>
      <c r="N7" s="22" t="s">
        <v>196</v>
      </c>
      <c r="O7" s="21">
        <v>46305</v>
      </c>
      <c r="P7" s="31" t="s">
        <v>19</v>
      </c>
      <c r="Q7" s="31" t="s">
        <v>21</v>
      </c>
      <c r="R7" s="31"/>
      <c r="S7" s="31"/>
      <c r="T7" s="31"/>
      <c r="U7" s="31"/>
      <c r="V7" s="31"/>
      <c r="W7" s="31"/>
      <c r="X7">
        <v>1</v>
      </c>
      <c r="Y7" s="31" t="s">
        <v>34</v>
      </c>
      <c r="Z7" s="31"/>
      <c r="AA7" s="31"/>
      <c r="AB7" s="31"/>
      <c r="AC7" s="32"/>
    </row>
    <row r="8" spans="2:29" ht="21" x14ac:dyDescent="0.35">
      <c r="B8" s="14" t="s">
        <v>60</v>
      </c>
      <c r="C8" s="15">
        <f>INDEX(Team_Hub!B:B, MATCH($C$2, Team_Hub!$A:$A, 0))</f>
        <v>13</v>
      </c>
      <c r="N8" s="22" t="s">
        <v>221</v>
      </c>
      <c r="O8" s="21">
        <v>46315</v>
      </c>
      <c r="P8" s="31" t="s">
        <v>19</v>
      </c>
      <c r="Q8" s="31" t="s">
        <v>16</v>
      </c>
      <c r="R8" s="31"/>
      <c r="S8" s="31"/>
      <c r="T8" s="31"/>
      <c r="U8" s="31"/>
      <c r="V8" s="31"/>
      <c r="W8" s="31"/>
      <c r="X8">
        <v>1</v>
      </c>
      <c r="Y8" s="31" t="s">
        <v>34</v>
      </c>
      <c r="Z8" s="31"/>
      <c r="AA8" s="31"/>
      <c r="AB8" s="31"/>
      <c r="AC8" s="32"/>
    </row>
    <row r="9" spans="2:29" ht="21" x14ac:dyDescent="0.35">
      <c r="B9" s="14" t="s">
        <v>61</v>
      </c>
      <c r="C9" s="15">
        <f>INDEX(Team_Hub!D:D, MATCH($C$2, Team_Hub!$A:$A, 0))</f>
        <v>6</v>
      </c>
      <c r="N9" s="22" t="s">
        <v>234</v>
      </c>
      <c r="O9" s="21">
        <v>46319</v>
      </c>
      <c r="P9" s="31" t="s">
        <v>19</v>
      </c>
      <c r="Q9" s="31" t="s">
        <v>33</v>
      </c>
      <c r="R9" s="31"/>
      <c r="S9" s="31"/>
      <c r="T9" s="31"/>
      <c r="U9" s="31"/>
      <c r="V9" s="31"/>
      <c r="W9" s="31"/>
      <c r="X9">
        <v>1</v>
      </c>
      <c r="Y9" s="31" t="s">
        <v>34</v>
      </c>
      <c r="Z9" s="31"/>
      <c r="AA9" s="31"/>
      <c r="AB9" s="31"/>
      <c r="AC9" s="32"/>
    </row>
    <row r="10" spans="2:29" ht="21" x14ac:dyDescent="0.35">
      <c r="B10" s="14" t="s">
        <v>50</v>
      </c>
      <c r="C10" s="15">
        <f>INDEX(Team_Hub!G:G, MATCH($C$2, Team_Hub!$A:$A, 0))</f>
        <v>7</v>
      </c>
      <c r="N10" s="22" t="s">
        <v>255</v>
      </c>
      <c r="O10" s="21">
        <v>46340</v>
      </c>
      <c r="P10" s="31" t="s">
        <v>19</v>
      </c>
      <c r="Q10" s="31" t="s">
        <v>12</v>
      </c>
      <c r="R10" s="31"/>
      <c r="S10" s="31"/>
      <c r="T10" s="31"/>
      <c r="U10" s="31"/>
      <c r="V10" s="31"/>
      <c r="W10" s="31"/>
      <c r="X10">
        <v>1</v>
      </c>
      <c r="Y10" s="31" t="s">
        <v>34</v>
      </c>
      <c r="Z10" s="31"/>
      <c r="AA10" s="31"/>
      <c r="AB10" s="31"/>
      <c r="AC10" s="32"/>
    </row>
    <row r="11" spans="2:29" ht="21" x14ac:dyDescent="0.35">
      <c r="B11" s="16" t="s">
        <v>68</v>
      </c>
      <c r="C11" s="17">
        <f>INDEX(Team_Hub!H:H, MATCH($C$2, Team_Hub!$A:$A, 0))</f>
        <v>-0.58999999999999964</v>
      </c>
      <c r="N11" s="22" t="s">
        <v>279</v>
      </c>
      <c r="O11" s="21">
        <v>46354</v>
      </c>
      <c r="P11" s="31" t="s">
        <v>19</v>
      </c>
      <c r="Q11" s="31" t="s">
        <v>2</v>
      </c>
      <c r="R11" s="31"/>
      <c r="S11" s="31"/>
      <c r="T11" s="31"/>
      <c r="U11" s="31"/>
      <c r="V11" s="31"/>
      <c r="W11" s="31"/>
      <c r="X11">
        <v>1</v>
      </c>
      <c r="Y11" s="31" t="s">
        <v>34</v>
      </c>
      <c r="Z11" s="31"/>
      <c r="AA11" s="31"/>
      <c r="AB11" s="31"/>
      <c r="AC11" s="32"/>
    </row>
    <row r="12" spans="2:29" x14ac:dyDescent="0.25">
      <c r="N12" s="22" t="s">
        <v>306</v>
      </c>
      <c r="O12" s="21">
        <v>46368</v>
      </c>
      <c r="P12" s="31" t="s">
        <v>19</v>
      </c>
      <c r="Q12" s="31" t="s">
        <v>20</v>
      </c>
      <c r="R12" s="31"/>
      <c r="S12" s="31"/>
      <c r="T12" s="31"/>
      <c r="U12" s="31"/>
      <c r="V12" s="31"/>
      <c r="W12" s="31"/>
      <c r="X12">
        <v>1</v>
      </c>
      <c r="Y12" s="31" t="s">
        <v>34</v>
      </c>
      <c r="Z12" s="31"/>
      <c r="AA12" s="31"/>
      <c r="AB12" s="31"/>
      <c r="AC12" s="32"/>
    </row>
    <row r="13" spans="2:29" x14ac:dyDescent="0.25">
      <c r="N13" s="22" t="s">
        <v>330</v>
      </c>
      <c r="O13" s="21">
        <v>46382</v>
      </c>
      <c r="P13" s="31" t="s">
        <v>19</v>
      </c>
      <c r="Q13" s="31" t="s">
        <v>17</v>
      </c>
      <c r="R13" s="31"/>
      <c r="S13" s="31"/>
      <c r="T13" s="31"/>
      <c r="U13" s="31"/>
      <c r="V13" s="31"/>
      <c r="W13" s="31"/>
      <c r="X13">
        <v>1</v>
      </c>
      <c r="Y13" s="31" t="s">
        <v>34</v>
      </c>
      <c r="Z13" s="31"/>
      <c r="AA13" s="31"/>
      <c r="AB13" s="31"/>
      <c r="AC13" s="32"/>
    </row>
    <row r="14" spans="2:29" x14ac:dyDescent="0.25">
      <c r="N14" s="22" t="s">
        <v>366</v>
      </c>
      <c r="O14" s="21">
        <v>46396</v>
      </c>
      <c r="P14" s="31" t="s">
        <v>19</v>
      </c>
      <c r="Q14" s="31" t="s">
        <v>6</v>
      </c>
      <c r="R14" s="31"/>
      <c r="S14" s="31"/>
      <c r="T14" s="31"/>
      <c r="U14" s="31"/>
      <c r="V14" s="31"/>
      <c r="W14" s="31"/>
      <c r="X14">
        <v>1</v>
      </c>
      <c r="Y14" s="31" t="s">
        <v>34</v>
      </c>
      <c r="Z14" s="31"/>
      <c r="AA14" s="31"/>
      <c r="AB14" s="31"/>
      <c r="AC14" s="32"/>
    </row>
    <row r="15" spans="2:29" x14ac:dyDescent="0.25">
      <c r="N15" s="22" t="s">
        <v>378</v>
      </c>
      <c r="O15" s="21">
        <v>46403</v>
      </c>
      <c r="P15" s="31" t="s">
        <v>19</v>
      </c>
      <c r="Q15" s="31" t="s">
        <v>3</v>
      </c>
      <c r="R15" s="33"/>
      <c r="S15" s="33"/>
      <c r="T15" s="33"/>
      <c r="U15" s="33"/>
      <c r="V15" s="33"/>
      <c r="W15" s="33"/>
      <c r="X15">
        <v>1</v>
      </c>
      <c r="Y15" s="33" t="s">
        <v>34</v>
      </c>
      <c r="Z15" s="33"/>
      <c r="AA15" s="33"/>
      <c r="AB15" s="33"/>
      <c r="AC15" s="34"/>
    </row>
    <row r="16" spans="2:29" x14ac:dyDescent="0.25">
      <c r="N16" s="22" t="s">
        <v>414</v>
      </c>
      <c r="O16" s="21">
        <v>46417</v>
      </c>
      <c r="P16" s="31" t="s">
        <v>19</v>
      </c>
      <c r="Q16" s="31" t="s">
        <v>9</v>
      </c>
      <c r="R16" s="33"/>
      <c r="S16" s="33"/>
      <c r="T16" s="33"/>
      <c r="U16" s="33"/>
      <c r="V16" s="33"/>
      <c r="W16" s="33"/>
      <c r="X16">
        <v>1</v>
      </c>
      <c r="Y16" s="33" t="s">
        <v>34</v>
      </c>
      <c r="Z16" s="33"/>
      <c r="AA16" s="33"/>
      <c r="AB16" s="33"/>
      <c r="AC16" s="34"/>
    </row>
    <row r="17" spans="14:29" x14ac:dyDescent="0.25">
      <c r="N17" s="22" t="s">
        <v>437</v>
      </c>
      <c r="O17" s="21">
        <v>46427</v>
      </c>
      <c r="P17" s="31" t="s">
        <v>19</v>
      </c>
      <c r="Q17" s="31" t="s">
        <v>15</v>
      </c>
      <c r="R17" s="33"/>
      <c r="S17" s="33"/>
      <c r="T17" s="33"/>
      <c r="U17" s="33"/>
      <c r="V17" s="33"/>
      <c r="W17" s="33"/>
      <c r="X17">
        <v>1</v>
      </c>
      <c r="Y17" s="33" t="s">
        <v>34</v>
      </c>
      <c r="Z17" s="33"/>
      <c r="AA17" s="33"/>
      <c r="AB17" s="33"/>
      <c r="AC17" s="34"/>
    </row>
    <row r="18" spans="14:29" x14ac:dyDescent="0.25">
      <c r="N18" s="22" t="s">
        <v>449</v>
      </c>
      <c r="O18" s="21">
        <v>46431</v>
      </c>
      <c r="P18" s="31" t="s">
        <v>19</v>
      </c>
      <c r="Q18" s="31" t="s">
        <v>1</v>
      </c>
      <c r="R18" s="33"/>
      <c r="S18" s="33"/>
      <c r="T18" s="33"/>
      <c r="U18" s="33"/>
      <c r="V18" s="33"/>
      <c r="W18" s="33"/>
      <c r="X18">
        <v>1</v>
      </c>
      <c r="Y18" s="33" t="s">
        <v>34</v>
      </c>
      <c r="Z18" s="33"/>
      <c r="AA18" s="33"/>
      <c r="AB18" s="33"/>
      <c r="AC18" s="34"/>
    </row>
    <row r="19" spans="14:29" x14ac:dyDescent="0.25">
      <c r="N19" s="22" t="s">
        <v>483</v>
      </c>
      <c r="O19" s="21">
        <v>46452</v>
      </c>
      <c r="P19" s="31" t="s">
        <v>19</v>
      </c>
      <c r="Q19" s="31" t="s">
        <v>5</v>
      </c>
      <c r="R19" s="33"/>
      <c r="S19" s="33"/>
      <c r="T19" s="33"/>
      <c r="U19" s="33"/>
      <c r="V19" s="33"/>
      <c r="W19" s="33"/>
      <c r="X19">
        <v>1</v>
      </c>
      <c r="Y19" s="33" t="s">
        <v>34</v>
      </c>
      <c r="Z19" s="33"/>
      <c r="AA19" s="33"/>
      <c r="AB19" s="33"/>
      <c r="AC19" s="34"/>
    </row>
    <row r="20" spans="14:29" x14ac:dyDescent="0.25">
      <c r="N20" s="22" t="s">
        <v>507</v>
      </c>
      <c r="O20" s="21">
        <v>46466</v>
      </c>
      <c r="P20" s="31" t="s">
        <v>19</v>
      </c>
      <c r="Q20" s="31" t="s">
        <v>13</v>
      </c>
      <c r="R20" s="33"/>
      <c r="S20" s="33"/>
      <c r="T20" s="33"/>
      <c r="U20" s="33"/>
      <c r="V20" s="33"/>
      <c r="W20" s="33"/>
      <c r="X20">
        <v>1</v>
      </c>
      <c r="Y20" s="33" t="s">
        <v>34</v>
      </c>
      <c r="Z20" s="33"/>
      <c r="AA20" s="33"/>
      <c r="AB20" s="33"/>
      <c r="AC20" s="34"/>
    </row>
    <row r="21" spans="14:29" x14ac:dyDescent="0.25">
      <c r="N21" s="22" t="s">
        <v>522</v>
      </c>
      <c r="O21" s="21">
        <v>46472</v>
      </c>
      <c r="P21" s="31" t="s">
        <v>19</v>
      </c>
      <c r="Q21" s="31" t="s">
        <v>4</v>
      </c>
      <c r="R21" s="33"/>
      <c r="S21" s="33"/>
      <c r="T21" s="33"/>
      <c r="U21" s="33"/>
      <c r="V21" s="33"/>
      <c r="W21" s="33"/>
      <c r="X21">
        <v>1</v>
      </c>
      <c r="Y21" s="33" t="s">
        <v>34</v>
      </c>
      <c r="Z21" s="33"/>
      <c r="AA21" s="33"/>
      <c r="AB21" s="33"/>
      <c r="AC21" s="34"/>
    </row>
    <row r="22" spans="14:29" x14ac:dyDescent="0.25">
      <c r="N22" s="22" t="s">
        <v>546</v>
      </c>
      <c r="O22" s="21">
        <v>46480</v>
      </c>
      <c r="P22" s="31" t="s">
        <v>19</v>
      </c>
      <c r="Q22" s="31" t="s">
        <v>22</v>
      </c>
      <c r="R22" s="33"/>
      <c r="S22" s="33"/>
      <c r="T22" s="33"/>
      <c r="U22" s="33"/>
      <c r="V22" s="33"/>
      <c r="W22" s="33"/>
      <c r="X22">
        <v>1</v>
      </c>
      <c r="Y22" s="33" t="s">
        <v>34</v>
      </c>
      <c r="Z22" s="33"/>
      <c r="AA22" s="33"/>
      <c r="AB22" s="33"/>
      <c r="AC22" s="34"/>
    </row>
    <row r="23" spans="14:29" x14ac:dyDescent="0.25">
      <c r="N23" s="22" t="s">
        <v>580</v>
      </c>
      <c r="O23" s="21">
        <v>46494</v>
      </c>
      <c r="P23" s="31" t="s">
        <v>19</v>
      </c>
      <c r="Q23" s="31" t="s">
        <v>10</v>
      </c>
      <c r="R23" s="33"/>
      <c r="S23" s="33"/>
      <c r="T23" s="33"/>
      <c r="U23" s="33"/>
      <c r="V23" s="33"/>
      <c r="W23" s="33"/>
      <c r="X23">
        <v>1</v>
      </c>
      <c r="Y23" s="33" t="s">
        <v>34</v>
      </c>
      <c r="Z23" s="33"/>
      <c r="AA23" s="33"/>
      <c r="AB23" s="33"/>
      <c r="AC23" s="34"/>
    </row>
    <row r="24" spans="14:29" x14ac:dyDescent="0.25">
      <c r="N24" s="22" t="s">
        <v>604</v>
      </c>
      <c r="O24" s="21">
        <v>46504</v>
      </c>
      <c r="P24" s="31" t="s">
        <v>19</v>
      </c>
      <c r="Q24" s="31" t="s">
        <v>0</v>
      </c>
      <c r="R24" s="33"/>
      <c r="S24" s="33"/>
      <c r="T24" s="33"/>
      <c r="U24" s="33"/>
      <c r="V24" s="33"/>
      <c r="W24" s="33"/>
      <c r="X24">
        <v>1</v>
      </c>
      <c r="Y24" s="33" t="s">
        <v>34</v>
      </c>
      <c r="Z24" s="33"/>
      <c r="AA24" s="33"/>
      <c r="AB24" s="33"/>
      <c r="AC24" s="34"/>
    </row>
    <row r="25" spans="14:29" x14ac:dyDescent="0.25">
      <c r="N25" s="22" t="s">
        <v>627</v>
      </c>
      <c r="O25" s="21">
        <v>46515</v>
      </c>
      <c r="P25" s="31" t="s">
        <v>19</v>
      </c>
      <c r="Q25" s="31" t="s">
        <v>8</v>
      </c>
      <c r="R25" s="33"/>
      <c r="S25" s="33"/>
      <c r="T25" s="33"/>
      <c r="U25" s="33"/>
      <c r="V25" s="33"/>
      <c r="W25" s="33"/>
      <c r="X25">
        <v>1</v>
      </c>
      <c r="Y25" s="33" t="s">
        <v>34</v>
      </c>
      <c r="Z25" s="33"/>
      <c r="AA25" s="33"/>
      <c r="AB25" s="33"/>
      <c r="AC25" s="34"/>
    </row>
    <row r="26" spans="14:29" x14ac:dyDescent="0.25">
      <c r="N26" s="22" t="s">
        <v>82</v>
      </c>
      <c r="O26" s="21">
        <v>46249</v>
      </c>
      <c r="P26" s="31" t="s">
        <v>19</v>
      </c>
      <c r="Q26" s="31" t="s">
        <v>5</v>
      </c>
      <c r="R26" s="33">
        <v>0.53</v>
      </c>
      <c r="S26" s="33">
        <v>0.94</v>
      </c>
      <c r="T26" s="33">
        <v>1</v>
      </c>
      <c r="U26" s="33">
        <v>1</v>
      </c>
      <c r="V26" s="33">
        <v>1.47</v>
      </c>
      <c r="W26" s="33">
        <v>2</v>
      </c>
      <c r="X26">
        <v>1</v>
      </c>
      <c r="Y26" s="33" t="s">
        <v>35</v>
      </c>
      <c r="Z26" s="33">
        <v>-0.40999999999999992</v>
      </c>
      <c r="AA26" s="33">
        <v>0</v>
      </c>
      <c r="AB26" s="33">
        <v>0.47</v>
      </c>
      <c r="AC26" s="34" t="s">
        <v>53</v>
      </c>
    </row>
    <row r="27" spans="14:29" x14ac:dyDescent="0.25">
      <c r="N27" s="22" t="s">
        <v>119</v>
      </c>
      <c r="O27" s="21">
        <v>46266</v>
      </c>
      <c r="P27" s="31" t="s">
        <v>19</v>
      </c>
      <c r="Q27" s="31" t="s">
        <v>15</v>
      </c>
      <c r="R27" s="33">
        <v>0.47</v>
      </c>
      <c r="S27" s="33">
        <v>0.91</v>
      </c>
      <c r="T27" s="33">
        <v>0</v>
      </c>
      <c r="U27" s="33">
        <v>0</v>
      </c>
      <c r="V27" s="33">
        <v>1.38</v>
      </c>
      <c r="W27" s="33">
        <v>0</v>
      </c>
      <c r="X27">
        <v>1</v>
      </c>
      <c r="Y27" s="33" t="s">
        <v>35</v>
      </c>
      <c r="Z27" s="33">
        <v>-0.44000000000000006</v>
      </c>
      <c r="AA27" s="33">
        <v>0</v>
      </c>
      <c r="AB27" s="33">
        <v>-0.47</v>
      </c>
      <c r="AC27" s="34" t="s">
        <v>53</v>
      </c>
    </row>
    <row r="28" spans="14:29" x14ac:dyDescent="0.25">
      <c r="N28" s="22" t="s">
        <v>126</v>
      </c>
      <c r="O28" s="21">
        <v>46270</v>
      </c>
      <c r="P28" s="31" t="s">
        <v>19</v>
      </c>
      <c r="Q28" s="31" t="s">
        <v>1</v>
      </c>
      <c r="R28" s="33">
        <v>1.93</v>
      </c>
      <c r="S28" s="33">
        <v>1.83</v>
      </c>
      <c r="T28" s="33">
        <v>5</v>
      </c>
      <c r="U28" s="33">
        <v>1</v>
      </c>
      <c r="V28" s="33">
        <v>3.76</v>
      </c>
      <c r="W28" s="33">
        <v>6</v>
      </c>
      <c r="X28">
        <v>1</v>
      </c>
      <c r="Y28" s="33" t="s">
        <v>35</v>
      </c>
      <c r="Z28" s="33">
        <v>9.9999999999999867E-2</v>
      </c>
      <c r="AA28" s="33">
        <v>4</v>
      </c>
      <c r="AB28" s="33">
        <v>3.0700000000000003</v>
      </c>
      <c r="AC28" s="34" t="s">
        <v>54</v>
      </c>
    </row>
    <row r="29" spans="14:29" x14ac:dyDescent="0.25">
      <c r="N29" s="22" t="s">
        <v>156</v>
      </c>
      <c r="O29" s="21">
        <v>46284</v>
      </c>
      <c r="P29" s="31" t="s">
        <v>19</v>
      </c>
      <c r="Q29" s="31" t="s">
        <v>10</v>
      </c>
      <c r="R29" s="33"/>
      <c r="S29" s="33"/>
      <c r="T29" s="33"/>
      <c r="U29" s="33"/>
      <c r="V29" s="33"/>
      <c r="W29" s="33"/>
      <c r="X29">
        <v>1</v>
      </c>
      <c r="Y29" s="33" t="s">
        <v>35</v>
      </c>
      <c r="Z29" s="33"/>
      <c r="AA29" s="33"/>
      <c r="AB29" s="33"/>
      <c r="AC29" s="34"/>
    </row>
    <row r="30" spans="14:29" x14ac:dyDescent="0.25">
      <c r="N30" s="22" t="s">
        <v>175</v>
      </c>
      <c r="O30" s="21">
        <v>46298</v>
      </c>
      <c r="P30" s="31" t="s">
        <v>19</v>
      </c>
      <c r="Q30" s="31" t="s">
        <v>0</v>
      </c>
      <c r="R30" s="33"/>
      <c r="S30" s="33"/>
      <c r="T30" s="33"/>
      <c r="U30" s="33"/>
      <c r="V30" s="33"/>
      <c r="W30" s="33"/>
      <c r="X30">
        <v>1</v>
      </c>
      <c r="Y30" s="33" t="s">
        <v>35</v>
      </c>
      <c r="Z30" s="33"/>
      <c r="AA30" s="33"/>
      <c r="AB30" s="33"/>
      <c r="AC30" s="34"/>
    </row>
    <row r="31" spans="14:29" x14ac:dyDescent="0.25">
      <c r="N31" s="22" t="s">
        <v>201</v>
      </c>
      <c r="O31" s="21">
        <v>46312</v>
      </c>
      <c r="P31" s="31" t="s">
        <v>19</v>
      </c>
      <c r="Q31" s="31" t="s">
        <v>3</v>
      </c>
      <c r="R31" s="33"/>
      <c r="S31" s="33"/>
      <c r="T31" s="33"/>
      <c r="U31" s="33"/>
      <c r="V31" s="33"/>
      <c r="W31" s="33"/>
      <c r="X31">
        <v>1</v>
      </c>
      <c r="Y31" s="33" t="s">
        <v>35</v>
      </c>
      <c r="Z31" s="33"/>
      <c r="AA31" s="33"/>
      <c r="AB31" s="33"/>
      <c r="AC31" s="34"/>
    </row>
    <row r="32" spans="14:29" x14ac:dyDescent="0.25">
      <c r="N32" s="22" t="s">
        <v>237</v>
      </c>
      <c r="O32" s="21">
        <v>46326</v>
      </c>
      <c r="P32" s="31" t="s">
        <v>19</v>
      </c>
      <c r="Q32" s="31" t="s">
        <v>9</v>
      </c>
      <c r="R32" s="33"/>
      <c r="S32" s="33"/>
      <c r="T32" s="33"/>
      <c r="U32" s="33"/>
      <c r="V32" s="33"/>
      <c r="W32" s="33"/>
      <c r="X32">
        <v>1</v>
      </c>
      <c r="Y32" s="33" t="s">
        <v>35</v>
      </c>
      <c r="Z32" s="33"/>
      <c r="AA32" s="33"/>
      <c r="AB32" s="33"/>
      <c r="AC32" s="34"/>
    </row>
    <row r="33" spans="14:29" x14ac:dyDescent="0.25">
      <c r="N33" s="22" t="s">
        <v>267</v>
      </c>
      <c r="O33" s="21">
        <v>46347</v>
      </c>
      <c r="P33" s="31" t="s">
        <v>19</v>
      </c>
      <c r="Q33" s="31" t="s">
        <v>13</v>
      </c>
      <c r="R33" s="33"/>
      <c r="S33" s="33"/>
      <c r="T33" s="33"/>
      <c r="U33" s="33"/>
      <c r="V33" s="33"/>
      <c r="W33" s="33"/>
      <c r="X33">
        <v>1</v>
      </c>
      <c r="Y33" s="33" t="s">
        <v>35</v>
      </c>
      <c r="Z33" s="33"/>
      <c r="AA33" s="33"/>
      <c r="AB33" s="33"/>
      <c r="AC33" s="34"/>
    </row>
    <row r="34" spans="14:29" x14ac:dyDescent="0.25">
      <c r="N34" s="22" t="s">
        <v>288</v>
      </c>
      <c r="O34" s="21">
        <v>46357</v>
      </c>
      <c r="P34" s="31" t="s">
        <v>19</v>
      </c>
      <c r="Q34" s="31" t="s">
        <v>8</v>
      </c>
      <c r="R34" s="33"/>
      <c r="S34" s="33"/>
      <c r="T34" s="33"/>
      <c r="U34" s="33"/>
      <c r="V34" s="33"/>
      <c r="W34" s="33"/>
      <c r="X34">
        <v>1</v>
      </c>
      <c r="Y34" s="33" t="s">
        <v>35</v>
      </c>
      <c r="Z34" s="33"/>
      <c r="AA34" s="33"/>
      <c r="AB34" s="33"/>
      <c r="AC34" s="34"/>
    </row>
    <row r="35" spans="14:29" x14ac:dyDescent="0.25">
      <c r="N35" s="22" t="s">
        <v>307</v>
      </c>
      <c r="O35" s="21">
        <v>46374</v>
      </c>
      <c r="P35" s="31" t="s">
        <v>19</v>
      </c>
      <c r="Q35" s="31" t="s">
        <v>6</v>
      </c>
      <c r="R35" s="33"/>
      <c r="S35" s="33"/>
      <c r="T35" s="33"/>
      <c r="U35" s="33"/>
      <c r="V35" s="33"/>
      <c r="W35" s="33"/>
      <c r="X35">
        <v>1</v>
      </c>
      <c r="Y35" s="33" t="s">
        <v>35</v>
      </c>
      <c r="Z35" s="33"/>
      <c r="AA35" s="33"/>
      <c r="AB35" s="33"/>
      <c r="AC35" s="34"/>
    </row>
    <row r="36" spans="14:29" x14ac:dyDescent="0.25">
      <c r="N36" s="22" t="s">
        <v>342</v>
      </c>
      <c r="O36" s="21">
        <v>46385</v>
      </c>
      <c r="P36" s="31" t="s">
        <v>19</v>
      </c>
      <c r="Q36" s="31" t="s">
        <v>22</v>
      </c>
      <c r="R36" s="33"/>
      <c r="S36" s="33"/>
      <c r="T36" s="33"/>
      <c r="U36" s="33"/>
      <c r="V36" s="33"/>
      <c r="W36" s="33"/>
      <c r="X36">
        <v>1</v>
      </c>
      <c r="Y36" s="33" t="s">
        <v>35</v>
      </c>
      <c r="Z36" s="33"/>
      <c r="AA36" s="33"/>
      <c r="AB36" s="33"/>
      <c r="AC36" s="34"/>
    </row>
    <row r="37" spans="14:29" x14ac:dyDescent="0.25">
      <c r="N37" s="22" t="s">
        <v>346</v>
      </c>
      <c r="O37" s="21">
        <v>46388</v>
      </c>
      <c r="P37" s="31" t="s">
        <v>19</v>
      </c>
      <c r="Q37" s="31" t="s">
        <v>4</v>
      </c>
      <c r="R37" s="33"/>
      <c r="S37" s="33"/>
      <c r="T37" s="33"/>
      <c r="U37" s="33"/>
      <c r="V37" s="33"/>
      <c r="W37" s="33"/>
      <c r="X37">
        <v>1</v>
      </c>
      <c r="Y37" s="33" t="s">
        <v>35</v>
      </c>
      <c r="Z37" s="33"/>
      <c r="AA37" s="33"/>
      <c r="AB37" s="33"/>
      <c r="AC37" s="34"/>
    </row>
    <row r="38" spans="14:29" x14ac:dyDescent="0.25">
      <c r="N38" s="22" t="s">
        <v>386</v>
      </c>
      <c r="O38" s="21">
        <v>46406</v>
      </c>
      <c r="P38" s="31" t="s">
        <v>19</v>
      </c>
      <c r="Q38" s="31" t="s">
        <v>16</v>
      </c>
      <c r="R38" s="33"/>
      <c r="S38" s="33"/>
      <c r="T38" s="33"/>
      <c r="U38" s="33"/>
      <c r="V38" s="33"/>
      <c r="W38" s="33"/>
      <c r="X38">
        <v>1</v>
      </c>
      <c r="Y38" s="33" t="s">
        <v>35</v>
      </c>
      <c r="Z38" s="33"/>
      <c r="AA38" s="33"/>
      <c r="AB38" s="33"/>
      <c r="AC38" s="34"/>
    </row>
    <row r="39" spans="14:29" x14ac:dyDescent="0.25">
      <c r="N39" s="22" t="s">
        <v>396</v>
      </c>
      <c r="O39" s="21">
        <v>46410</v>
      </c>
      <c r="P39" s="31" t="s">
        <v>19</v>
      </c>
      <c r="Q39" s="31" t="s">
        <v>33</v>
      </c>
      <c r="R39" s="33"/>
      <c r="S39" s="33"/>
      <c r="T39" s="33"/>
      <c r="U39" s="33"/>
      <c r="V39" s="33"/>
      <c r="W39" s="33"/>
      <c r="X39">
        <v>1</v>
      </c>
      <c r="Y39" s="33" t="s">
        <v>35</v>
      </c>
      <c r="Z39" s="33"/>
      <c r="AA39" s="33"/>
      <c r="AB39" s="33"/>
      <c r="AC39" s="34"/>
    </row>
    <row r="40" spans="14:29" x14ac:dyDescent="0.25">
      <c r="N40" s="22" t="s">
        <v>419</v>
      </c>
      <c r="O40" s="21">
        <v>46424</v>
      </c>
      <c r="P40" s="31" t="s">
        <v>19</v>
      </c>
      <c r="Q40" s="31" t="s">
        <v>7</v>
      </c>
      <c r="R40" s="33"/>
      <c r="S40" s="33"/>
      <c r="T40" s="33"/>
      <c r="U40" s="33"/>
      <c r="V40" s="33"/>
      <c r="W40" s="33"/>
      <c r="X40">
        <v>1</v>
      </c>
      <c r="Y40" s="33" t="s">
        <v>35</v>
      </c>
      <c r="Z40" s="33"/>
      <c r="AA40" s="33"/>
      <c r="AB40" s="33"/>
      <c r="AC40" s="34"/>
    </row>
    <row r="41" spans="14:29" x14ac:dyDescent="0.25">
      <c r="N41" s="22" t="s">
        <v>458</v>
      </c>
      <c r="O41" s="21">
        <v>46438</v>
      </c>
      <c r="P41" s="31" t="s">
        <v>19</v>
      </c>
      <c r="Q41" s="31" t="s">
        <v>11</v>
      </c>
      <c r="R41" s="33"/>
      <c r="S41" s="33"/>
      <c r="T41" s="33"/>
      <c r="U41" s="33"/>
      <c r="V41" s="33"/>
      <c r="W41" s="33"/>
      <c r="X41">
        <v>1</v>
      </c>
      <c r="Y41" s="33" t="s">
        <v>35</v>
      </c>
      <c r="Z41" s="33"/>
      <c r="AA41" s="33"/>
      <c r="AB41" s="33"/>
      <c r="AC41" s="34"/>
    </row>
    <row r="42" spans="14:29" x14ac:dyDescent="0.25">
      <c r="N42" s="22" t="s">
        <v>470</v>
      </c>
      <c r="O42" s="21">
        <v>46445</v>
      </c>
      <c r="P42" s="31" t="s">
        <v>19</v>
      </c>
      <c r="Q42" s="31" t="s">
        <v>12</v>
      </c>
      <c r="R42" s="33"/>
      <c r="S42" s="33"/>
      <c r="T42" s="33"/>
      <c r="U42" s="33"/>
      <c r="V42" s="33"/>
      <c r="W42" s="33"/>
      <c r="X42">
        <v>1</v>
      </c>
      <c r="Y42" s="33" t="s">
        <v>35</v>
      </c>
      <c r="Z42" s="33"/>
      <c r="AA42" s="33"/>
      <c r="AB42" s="33"/>
      <c r="AC42" s="34"/>
    </row>
    <row r="43" spans="14:29" x14ac:dyDescent="0.25">
      <c r="N43" s="22" t="s">
        <v>496</v>
      </c>
      <c r="O43" s="21">
        <v>46459</v>
      </c>
      <c r="P43" s="31" t="s">
        <v>19</v>
      </c>
      <c r="Q43" s="31" t="s">
        <v>14</v>
      </c>
      <c r="R43" s="33"/>
      <c r="S43" s="33"/>
      <c r="T43" s="33"/>
      <c r="U43" s="33"/>
      <c r="V43" s="33"/>
      <c r="W43" s="33"/>
      <c r="X43">
        <v>1</v>
      </c>
      <c r="Y43" s="33" t="s">
        <v>35</v>
      </c>
      <c r="Z43" s="33"/>
      <c r="AA43" s="33"/>
      <c r="AB43" s="33"/>
      <c r="AC43" s="34"/>
    </row>
    <row r="44" spans="14:29" x14ac:dyDescent="0.25">
      <c r="N44" s="22" t="s">
        <v>530</v>
      </c>
      <c r="O44" s="21">
        <v>46475</v>
      </c>
      <c r="P44" s="31" t="s">
        <v>19</v>
      </c>
      <c r="Q44" s="31" t="s">
        <v>17</v>
      </c>
      <c r="R44" s="33"/>
      <c r="S44" s="33"/>
      <c r="T44" s="33"/>
      <c r="U44" s="33"/>
      <c r="V44" s="33"/>
      <c r="W44" s="33"/>
      <c r="X44">
        <v>1</v>
      </c>
      <c r="Y44" s="33" t="s">
        <v>35</v>
      </c>
      <c r="Z44" s="33"/>
      <c r="AA44" s="33"/>
      <c r="AB44" s="33"/>
      <c r="AC44" s="34"/>
    </row>
    <row r="45" spans="14:29" x14ac:dyDescent="0.25">
      <c r="N45" s="22" t="s">
        <v>556</v>
      </c>
      <c r="O45" s="21">
        <v>46487</v>
      </c>
      <c r="P45" s="31" t="s">
        <v>19</v>
      </c>
      <c r="Q45" s="31" t="s">
        <v>20</v>
      </c>
      <c r="R45" s="33"/>
      <c r="S45" s="33"/>
      <c r="T45" s="33"/>
      <c r="U45" s="33"/>
      <c r="V45" s="33"/>
      <c r="W45" s="33"/>
      <c r="X45">
        <v>1</v>
      </c>
      <c r="Y45" s="33" t="s">
        <v>35</v>
      </c>
      <c r="Z45" s="33"/>
      <c r="AA45" s="33"/>
      <c r="AB45" s="33"/>
      <c r="AC45" s="34"/>
    </row>
    <row r="46" spans="14:29" x14ac:dyDescent="0.25">
      <c r="N46" s="22" t="s">
        <v>569</v>
      </c>
      <c r="O46" s="21">
        <v>46490</v>
      </c>
      <c r="P46" s="31" t="s">
        <v>19</v>
      </c>
      <c r="Q46" s="31" t="s">
        <v>18</v>
      </c>
      <c r="R46" s="33"/>
      <c r="S46" s="33"/>
      <c r="T46" s="33"/>
      <c r="U46" s="33"/>
      <c r="V46" s="33"/>
      <c r="W46" s="33"/>
      <c r="X46">
        <v>1</v>
      </c>
      <c r="Y46" s="33" t="s">
        <v>35</v>
      </c>
      <c r="Z46" s="33"/>
      <c r="AA46" s="33"/>
      <c r="AB46" s="33"/>
      <c r="AC46" s="34"/>
    </row>
    <row r="47" spans="14:29" x14ac:dyDescent="0.25">
      <c r="N47" s="22" t="s">
        <v>594</v>
      </c>
      <c r="O47" s="21">
        <v>46501</v>
      </c>
      <c r="P47" s="31" t="s">
        <v>19</v>
      </c>
      <c r="Q47" s="31" t="s">
        <v>21</v>
      </c>
      <c r="R47" s="33"/>
      <c r="S47" s="33"/>
      <c r="T47" s="33"/>
      <c r="U47" s="33"/>
      <c r="V47" s="33"/>
      <c r="W47" s="33"/>
      <c r="X47">
        <v>1</v>
      </c>
      <c r="Y47" s="33" t="s">
        <v>35</v>
      </c>
      <c r="Z47" s="33"/>
      <c r="AA47" s="33"/>
      <c r="AB47" s="33"/>
      <c r="AC47" s="34"/>
    </row>
    <row r="48" spans="14:29" x14ac:dyDescent="0.25">
      <c r="N48" s="38" t="s">
        <v>608</v>
      </c>
      <c r="O48" s="23">
        <v>46508</v>
      </c>
      <c r="P48" s="35" t="s">
        <v>19</v>
      </c>
      <c r="Q48" s="35" t="s">
        <v>2</v>
      </c>
      <c r="R48" s="36"/>
      <c r="S48" s="36"/>
      <c r="T48" s="36"/>
      <c r="U48" s="36"/>
      <c r="V48" s="36"/>
      <c r="W48" s="36"/>
      <c r="X48">
        <v>1</v>
      </c>
      <c r="Y48" s="36" t="s">
        <v>35</v>
      </c>
      <c r="Z48" s="36"/>
      <c r="AA48" s="36"/>
      <c r="AB48" s="36"/>
      <c r="AC48" s="37"/>
    </row>
  </sheetData>
  <phoneticPr fontId="2" type="noConversion"/>
  <conditionalFormatting sqref="K3:K7">
    <cfRule type="containsText" dxfId="5" priority="1" operator="containsText" text="Draw">
      <formula>NOT(ISERROR(SEARCH("Draw",K3)))</formula>
    </cfRule>
    <cfRule type="containsText" dxfId="4" priority="2" operator="containsText" text="Loss">
      <formula>NOT(ISERROR(SEARCH("Loss",K3)))</formula>
    </cfRule>
    <cfRule type="containsText" dxfId="3" priority="3" operator="containsText" text="Win">
      <formula>NOT(ISERROR(SEARCH("Win",K3)))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234885-4725-4B93-BA7F-45025FD6BDF4}">
          <x14:formula1>
            <xm:f>Team_Hub!$A$2:$A$25</xm:f>
          </x14:formula1>
          <xm:sqref>C2 F2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3F28-82CA-4DDB-8424-034B9FDDB15B}">
  <dimension ref="B2:D48"/>
  <sheetViews>
    <sheetView workbookViewId="0">
      <selection activeCell="J21" sqref="J21"/>
    </sheetView>
  </sheetViews>
  <sheetFormatPr defaultRowHeight="15" x14ac:dyDescent="0.25"/>
  <cols>
    <col min="3" max="3" width="10.7109375" bestFit="1" customWidth="1"/>
  </cols>
  <sheetData>
    <row r="2" spans="2:4" x14ac:dyDescent="0.25">
      <c r="B2" s="9" t="s">
        <v>76</v>
      </c>
      <c r="C2" s="9" t="s">
        <v>24</v>
      </c>
      <c r="D2" s="9" t="s">
        <v>49</v>
      </c>
    </row>
    <row r="3" spans="2:4" x14ac:dyDescent="0.25">
      <c r="B3" s="9">
        <v>1</v>
      </c>
      <c r="C3" s="13">
        <f>IFERROR(INDEX(Team_Level[Date], MATCH(Team_Dashboard!$C$2&amp;"-"&amp;B3, Team_Level[Chrono Key], 0)), NA())</f>
        <v>46249</v>
      </c>
      <c r="D3" s="9">
        <f>IFERROR(INDEX(Team_Level[xG Diff], MATCH(Team_Dashboard!$C$2&amp;"-"&amp;B3, Team_Level[Chrono Key], 0)), NA())</f>
        <v>1.46</v>
      </c>
    </row>
    <row r="4" spans="2:4" x14ac:dyDescent="0.25">
      <c r="B4" s="9">
        <f t="shared" ref="B4:B48" si="0">B3+1</f>
        <v>2</v>
      </c>
      <c r="C4" s="13">
        <f>IFERROR(INDEX(Team_Level[Date], MATCH(Team_Dashboard!$C$2&amp;"-"&amp;B4, Team_Level[Chrono Key], 0)), NA())</f>
        <v>46254</v>
      </c>
      <c r="D4" s="9">
        <f>IFERROR(INDEX(Team_Level[xG Diff], MATCH(Team_Dashboard!$C$2&amp;"-"&amp;B4, Team_Level[Chrono Key], 0)), NA())</f>
        <v>0.9</v>
      </c>
    </row>
    <row r="5" spans="2:4" x14ac:dyDescent="0.25">
      <c r="B5" s="9">
        <f t="shared" si="0"/>
        <v>3</v>
      </c>
      <c r="C5" s="13">
        <f>IFERROR(INDEX(Team_Level[Date], MATCH(Team_Dashboard!$C$2&amp;"-"&amp;B5, Team_Level[Chrono Key], 0)), NA())</f>
        <v>46263</v>
      </c>
      <c r="D5" s="9">
        <f>IFERROR(INDEX(Team_Level[xG Diff], MATCH(Team_Dashboard!$C$2&amp;"-"&amp;B5, Team_Level[Chrono Key], 0)), NA())</f>
        <v>3.0199999999999996</v>
      </c>
    </row>
    <row r="6" spans="2:4" x14ac:dyDescent="0.25">
      <c r="B6" s="9">
        <f t="shared" si="0"/>
        <v>4</v>
      </c>
      <c r="C6" s="13">
        <f>IFERROR(INDEX(Team_Level[Date], MATCH(Team_Dashboard!$C$2&amp;"-"&amp;B6, Team_Level[Chrono Key], 0)), NA())</f>
        <v>46266</v>
      </c>
      <c r="D6" s="9">
        <f>IFERROR(INDEX(Team_Level[xG Diff], MATCH(Team_Dashboard!$C$2&amp;"-"&amp;B6, Team_Level[Chrono Key], 0)), NA())</f>
        <v>1.54</v>
      </c>
    </row>
    <row r="7" spans="2:4" x14ac:dyDescent="0.25">
      <c r="B7" s="9">
        <f t="shared" si="0"/>
        <v>5</v>
      </c>
      <c r="C7" s="13">
        <f>IFERROR(INDEX(Team_Level[Date], MATCH(Team_Dashboard!$C$2&amp;"-"&amp;B7, Team_Level[Chrono Key], 0)), NA())</f>
        <v>46270</v>
      </c>
      <c r="D7" s="9">
        <f>IFERROR(INDEX(Team_Level[xG Diff], MATCH(Team_Dashboard!$C$2&amp;"-"&amp;B7, Team_Level[Chrono Key], 0)), NA())</f>
        <v>-0.60999999999999988</v>
      </c>
    </row>
    <row r="8" spans="2:4" x14ac:dyDescent="0.25">
      <c r="B8" s="9">
        <f t="shared" si="0"/>
        <v>6</v>
      </c>
      <c r="C8" s="13">
        <f>IFERROR(INDEX(Team_Level[Date], MATCH(Team_Dashboard!$C$2&amp;"-"&amp;B8, Team_Level[Chrono Key], 0)), NA())</f>
        <v>46277</v>
      </c>
      <c r="D8" s="9">
        <f>IFERROR(INDEX(Team_Level[xG Diff], MATCH(Team_Dashboard!$C$2&amp;"-"&amp;B8, Team_Level[Chrono Key], 0)), NA())</f>
        <v>-0.77000000000000013</v>
      </c>
    </row>
    <row r="9" spans="2:4" x14ac:dyDescent="0.25">
      <c r="B9" s="9">
        <f t="shared" si="0"/>
        <v>7</v>
      </c>
      <c r="C9" s="13" t="e">
        <f>IFERROR(INDEX(Team_Level[Date], MATCH(Team_Dashboard!$C$2&amp;"-"&amp;B9, Team_Level[Chrono Key], 0)), NA())</f>
        <v>#N/A</v>
      </c>
      <c r="D9" s="9" t="e">
        <f>IFERROR(INDEX(Team_Level[xG Diff], MATCH(Team_Dashboard!$C$2&amp;"-"&amp;B9, Team_Level[Chrono Key], 0)), NA())</f>
        <v>#N/A</v>
      </c>
    </row>
    <row r="10" spans="2:4" x14ac:dyDescent="0.25">
      <c r="B10" s="9">
        <f t="shared" si="0"/>
        <v>8</v>
      </c>
      <c r="C10" s="13" t="e">
        <f>IFERROR(INDEX(Team_Level[Date], MATCH(Team_Dashboard!$C$2&amp;"-"&amp;B10, Team_Level[Chrono Key], 0)), NA())</f>
        <v>#N/A</v>
      </c>
      <c r="D10" s="9" t="e">
        <f>IFERROR(INDEX(Team_Level[xG Diff], MATCH(Team_Dashboard!$C$2&amp;"-"&amp;B10, Team_Level[Chrono Key], 0)), NA())</f>
        <v>#N/A</v>
      </c>
    </row>
    <row r="11" spans="2:4" x14ac:dyDescent="0.25">
      <c r="B11" s="9">
        <f t="shared" si="0"/>
        <v>9</v>
      </c>
      <c r="C11" s="13" t="e">
        <f>IFERROR(INDEX(Team_Level[Date], MATCH(Team_Dashboard!$C$2&amp;"-"&amp;B11, Team_Level[Chrono Key], 0)), NA())</f>
        <v>#N/A</v>
      </c>
      <c r="D11" s="9" t="e">
        <f>IFERROR(INDEX(Team_Level[xG Diff], MATCH(Team_Dashboard!$C$2&amp;"-"&amp;B11, Team_Level[Chrono Key], 0)), NA())</f>
        <v>#N/A</v>
      </c>
    </row>
    <row r="12" spans="2:4" x14ac:dyDescent="0.25">
      <c r="B12" s="9">
        <f t="shared" si="0"/>
        <v>10</v>
      </c>
      <c r="C12" s="13" t="e">
        <f>IFERROR(INDEX(Team_Level[Date], MATCH(Team_Dashboard!$C$2&amp;"-"&amp;B12, Team_Level[Chrono Key], 0)), NA())</f>
        <v>#N/A</v>
      </c>
      <c r="D12" s="9" t="e">
        <f>IFERROR(INDEX(Team_Level[xG Diff], MATCH(Team_Dashboard!$C$2&amp;"-"&amp;B12, Team_Level[Chrono Key], 0)), NA())</f>
        <v>#N/A</v>
      </c>
    </row>
    <row r="13" spans="2:4" x14ac:dyDescent="0.25">
      <c r="B13" s="9">
        <f t="shared" si="0"/>
        <v>11</v>
      </c>
      <c r="C13" s="13" t="e">
        <f>IFERROR(INDEX(Team_Level[Date], MATCH(Team_Dashboard!$C$2&amp;"-"&amp;B13, Team_Level[Chrono Key], 0)), NA())</f>
        <v>#N/A</v>
      </c>
      <c r="D13" s="9" t="e">
        <f>IFERROR(INDEX(Team_Level[xG Diff], MATCH(Team_Dashboard!$C$2&amp;"-"&amp;B13, Team_Level[Chrono Key], 0)), NA())</f>
        <v>#N/A</v>
      </c>
    </row>
    <row r="14" spans="2:4" x14ac:dyDescent="0.25">
      <c r="B14" s="9">
        <f t="shared" si="0"/>
        <v>12</v>
      </c>
      <c r="C14" s="13" t="e">
        <f>IFERROR(INDEX(Team_Level[Date], MATCH(Team_Dashboard!$C$2&amp;"-"&amp;B14, Team_Level[Chrono Key], 0)), NA())</f>
        <v>#N/A</v>
      </c>
      <c r="D14" s="9" t="e">
        <f>IFERROR(INDEX(Team_Level[xG Diff], MATCH(Team_Dashboard!$C$2&amp;"-"&amp;B14, Team_Level[Chrono Key], 0)), NA())</f>
        <v>#N/A</v>
      </c>
    </row>
    <row r="15" spans="2:4" x14ac:dyDescent="0.25">
      <c r="B15" s="9">
        <f t="shared" si="0"/>
        <v>13</v>
      </c>
      <c r="C15" s="13" t="e">
        <f>IFERROR(INDEX(Team_Level[Date], MATCH(Team_Dashboard!$C$2&amp;"-"&amp;B15, Team_Level[Chrono Key], 0)), NA())</f>
        <v>#N/A</v>
      </c>
      <c r="D15" s="9" t="e">
        <f>IFERROR(INDEX(Team_Level[xG Diff], MATCH(Team_Dashboard!$C$2&amp;"-"&amp;B15, Team_Level[Chrono Key], 0)), NA())</f>
        <v>#N/A</v>
      </c>
    </row>
    <row r="16" spans="2:4" x14ac:dyDescent="0.25">
      <c r="B16" s="9">
        <f t="shared" si="0"/>
        <v>14</v>
      </c>
      <c r="C16" s="13" t="e">
        <f>IFERROR(INDEX(Team_Level[Date], MATCH(Team_Dashboard!$C$2&amp;"-"&amp;B16, Team_Level[Chrono Key], 0)), NA())</f>
        <v>#N/A</v>
      </c>
      <c r="D16" s="9" t="e">
        <f>IFERROR(INDEX(Team_Level[xG Diff], MATCH(Team_Dashboard!$C$2&amp;"-"&amp;B16, Team_Level[Chrono Key], 0)), NA())</f>
        <v>#N/A</v>
      </c>
    </row>
    <row r="17" spans="2:4" x14ac:dyDescent="0.25">
      <c r="B17" s="9">
        <f t="shared" si="0"/>
        <v>15</v>
      </c>
      <c r="C17" s="13" t="e">
        <f>IFERROR(INDEX(Team_Level[Date], MATCH(Team_Dashboard!$C$2&amp;"-"&amp;B17, Team_Level[Chrono Key], 0)), NA())</f>
        <v>#N/A</v>
      </c>
      <c r="D17" s="9" t="e">
        <f>IFERROR(INDEX(Team_Level[xG Diff], MATCH(Team_Dashboard!$C$2&amp;"-"&amp;B17, Team_Level[Chrono Key], 0)), NA())</f>
        <v>#N/A</v>
      </c>
    </row>
    <row r="18" spans="2:4" x14ac:dyDescent="0.25">
      <c r="B18" s="9">
        <f t="shared" si="0"/>
        <v>16</v>
      </c>
      <c r="C18" s="13" t="e">
        <f>IFERROR(INDEX(Team_Level[Date], MATCH(Team_Dashboard!$C$2&amp;"-"&amp;B18, Team_Level[Chrono Key], 0)), NA())</f>
        <v>#N/A</v>
      </c>
      <c r="D18" s="9" t="e">
        <f>IFERROR(INDEX(Team_Level[xG Diff], MATCH(Team_Dashboard!$C$2&amp;"-"&amp;B18, Team_Level[Chrono Key], 0)), NA())</f>
        <v>#N/A</v>
      </c>
    </row>
    <row r="19" spans="2:4" x14ac:dyDescent="0.25">
      <c r="B19" s="9">
        <f t="shared" si="0"/>
        <v>17</v>
      </c>
      <c r="C19" s="13" t="e">
        <f>IFERROR(INDEX(Team_Level[Date], MATCH(Team_Dashboard!$C$2&amp;"-"&amp;B19, Team_Level[Chrono Key], 0)), NA())</f>
        <v>#N/A</v>
      </c>
      <c r="D19" s="9" t="e">
        <f>IFERROR(INDEX(Team_Level[xG Diff], MATCH(Team_Dashboard!$C$2&amp;"-"&amp;B19, Team_Level[Chrono Key], 0)), NA())</f>
        <v>#N/A</v>
      </c>
    </row>
    <row r="20" spans="2:4" x14ac:dyDescent="0.25">
      <c r="B20" s="9">
        <f t="shared" si="0"/>
        <v>18</v>
      </c>
      <c r="C20" s="13" t="e">
        <f>IFERROR(INDEX(Team_Level[Date], MATCH(Team_Dashboard!$C$2&amp;"-"&amp;B20, Team_Level[Chrono Key], 0)), NA())</f>
        <v>#N/A</v>
      </c>
      <c r="D20" s="9" t="e">
        <f>IFERROR(INDEX(Team_Level[xG Diff], MATCH(Team_Dashboard!$C$2&amp;"-"&amp;B20, Team_Level[Chrono Key], 0)), NA())</f>
        <v>#N/A</v>
      </c>
    </row>
    <row r="21" spans="2:4" x14ac:dyDescent="0.25">
      <c r="B21" s="9">
        <f t="shared" si="0"/>
        <v>19</v>
      </c>
      <c r="C21" s="13" t="e">
        <f>IFERROR(INDEX(Team_Level[Date], MATCH(Team_Dashboard!$C$2&amp;"-"&amp;B21, Team_Level[Chrono Key], 0)), NA())</f>
        <v>#N/A</v>
      </c>
      <c r="D21" s="9" t="e">
        <f>IFERROR(INDEX(Team_Level[xG Diff], MATCH(Team_Dashboard!$C$2&amp;"-"&amp;B21, Team_Level[Chrono Key], 0)), NA())</f>
        <v>#N/A</v>
      </c>
    </row>
    <row r="22" spans="2:4" x14ac:dyDescent="0.25">
      <c r="B22" s="9">
        <f t="shared" si="0"/>
        <v>20</v>
      </c>
      <c r="C22" s="13" t="e">
        <f>IFERROR(INDEX(Team_Level[Date], MATCH(Team_Dashboard!$C$2&amp;"-"&amp;B22, Team_Level[Chrono Key], 0)), NA())</f>
        <v>#N/A</v>
      </c>
      <c r="D22" s="9" t="e">
        <f>IFERROR(INDEX(Team_Level[xG Diff], MATCH(Team_Dashboard!$C$2&amp;"-"&amp;B22, Team_Level[Chrono Key], 0)), NA())</f>
        <v>#N/A</v>
      </c>
    </row>
    <row r="23" spans="2:4" x14ac:dyDescent="0.25">
      <c r="B23" s="9">
        <f t="shared" si="0"/>
        <v>21</v>
      </c>
      <c r="C23" s="13" t="e">
        <f>IFERROR(INDEX(Team_Level[Date], MATCH(Team_Dashboard!$C$2&amp;"-"&amp;B23, Team_Level[Chrono Key], 0)), NA())</f>
        <v>#N/A</v>
      </c>
      <c r="D23" s="9" t="e">
        <f>IFERROR(INDEX(Team_Level[xG Diff], MATCH(Team_Dashboard!$C$2&amp;"-"&amp;B23, Team_Level[Chrono Key], 0)), NA())</f>
        <v>#N/A</v>
      </c>
    </row>
    <row r="24" spans="2:4" x14ac:dyDescent="0.25">
      <c r="B24" s="9">
        <f t="shared" si="0"/>
        <v>22</v>
      </c>
      <c r="C24" s="13" t="e">
        <f>IFERROR(INDEX(Team_Level[Date], MATCH(Team_Dashboard!$C$2&amp;"-"&amp;B24, Team_Level[Chrono Key], 0)), NA())</f>
        <v>#N/A</v>
      </c>
      <c r="D24" s="9" t="e">
        <f>IFERROR(INDEX(Team_Level[xG Diff], MATCH(Team_Dashboard!$C$2&amp;"-"&amp;B24, Team_Level[Chrono Key], 0)), NA())</f>
        <v>#N/A</v>
      </c>
    </row>
    <row r="25" spans="2:4" x14ac:dyDescent="0.25">
      <c r="B25" s="9">
        <f t="shared" si="0"/>
        <v>23</v>
      </c>
      <c r="C25" s="13" t="e">
        <f>IFERROR(INDEX(Team_Level[Date], MATCH(Team_Dashboard!$C$2&amp;"-"&amp;B25, Team_Level[Chrono Key], 0)), NA())</f>
        <v>#N/A</v>
      </c>
      <c r="D25" s="9" t="e">
        <f>IFERROR(INDEX(Team_Level[xG Diff], MATCH(Team_Dashboard!$C$2&amp;"-"&amp;B25, Team_Level[Chrono Key], 0)), NA())</f>
        <v>#N/A</v>
      </c>
    </row>
    <row r="26" spans="2:4" x14ac:dyDescent="0.25">
      <c r="B26" s="9">
        <f t="shared" si="0"/>
        <v>24</v>
      </c>
      <c r="C26" s="13" t="e">
        <f>IFERROR(INDEX(Team_Level[Date], MATCH(Team_Dashboard!$C$2&amp;"-"&amp;B26, Team_Level[Chrono Key], 0)), NA())</f>
        <v>#N/A</v>
      </c>
      <c r="D26" s="9" t="e">
        <f>IFERROR(INDEX(Team_Level[xG Diff], MATCH(Team_Dashboard!$C$2&amp;"-"&amp;B26, Team_Level[Chrono Key], 0)), NA())</f>
        <v>#N/A</v>
      </c>
    </row>
    <row r="27" spans="2:4" x14ac:dyDescent="0.25">
      <c r="B27" s="9">
        <f t="shared" si="0"/>
        <v>25</v>
      </c>
      <c r="C27" s="13" t="e">
        <f>IFERROR(INDEX(Team_Level[Date], MATCH(Team_Dashboard!$C$2&amp;"-"&amp;B27, Team_Level[Chrono Key], 0)), NA())</f>
        <v>#N/A</v>
      </c>
      <c r="D27" s="9" t="e">
        <f>IFERROR(INDEX(Team_Level[xG Diff], MATCH(Team_Dashboard!$C$2&amp;"-"&amp;B27, Team_Level[Chrono Key], 0)), NA())</f>
        <v>#N/A</v>
      </c>
    </row>
    <row r="28" spans="2:4" x14ac:dyDescent="0.25">
      <c r="B28" s="9">
        <f t="shared" si="0"/>
        <v>26</v>
      </c>
      <c r="C28" s="13" t="e">
        <f>IFERROR(INDEX(Team_Level[Date], MATCH(Team_Dashboard!$C$2&amp;"-"&amp;B28, Team_Level[Chrono Key], 0)), NA())</f>
        <v>#N/A</v>
      </c>
      <c r="D28" s="9" t="e">
        <f>IFERROR(INDEX(Team_Level[xG Diff], MATCH(Team_Dashboard!$C$2&amp;"-"&amp;B28, Team_Level[Chrono Key], 0)), NA())</f>
        <v>#N/A</v>
      </c>
    </row>
    <row r="29" spans="2:4" x14ac:dyDescent="0.25">
      <c r="B29" s="9">
        <f t="shared" si="0"/>
        <v>27</v>
      </c>
      <c r="C29" s="13" t="e">
        <f>IFERROR(INDEX(Team_Level[Date], MATCH(Team_Dashboard!$C$2&amp;"-"&amp;B29, Team_Level[Chrono Key], 0)), NA())</f>
        <v>#N/A</v>
      </c>
      <c r="D29" s="9" t="e">
        <f>IFERROR(INDEX(Team_Level[xG Diff], MATCH(Team_Dashboard!$C$2&amp;"-"&amp;B29, Team_Level[Chrono Key], 0)), NA())</f>
        <v>#N/A</v>
      </c>
    </row>
    <row r="30" spans="2:4" x14ac:dyDescent="0.25">
      <c r="B30" s="9">
        <f t="shared" si="0"/>
        <v>28</v>
      </c>
      <c r="C30" s="13" t="e">
        <f>IFERROR(INDEX(Team_Level[Date], MATCH(Team_Dashboard!$C$2&amp;"-"&amp;B30, Team_Level[Chrono Key], 0)), NA())</f>
        <v>#N/A</v>
      </c>
      <c r="D30" s="9" t="e">
        <f>IFERROR(INDEX(Team_Level[xG Diff], MATCH(Team_Dashboard!$C$2&amp;"-"&amp;B30, Team_Level[Chrono Key], 0)), NA())</f>
        <v>#N/A</v>
      </c>
    </row>
    <row r="31" spans="2:4" x14ac:dyDescent="0.25">
      <c r="B31" s="9">
        <f t="shared" si="0"/>
        <v>29</v>
      </c>
      <c r="C31" s="13" t="e">
        <f>IFERROR(INDEX(Team_Level[Date], MATCH(Team_Dashboard!$C$2&amp;"-"&amp;B31, Team_Level[Chrono Key], 0)), NA())</f>
        <v>#N/A</v>
      </c>
      <c r="D31" s="9" t="e">
        <f>IFERROR(INDEX(Team_Level[xG Diff], MATCH(Team_Dashboard!$C$2&amp;"-"&amp;B31, Team_Level[Chrono Key], 0)), NA())</f>
        <v>#N/A</v>
      </c>
    </row>
    <row r="32" spans="2:4" x14ac:dyDescent="0.25">
      <c r="B32" s="9">
        <f t="shared" si="0"/>
        <v>30</v>
      </c>
      <c r="C32" s="13" t="e">
        <f>IFERROR(INDEX(Team_Level[Date], MATCH(Team_Dashboard!$C$2&amp;"-"&amp;B32, Team_Level[Chrono Key], 0)), NA())</f>
        <v>#N/A</v>
      </c>
      <c r="D32" s="9" t="e">
        <f>IFERROR(INDEX(Team_Level[xG Diff], MATCH(Team_Dashboard!$C$2&amp;"-"&amp;B32, Team_Level[Chrono Key], 0)), NA())</f>
        <v>#N/A</v>
      </c>
    </row>
    <row r="33" spans="2:4" x14ac:dyDescent="0.25">
      <c r="B33" s="9">
        <f t="shared" si="0"/>
        <v>31</v>
      </c>
      <c r="C33" s="13" t="e">
        <f>IFERROR(INDEX(Team_Level[Date], MATCH(Team_Dashboard!$C$2&amp;"-"&amp;B33, Team_Level[Chrono Key], 0)), NA())</f>
        <v>#N/A</v>
      </c>
      <c r="D33" s="9" t="e">
        <f>IFERROR(INDEX(Team_Level[xG Diff], MATCH(Team_Dashboard!$C$2&amp;"-"&amp;B33, Team_Level[Chrono Key], 0)), NA())</f>
        <v>#N/A</v>
      </c>
    </row>
    <row r="34" spans="2:4" x14ac:dyDescent="0.25">
      <c r="B34" s="9">
        <f t="shared" si="0"/>
        <v>32</v>
      </c>
      <c r="C34" s="13" t="e">
        <f>IFERROR(INDEX(Team_Level[Date], MATCH(Team_Dashboard!$C$2&amp;"-"&amp;B34, Team_Level[Chrono Key], 0)), NA())</f>
        <v>#N/A</v>
      </c>
      <c r="D34" s="9" t="e">
        <f>IFERROR(INDEX(Team_Level[xG Diff], MATCH(Team_Dashboard!$C$2&amp;"-"&amp;B34, Team_Level[Chrono Key], 0)), NA())</f>
        <v>#N/A</v>
      </c>
    </row>
    <row r="35" spans="2:4" x14ac:dyDescent="0.25">
      <c r="B35" s="9">
        <f t="shared" si="0"/>
        <v>33</v>
      </c>
      <c r="C35" s="13" t="e">
        <f>IFERROR(INDEX(Team_Level[Date], MATCH(Team_Dashboard!$C$2&amp;"-"&amp;B35, Team_Level[Chrono Key], 0)), NA())</f>
        <v>#N/A</v>
      </c>
      <c r="D35" s="9" t="e">
        <f>IFERROR(INDEX(Team_Level[xG Diff], MATCH(Team_Dashboard!$C$2&amp;"-"&amp;B35, Team_Level[Chrono Key], 0)), NA())</f>
        <v>#N/A</v>
      </c>
    </row>
    <row r="36" spans="2:4" x14ac:dyDescent="0.25">
      <c r="B36" s="9">
        <f t="shared" si="0"/>
        <v>34</v>
      </c>
      <c r="C36" s="13" t="e">
        <f>IFERROR(INDEX(Team_Level[Date], MATCH(Team_Dashboard!$C$2&amp;"-"&amp;B36, Team_Level[Chrono Key], 0)), NA())</f>
        <v>#N/A</v>
      </c>
      <c r="D36" s="9" t="e">
        <f>IFERROR(INDEX(Team_Level[xG Diff], MATCH(Team_Dashboard!$C$2&amp;"-"&amp;B36, Team_Level[Chrono Key], 0)), NA())</f>
        <v>#N/A</v>
      </c>
    </row>
    <row r="37" spans="2:4" x14ac:dyDescent="0.25">
      <c r="B37" s="9">
        <f t="shared" si="0"/>
        <v>35</v>
      </c>
      <c r="C37" s="13" t="e">
        <f>IFERROR(INDEX(Team_Level[Date], MATCH(Team_Dashboard!$C$2&amp;"-"&amp;B37, Team_Level[Chrono Key], 0)), NA())</f>
        <v>#N/A</v>
      </c>
      <c r="D37" s="9" t="e">
        <f>IFERROR(INDEX(Team_Level[xG Diff], MATCH(Team_Dashboard!$C$2&amp;"-"&amp;B37, Team_Level[Chrono Key], 0)), NA())</f>
        <v>#N/A</v>
      </c>
    </row>
    <row r="38" spans="2:4" x14ac:dyDescent="0.25">
      <c r="B38" s="9">
        <f t="shared" si="0"/>
        <v>36</v>
      </c>
      <c r="C38" s="13" t="e">
        <f>IFERROR(INDEX(Team_Level[Date], MATCH(Team_Dashboard!$C$2&amp;"-"&amp;B38, Team_Level[Chrono Key], 0)), NA())</f>
        <v>#N/A</v>
      </c>
      <c r="D38" s="9" t="e">
        <f>IFERROR(INDEX(Team_Level[xG Diff], MATCH(Team_Dashboard!$C$2&amp;"-"&amp;B38, Team_Level[Chrono Key], 0)), NA())</f>
        <v>#N/A</v>
      </c>
    </row>
    <row r="39" spans="2:4" x14ac:dyDescent="0.25">
      <c r="B39" s="9">
        <f t="shared" si="0"/>
        <v>37</v>
      </c>
      <c r="C39" s="13" t="e">
        <f>IFERROR(INDEX(Team_Level[Date], MATCH(Team_Dashboard!$C$2&amp;"-"&amp;B39, Team_Level[Chrono Key], 0)), NA())</f>
        <v>#N/A</v>
      </c>
      <c r="D39" s="9" t="e">
        <f>IFERROR(INDEX(Team_Level[xG Diff], MATCH(Team_Dashboard!$C$2&amp;"-"&amp;B39, Team_Level[Chrono Key], 0)), NA())</f>
        <v>#N/A</v>
      </c>
    </row>
    <row r="40" spans="2:4" x14ac:dyDescent="0.25">
      <c r="B40" s="9">
        <f t="shared" si="0"/>
        <v>38</v>
      </c>
      <c r="C40" s="13" t="e">
        <f>IFERROR(INDEX(Team_Level[Date], MATCH(Team_Dashboard!$C$2&amp;"-"&amp;B40, Team_Level[Chrono Key], 0)), NA())</f>
        <v>#N/A</v>
      </c>
      <c r="D40" s="9" t="e">
        <f>IFERROR(INDEX(Team_Level[xG Diff], MATCH(Team_Dashboard!$C$2&amp;"-"&amp;B40, Team_Level[Chrono Key], 0)), NA())</f>
        <v>#N/A</v>
      </c>
    </row>
    <row r="41" spans="2:4" x14ac:dyDescent="0.25">
      <c r="B41" s="9">
        <f t="shared" si="0"/>
        <v>39</v>
      </c>
      <c r="C41" s="13" t="e">
        <f>IFERROR(INDEX(Team_Level[Date], MATCH(Team_Dashboard!$C$2&amp;"-"&amp;B41, Team_Level[Chrono Key], 0)), NA())</f>
        <v>#N/A</v>
      </c>
      <c r="D41" s="9" t="e">
        <f>IFERROR(INDEX(Team_Level[xG Diff], MATCH(Team_Dashboard!$C$2&amp;"-"&amp;B41, Team_Level[Chrono Key], 0)), NA())</f>
        <v>#N/A</v>
      </c>
    </row>
    <row r="42" spans="2:4" x14ac:dyDescent="0.25">
      <c r="B42" s="9">
        <f t="shared" si="0"/>
        <v>40</v>
      </c>
      <c r="C42" s="13" t="e">
        <f>IFERROR(INDEX(Team_Level[Date], MATCH(Team_Dashboard!$C$2&amp;"-"&amp;B42, Team_Level[Chrono Key], 0)), NA())</f>
        <v>#N/A</v>
      </c>
      <c r="D42" s="9" t="e">
        <f>IFERROR(INDEX(Team_Level[xG Diff], MATCH(Team_Dashboard!$C$2&amp;"-"&amp;B42, Team_Level[Chrono Key], 0)), NA())</f>
        <v>#N/A</v>
      </c>
    </row>
    <row r="43" spans="2:4" x14ac:dyDescent="0.25">
      <c r="B43" s="9">
        <f t="shared" si="0"/>
        <v>41</v>
      </c>
      <c r="C43" s="13" t="e">
        <f>IFERROR(INDEX(Team_Level[Date], MATCH(Team_Dashboard!$C$2&amp;"-"&amp;B43, Team_Level[Chrono Key], 0)), NA())</f>
        <v>#N/A</v>
      </c>
      <c r="D43" s="9" t="e">
        <f>IFERROR(INDEX(Team_Level[xG Diff], MATCH(Team_Dashboard!$C$2&amp;"-"&amp;B43, Team_Level[Chrono Key], 0)), NA())</f>
        <v>#N/A</v>
      </c>
    </row>
    <row r="44" spans="2:4" x14ac:dyDescent="0.25">
      <c r="B44" s="9">
        <f t="shared" si="0"/>
        <v>42</v>
      </c>
      <c r="C44" s="13" t="e">
        <f>IFERROR(INDEX(Team_Level[Date], MATCH(Team_Dashboard!$C$2&amp;"-"&amp;B44, Team_Level[Chrono Key], 0)), NA())</f>
        <v>#N/A</v>
      </c>
      <c r="D44" s="9" t="e">
        <f>IFERROR(INDEX(Team_Level[xG Diff], MATCH(Team_Dashboard!$C$2&amp;"-"&amp;B44, Team_Level[Chrono Key], 0)), NA())</f>
        <v>#N/A</v>
      </c>
    </row>
    <row r="45" spans="2:4" x14ac:dyDescent="0.25">
      <c r="B45" s="9">
        <f t="shared" si="0"/>
        <v>43</v>
      </c>
      <c r="C45" s="13" t="e">
        <f>IFERROR(INDEX(Team_Level[Date], MATCH(Team_Dashboard!$C$2&amp;"-"&amp;B45, Team_Level[Chrono Key], 0)), NA())</f>
        <v>#N/A</v>
      </c>
      <c r="D45" s="9" t="e">
        <f>IFERROR(INDEX(Team_Level[xG Diff], MATCH(Team_Dashboard!$C$2&amp;"-"&amp;B45, Team_Level[Chrono Key], 0)), NA())</f>
        <v>#N/A</v>
      </c>
    </row>
    <row r="46" spans="2:4" x14ac:dyDescent="0.25">
      <c r="B46" s="9">
        <f t="shared" si="0"/>
        <v>44</v>
      </c>
      <c r="C46" s="13" t="e">
        <f>IFERROR(INDEX(Team_Level[Date], MATCH(Team_Dashboard!$C$2&amp;"-"&amp;B46, Team_Level[Chrono Key], 0)), NA())</f>
        <v>#N/A</v>
      </c>
      <c r="D46" s="9" t="e">
        <f>IFERROR(INDEX(Team_Level[xG Diff], MATCH(Team_Dashboard!$C$2&amp;"-"&amp;B46, Team_Level[Chrono Key], 0)), NA())</f>
        <v>#N/A</v>
      </c>
    </row>
    <row r="47" spans="2:4" x14ac:dyDescent="0.25">
      <c r="B47" s="9">
        <f t="shared" si="0"/>
        <v>45</v>
      </c>
      <c r="C47" s="13" t="e">
        <f>IFERROR(INDEX(Team_Level[Date], MATCH(Team_Dashboard!$C$2&amp;"-"&amp;B47, Team_Level[Chrono Key], 0)), NA())</f>
        <v>#N/A</v>
      </c>
      <c r="D47" s="9" t="e">
        <f>IFERROR(INDEX(Team_Level[xG Diff], MATCH(Team_Dashboard!$C$2&amp;"-"&amp;B47, Team_Level[Chrono Key], 0)), NA())</f>
        <v>#N/A</v>
      </c>
    </row>
    <row r="48" spans="2:4" x14ac:dyDescent="0.25">
      <c r="B48" s="9">
        <f t="shared" si="0"/>
        <v>46</v>
      </c>
      <c r="C48" s="13" t="e">
        <f>IFERROR(INDEX(Team_Level[Date], MATCH(Team_Dashboard!$C$2&amp;"-"&amp;B48, Team_Level[Chrono Key], 0)), NA())</f>
        <v>#N/A</v>
      </c>
      <c r="D48" s="9" t="e">
        <f>IFERROR(INDEX(Team_Level[xG Diff], MATCH(Team_Dashboard!$C$2&amp;"-"&amp;B48, Team_Level[Chrono Key], 0)), NA())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8ED1-3B25-4D4F-8E4A-513CCCC61F12}">
  <dimension ref="A1:D11"/>
  <sheetViews>
    <sheetView workbookViewId="0">
      <selection activeCell="A11" sqref="A11"/>
    </sheetView>
  </sheetViews>
  <sheetFormatPr defaultRowHeight="15" x14ac:dyDescent="0.25"/>
  <cols>
    <col min="1" max="1" width="60.5703125" bestFit="1" customWidth="1"/>
    <col min="2" max="2" width="15.7109375" bestFit="1" customWidth="1"/>
    <col min="3" max="3" width="33.28515625" bestFit="1" customWidth="1"/>
    <col min="4" max="4" width="12.42578125" bestFit="1" customWidth="1"/>
  </cols>
  <sheetData>
    <row r="1" spans="1:4" ht="29.25" thickBot="1" x14ac:dyDescent="0.5">
      <c r="A1" s="41" t="s">
        <v>631</v>
      </c>
      <c r="B1" s="42" t="s">
        <v>51</v>
      </c>
      <c r="C1" s="42" t="s">
        <v>633</v>
      </c>
      <c r="D1" s="42" t="s">
        <v>634</v>
      </c>
    </row>
    <row r="2" spans="1:4" ht="26.25" x14ac:dyDescent="0.4">
      <c r="A2" s="39" t="s">
        <v>632</v>
      </c>
      <c r="B2" s="39">
        <v>552</v>
      </c>
      <c r="C2" s="39">
        <v>552</v>
      </c>
      <c r="D2" s="39" t="str">
        <f t="shared" ref="D2:D9" si="0">IF(B2&gt;0,"PASS","FAIL")</f>
        <v>PASS</v>
      </c>
    </row>
    <row r="3" spans="1:4" ht="26.25" x14ac:dyDescent="0.4">
      <c r="A3" s="39" t="s">
        <v>635</v>
      </c>
      <c r="B3" s="39">
        <f>COUNTA(Homematches[Match ID])</f>
        <v>552</v>
      </c>
      <c r="C3" s="39">
        <v>552</v>
      </c>
      <c r="D3" s="39" t="str">
        <f t="shared" si="0"/>
        <v>PASS</v>
      </c>
    </row>
    <row r="4" spans="1:4" ht="26.25" x14ac:dyDescent="0.4">
      <c r="A4" s="39" t="s">
        <v>636</v>
      </c>
      <c r="B4" s="39">
        <f>COUNTBLANK(Homematches[Match ID])</f>
        <v>0</v>
      </c>
      <c r="C4" s="39">
        <v>0</v>
      </c>
      <c r="D4" s="39" t="str">
        <f>IF(B4=0,"PASS","FAIL")</f>
        <v>PASS</v>
      </c>
    </row>
    <row r="5" spans="1:4" ht="26.25" x14ac:dyDescent="0.4">
      <c r="A5" s="39" t="s">
        <v>637</v>
      </c>
      <c r="B5" s="39">
        <f>COUNTIF(Homematches[Match ID count],"&gt;1")</f>
        <v>0</v>
      </c>
      <c r="C5" s="39">
        <v>0</v>
      </c>
      <c r="D5" s="39" t="str">
        <f>IF(B5=0,"PASS","FAIL")</f>
        <v>PASS</v>
      </c>
    </row>
    <row r="6" spans="1:4" ht="26.25" x14ac:dyDescent="0.4">
      <c r="A6" s="39" t="s">
        <v>639</v>
      </c>
      <c r="B6" s="39">
        <f>COUNTBLANK(Homematches[Home Team])</f>
        <v>0</v>
      </c>
      <c r="C6" s="39">
        <v>0</v>
      </c>
      <c r="D6" s="39" t="str">
        <f>IF(B6=0,"PASS","FAIL")</f>
        <v>PASS</v>
      </c>
    </row>
    <row r="7" spans="1:4" ht="26.25" x14ac:dyDescent="0.4">
      <c r="A7" s="39" t="s">
        <v>638</v>
      </c>
      <c r="B7" s="39">
        <f>COUNTBLANK(Homematches[Away Team])</f>
        <v>0</v>
      </c>
      <c r="C7" s="39">
        <v>0</v>
      </c>
      <c r="D7" s="39" t="str">
        <f>IF(B7=0,"PASS","FAIL")</f>
        <v>PASS</v>
      </c>
    </row>
    <row r="8" spans="1:4" ht="26.25" x14ac:dyDescent="0.4">
      <c r="A8" s="39" t="s">
        <v>640</v>
      </c>
      <c r="B8" s="39">
        <f>COUNTIFS(Homematches[Home Goals],"&lt;&gt;",Homematches[Away Goals],"&lt;&gt;")</f>
        <v>71</v>
      </c>
      <c r="C8" s="40" t="s">
        <v>645</v>
      </c>
      <c r="D8" s="39" t="str">
        <f t="shared" si="0"/>
        <v>PASS</v>
      </c>
    </row>
    <row r="9" spans="1:4" ht="26.25" x14ac:dyDescent="0.4">
      <c r="A9" s="39" t="s">
        <v>641</v>
      </c>
      <c r="B9" s="39">
        <f>COUNTIFS(Homematches[Home Goals],"",Homematches[Away Goals],"")</f>
        <v>481</v>
      </c>
      <c r="C9" s="39"/>
      <c r="D9" s="39" t="str">
        <f t="shared" si="0"/>
        <v>PASS</v>
      </c>
    </row>
    <row r="10" spans="1:4" ht="26.25" x14ac:dyDescent="0.4">
      <c r="A10" s="39" t="s">
        <v>642</v>
      </c>
      <c r="B10" s="39">
        <f>COUNTIFS(Homematches[Home Goals],"&lt;&gt;",Homematches[Away Goals],"&lt;&gt;",Homematches[Home xG],"")</f>
        <v>0</v>
      </c>
      <c r="C10" s="39">
        <v>0</v>
      </c>
      <c r="D10" s="39" t="str">
        <f>IF(B10=0,"PASS","FAIL")</f>
        <v>PASS</v>
      </c>
    </row>
    <row r="11" spans="1:4" ht="26.25" x14ac:dyDescent="0.4">
      <c r="A11" s="39" t="s">
        <v>643</v>
      </c>
      <c r="B11" s="39">
        <f>COUNTIFS(Homematches[Home Goals],"&lt;&gt;",Homematches[Away Goals],"&lt;&gt;",Homematches[Away xG],"")</f>
        <v>0</v>
      </c>
      <c r="C11" s="39">
        <v>0</v>
      </c>
      <c r="D11" s="39" t="str">
        <f>IF(B11=0,"PASS","FAIL")</f>
        <v>PASS</v>
      </c>
    </row>
  </sheetData>
  <conditionalFormatting sqref="B11">
    <cfRule type="containsText" dxfId="2" priority="3" operator="containsText" text="PASS">
      <formula>NOT(ISERROR(SEARCH("PASS",B11)))</formula>
    </cfRule>
  </conditionalFormatting>
  <conditionalFormatting sqref="D2:D11">
    <cfRule type="containsText" dxfId="1" priority="1" operator="containsText" text="FAIL">
      <formula>NOT(ISERROR(SEARCH("FAIL",D2)))</formula>
    </cfRule>
    <cfRule type="containsText" dxfId="0" priority="2" operator="containsText" text="PASS">
      <formula>NOT(ISERROR(SEARCH("PASS",D2)))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5F8212-5FF7-4776-A939-607DA4A0DB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tbl_L1_Raw</vt:lpstr>
      <vt:lpstr>Home Sheet</vt:lpstr>
      <vt:lpstr>Away Sheet</vt:lpstr>
      <vt:lpstr>Team Level</vt:lpstr>
      <vt:lpstr>Team_Hub</vt:lpstr>
      <vt:lpstr>Team_Dashboard</vt:lpstr>
      <vt:lpstr>Dashboard_Help</vt:lpstr>
      <vt:lpstr>Data_Quality</vt:lpstr>
      <vt:lpstr>SelectedTeam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Hill</dc:creator>
  <cp:lastModifiedBy>Oliver Hill</cp:lastModifiedBy>
  <dcterms:created xsi:type="dcterms:W3CDTF">2026-08-20T22:53:41Z</dcterms:created>
  <dcterms:modified xsi:type="dcterms:W3CDTF">2026-09-16T12:33:24Z</dcterms:modified>
</cp:coreProperties>
</file>